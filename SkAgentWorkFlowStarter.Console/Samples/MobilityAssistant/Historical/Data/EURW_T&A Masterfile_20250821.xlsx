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https://vogroupbxl.sharepoint.com/sites/VOGROUPADMIN/Documents partages/General/14. RSE/2. MIT/9. FUNDING/GENAI/GESTION PROJET/MEETING REPORT/WORKSHOP 211125/examples docs to upload/"/>
    </mc:Choice>
  </mc:AlternateContent>
  <xr:revisionPtr revIDLastSave="2" documentId="8_{F102B226-122C-7B43-8392-427BD9E8EDBA}" xr6:coauthVersionLast="47" xr6:coauthVersionMax="47" xr10:uidLastSave="{EFA59C6D-1244-D946-BD6C-F9188C77446D}"/>
  <bookViews>
    <workbookView xWindow="0" yWindow="740" windowWidth="29400" windowHeight="18380" activeTab="1" xr2:uid="{98CAA8CC-814E-4DA2-AF88-75457C60449F}"/>
  </bookViews>
  <sheets>
    <sheet name="Sessions" sheetId="1" r:id="rId1"/>
    <sheet name="Stands" sheetId="3" r:id="rId2"/>
    <sheet name="Tastings" sheetId="2" r:id="rId3"/>
    <sheet name="Journalists" sheetId="7" r:id="rId4"/>
    <sheet name="Jury members" sheetId="6" r:id="rId5"/>
    <sheet name="Finalists" sheetId="11" r:id="rId6"/>
    <sheet name="Hotel recap_updated" sheetId="10" r:id="rId7"/>
    <sheet name="Hoja1" sheetId="8" r:id="rId8"/>
    <sheet name="Recap (OLD)" sheetId="4" r:id="rId9"/>
  </sheets>
  <definedNames>
    <definedName name="_xlnm._FilterDatabase" localSheetId="5" hidden="1">Finalists!$A$2:$FO$60</definedName>
    <definedName name="_xlnm._FilterDatabase" localSheetId="3" hidden="1">Journalists!$A$2:$BK$58</definedName>
    <definedName name="_xlnm._FilterDatabase" localSheetId="0" hidden="1">Sessions!$A$2:$CH$126</definedName>
    <definedName name="_xlnm._FilterDatabase" localSheetId="1" hidden="1">Stands!$A$2:$CB$85</definedName>
    <definedName name="_xlnm._FilterDatabase" localSheetId="2" hidden="1">Tastings!$A$2:$BZ$2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W7" i="3" l="1"/>
  <c r="BW83" i="3"/>
  <c r="BW82" i="3"/>
  <c r="BW79" i="3"/>
  <c r="BW76" i="3"/>
  <c r="BW75" i="3"/>
  <c r="BW66" i="3"/>
  <c r="BW63" i="3"/>
  <c r="BW57" i="3"/>
  <c r="BW56" i="3"/>
  <c r="BW55" i="3"/>
  <c r="BW50" i="3"/>
  <c r="BW45" i="3"/>
  <c r="BW44" i="3"/>
  <c r="BW43" i="3"/>
  <c r="BW38" i="3"/>
  <c r="BW37" i="3"/>
  <c r="BW36" i="3"/>
  <c r="BW33" i="3"/>
  <c r="BW32" i="3"/>
  <c r="BW27" i="3"/>
  <c r="BW26" i="3"/>
  <c r="BW25" i="3"/>
  <c r="BW22" i="3"/>
  <c r="BW11" i="3"/>
  <c r="BW8" i="3"/>
  <c r="BW6" i="3"/>
  <c r="CC94" i="1"/>
  <c r="CC112" i="1"/>
  <c r="CC55" i="1"/>
  <c r="BN84" i="3"/>
  <c r="AG19" i="6"/>
  <c r="BL22" i="2"/>
  <c r="E22" i="10"/>
  <c r="D22" i="10"/>
  <c r="C22" i="10"/>
  <c r="CC82" i="1"/>
  <c r="BQ22" i="2"/>
  <c r="H5" i="10" s="1"/>
  <c r="BR22" i="2"/>
  <c r="I5" i="10" s="1"/>
  <c r="BP22" i="2"/>
  <c r="G5" i="10" s="1"/>
  <c r="BR85" i="3"/>
  <c r="G4" i="10" s="1"/>
  <c r="BS85" i="3"/>
  <c r="H4" i="10" s="1"/>
  <c r="BT85" i="3"/>
  <c r="I4" i="10" s="1"/>
  <c r="BW52" i="3"/>
  <c r="BV117" i="1"/>
  <c r="CC105" i="1"/>
  <c r="BW117" i="1"/>
  <c r="G3" i="10" s="1"/>
  <c r="G6" i="10" s="1"/>
  <c r="CC33" i="1"/>
  <c r="CC78" i="1"/>
  <c r="CC44" i="1"/>
  <c r="CC30" i="1"/>
  <c r="CC96" i="1"/>
  <c r="CC97" i="1"/>
  <c r="CC76" i="1"/>
  <c r="CC62" i="1"/>
  <c r="CC49" i="1"/>
  <c r="CC113" i="1"/>
  <c r="CC101" i="1"/>
  <c r="CC75" i="1"/>
  <c r="BW9" i="3"/>
  <c r="BW10" i="3"/>
  <c r="BW12" i="3"/>
  <c r="BW13" i="3"/>
  <c r="BW14" i="3"/>
  <c r="BW15" i="3"/>
  <c r="BW16" i="3"/>
  <c r="BW17" i="3"/>
  <c r="BW18" i="3"/>
  <c r="BW19" i="3"/>
  <c r="BW20" i="3"/>
  <c r="BW21" i="3"/>
  <c r="BW23" i="3"/>
  <c r="BW24" i="3"/>
  <c r="BW28" i="3"/>
  <c r="BW29" i="3"/>
  <c r="BW30" i="3"/>
  <c r="BW31" i="3"/>
  <c r="BW34" i="3"/>
  <c r="BW35" i="3"/>
  <c r="BW39" i="3"/>
  <c r="BW40" i="3"/>
  <c r="BW41" i="3"/>
  <c r="BW42" i="3"/>
  <c r="BW46" i="3"/>
  <c r="BW47" i="3"/>
  <c r="BW48" i="3"/>
  <c r="BW49" i="3"/>
  <c r="BW51" i="3"/>
  <c r="BW53" i="3"/>
  <c r="BW54" i="3"/>
  <c r="BW58" i="3"/>
  <c r="BW59" i="3"/>
  <c r="BW60" i="3"/>
  <c r="BW61" i="3"/>
  <c r="BW62" i="3"/>
  <c r="BW64" i="3"/>
  <c r="BW65" i="3"/>
  <c r="BW67" i="3"/>
  <c r="BW68" i="3"/>
  <c r="BW69" i="3"/>
  <c r="BW70" i="3"/>
  <c r="BW71" i="3"/>
  <c r="BW72" i="3"/>
  <c r="BW73" i="3"/>
  <c r="BW74" i="3"/>
  <c r="BW77" i="3"/>
  <c r="BW78" i="3"/>
  <c r="BW80" i="3"/>
  <c r="BW81" i="3"/>
  <c r="BW3" i="3"/>
  <c r="BW4" i="3"/>
  <c r="BW5" i="3"/>
  <c r="BX117" i="1"/>
  <c r="H3" i="10" s="1"/>
  <c r="H6" i="10" s="1"/>
  <c r="BY117" i="1"/>
  <c r="I3" i="10" s="1"/>
  <c r="I6" i="10" s="1"/>
  <c r="CC74" i="1"/>
  <c r="CC81" i="1"/>
  <c r="B10" i="10"/>
  <c r="C10" i="10"/>
  <c r="D10" i="10"/>
  <c r="CC4" i="1"/>
  <c r="CC5" i="1"/>
  <c r="CC7" i="1"/>
  <c r="CC8" i="1"/>
  <c r="CC9" i="1"/>
  <c r="CC10" i="1"/>
  <c r="CC114" i="1"/>
  <c r="CC106" i="1"/>
  <c r="CC107" i="1"/>
  <c r="CC98" i="1"/>
  <c r="CC91" i="1"/>
  <c r="CC92" i="1"/>
  <c r="CC93" i="1"/>
  <c r="CC89" i="1"/>
  <c r="CC79" i="1"/>
  <c r="CC72" i="1"/>
  <c r="CC73" i="1"/>
  <c r="CC68" i="1"/>
  <c r="CC64" i="1"/>
  <c r="CC65" i="1"/>
  <c r="CC60" i="1"/>
  <c r="CC61" i="1"/>
  <c r="CC47" i="1"/>
  <c r="CC45" i="1"/>
  <c r="CC35" i="1"/>
  <c r="CC36" i="1"/>
  <c r="CC37" i="1"/>
  <c r="CC38" i="1"/>
  <c r="CC31" i="1"/>
  <c r="CC25" i="1"/>
  <c r="CC26" i="1"/>
  <c r="CC27" i="1"/>
  <c r="CC21" i="1"/>
  <c r="CC22" i="1"/>
  <c r="CC23" i="1"/>
  <c r="CC15" i="1"/>
  <c r="CC14" i="1"/>
  <c r="BL89" i="3" l="1"/>
  <c r="AL65" i="7"/>
  <c r="AN65" i="7"/>
  <c r="AO65" i="7"/>
  <c r="AP65" i="7"/>
  <c r="AQ65" i="7"/>
  <c r="AB85" i="3"/>
  <c r="E6" i="4" s="1"/>
  <c r="AG117" i="1"/>
  <c r="E5" i="4" s="1"/>
  <c r="V117" i="1"/>
  <c r="D5" i="4" s="1"/>
  <c r="AJ18" i="6"/>
  <c r="AK18" i="6"/>
  <c r="AI18" i="6"/>
  <c r="T85" i="3"/>
  <c r="D6" i="4" s="1"/>
  <c r="E7" i="4"/>
  <c r="D7" i="4"/>
  <c r="C7" i="4"/>
  <c r="B7" i="4"/>
  <c r="C6" i="4"/>
  <c r="B6" i="4"/>
  <c r="C5" i="4"/>
  <c r="B5" i="4"/>
  <c r="W20" i="4" l="1"/>
  <c r="W19" i="4"/>
  <c r="X7" i="4"/>
  <c r="V7" i="4"/>
  <c r="T7" i="4"/>
  <c r="W7" i="4"/>
  <c r="U7" i="4"/>
  <c r="S7" i="4"/>
  <c r="N7" i="4"/>
  <c r="L7" i="4"/>
  <c r="J7" i="4"/>
  <c r="M7" i="4"/>
  <c r="K7" i="4"/>
  <c r="I7" i="4"/>
  <c r="M5" i="4"/>
  <c r="X5" i="4"/>
  <c r="W5" i="4"/>
  <c r="K5" i="4"/>
  <c r="H5" i="4"/>
  <c r="I5" i="4"/>
  <c r="V5" i="4"/>
  <c r="T5" i="4"/>
  <c r="U5" i="4"/>
  <c r="S5" i="4"/>
  <c r="L5" i="4"/>
  <c r="J5" i="4"/>
  <c r="W6" i="4"/>
  <c r="U6" i="4"/>
  <c r="S6" i="4"/>
  <c r="X6" i="4"/>
  <c r="V6" i="4"/>
  <c r="T6" i="4"/>
  <c r="R6" i="4"/>
  <c r="Q6" i="4"/>
  <c r="N6" i="4"/>
  <c r="L6" i="4"/>
  <c r="J6" i="4"/>
  <c r="M6" i="4"/>
  <c r="K6" i="4"/>
  <c r="I6" i="4"/>
  <c r="G6" i="4"/>
  <c r="H6" i="4"/>
  <c r="N5" i="4" l="1"/>
  <c r="N8" i="4" s="1"/>
  <c r="V8" i="4"/>
  <c r="J8" i="4"/>
  <c r="Q7" i="4"/>
  <c r="G7" i="4"/>
  <c r="R7" i="4"/>
  <c r="H7" i="4"/>
  <c r="H8" i="4" s="1"/>
  <c r="K8" i="4"/>
  <c r="M8" i="4"/>
  <c r="T8" i="4"/>
  <c r="W8" i="4"/>
  <c r="W11" i="4" s="1"/>
  <c r="X8" i="4"/>
  <c r="X16" i="4" s="1"/>
  <c r="S8" i="4"/>
  <c r="U8" i="4"/>
  <c r="L8" i="4"/>
  <c r="I8" i="4"/>
  <c r="G5" i="4"/>
  <c r="Q5" i="4"/>
  <c r="R5" i="4"/>
  <c r="Q8" i="4" l="1"/>
  <c r="Q11" i="4" s="1"/>
  <c r="G8" i="4"/>
  <c r="O8" i="4" s="1"/>
  <c r="V16" i="4"/>
  <c r="W10" i="4"/>
  <c r="R8" i="4"/>
  <c r="R16" i="4" s="1"/>
  <c r="U10" i="4"/>
  <c r="U11" i="4"/>
  <c r="S10" i="4"/>
  <c r="S11" i="4"/>
  <c r="W16" i="4"/>
  <c r="U16" i="4"/>
  <c r="U18" i="4" s="1"/>
  <c r="B8" i="4"/>
  <c r="D8" i="4"/>
  <c r="E8" i="4"/>
  <c r="C8" i="4"/>
  <c r="Y8" i="4" l="1"/>
  <c r="Q16" i="4"/>
  <c r="Q18" i="4" s="1"/>
  <c r="Q19" i="4" s="1"/>
  <c r="Q10" i="4"/>
  <c r="Y11" i="4"/>
  <c r="U19" i="4"/>
  <c r="U20" i="4"/>
  <c r="S18" i="4" l="1"/>
  <c r="S19" i="4" s="1"/>
  <c r="Q20" i="4"/>
  <c r="S20" i="4" l="1"/>
  <c r="Y20" i="4" s="1"/>
</calcChain>
</file>

<file path=xl/sharedStrings.xml><?xml version="1.0" encoding="utf-8"?>
<sst xmlns="http://schemas.openxmlformats.org/spreadsheetml/2006/main" count="15956" uniqueCount="3360">
  <si>
    <t>SPEAKERS INFORMATION</t>
  </si>
  <si>
    <t>SPEAKERS PREFERENCES</t>
  </si>
  <si>
    <t>FOLLOW-UP</t>
  </si>
  <si>
    <t>Travel information - confirmed</t>
  </si>
  <si>
    <t>APPROVALS</t>
  </si>
  <si>
    <t>Date</t>
  </si>
  <si>
    <t>Slot</t>
  </si>
  <si>
    <t xml:space="preserve">Estimated arrival date </t>
  </si>
  <si>
    <t xml:space="preserve">Estimated departure date </t>
  </si>
  <si>
    <t>Index unique</t>
  </si>
  <si>
    <t>Title</t>
  </si>
  <si>
    <t>Thematic clusters</t>
  </si>
  <si>
    <t>Format</t>
  </si>
  <si>
    <t>Merged sessions</t>
  </si>
  <si>
    <t>Merged lead?</t>
  </si>
  <si>
    <t>Lead partner organisation name</t>
  </si>
  <si>
    <t>Lead partner organisation country of origin</t>
  </si>
  <si>
    <t>Associated partners</t>
  </si>
  <si>
    <t>Coordinator</t>
  </si>
  <si>
    <t>Email address</t>
  </si>
  <si>
    <t>Company name</t>
  </si>
  <si>
    <t xml:space="preserve">Job title </t>
  </si>
  <si>
    <t>Speakers</t>
  </si>
  <si>
    <t>Answered</t>
  </si>
  <si>
    <t>Form sent to speakers/reminder to SC</t>
  </si>
  <si>
    <t>Do any of your speakers require travel coverage?</t>
  </si>
  <si>
    <t xml:space="preserve">Number of speakers needed for Travel </t>
  </si>
  <si>
    <t>Travel - Speaker 1 - Name</t>
  </si>
  <si>
    <t>Travel - Speaker 1 - Name + last name</t>
  </si>
  <si>
    <t>Travel - Speaker 1 - Email address</t>
  </si>
  <si>
    <t>Travel - Speaker 2 - Name</t>
  </si>
  <si>
    <t>Travel - Speaker 2 - Name + last name</t>
  </si>
  <si>
    <t>Travel - Speaker 2 - Email address</t>
  </si>
  <si>
    <t>Travel - Speaker 3 - Name</t>
  </si>
  <si>
    <t>Travel - Speaker 3 - Name + last name</t>
  </si>
  <si>
    <t>Travel - Speaker 3 - Email address</t>
  </si>
  <si>
    <t>Do any of your speakers require accommodation coverage?</t>
  </si>
  <si>
    <t>Number of speakers needed for Accommodation</t>
  </si>
  <si>
    <t>Accomodation - Speaker 1 - Name</t>
  </si>
  <si>
    <t>Accomodation - Speaker 1 - Last name</t>
  </si>
  <si>
    <t>Accomodation - Speaker 1 - Email address</t>
  </si>
  <si>
    <t>Accomodation - Speaker 2 - Name</t>
  </si>
  <si>
    <t>Accomodation - Speaker 2 - Last name</t>
  </si>
  <si>
    <t>Accomodation - Speaker 2 - Email address</t>
  </si>
  <si>
    <t>Accomodation - Speaker 3 - Name</t>
  </si>
  <si>
    <t>Accomodation - Speaker 3 - Last name</t>
  </si>
  <si>
    <t>Accomodation - Speaker 3 - Email address</t>
  </si>
  <si>
    <t xml:space="preserve">Additional comments </t>
  </si>
  <si>
    <t>Email follow up - Responses</t>
  </si>
  <si>
    <t>Comments VO</t>
  </si>
  <si>
    <t>First Name</t>
  </si>
  <si>
    <t>Last name</t>
  </si>
  <si>
    <t xml:space="preserve">Phone number </t>
  </si>
  <si>
    <t>Date and time of your speaking slot</t>
  </si>
  <si>
    <t>Travel needed</t>
  </si>
  <si>
    <t>Preferred mode of transport</t>
  </si>
  <si>
    <t>City of departure</t>
  </si>
  <si>
    <t>Date of departure</t>
  </si>
  <si>
    <t>Time of departure</t>
  </si>
  <si>
    <t>Return city</t>
  </si>
  <si>
    <t>Preferred date of return</t>
  </si>
  <si>
    <t>Preferred time of return</t>
  </si>
  <si>
    <t>Accommodation needed</t>
  </si>
  <si>
    <t>Additional comments</t>
  </si>
  <si>
    <t>Agency sent proposal</t>
  </si>
  <si>
    <t>Guest confirmed proposal</t>
  </si>
  <si>
    <t>Travel booked</t>
  </si>
  <si>
    <t>Travel tickets sent to guest</t>
  </si>
  <si>
    <t>Origin City (to Brussels)</t>
  </si>
  <si>
    <t>Flight/Train</t>
  </si>
  <si>
    <t>Flight/Train time</t>
  </si>
  <si>
    <t>Flight number/Train</t>
  </si>
  <si>
    <t>Return City (from Brussels)</t>
  </si>
  <si>
    <t>Date of return</t>
  </si>
  <si>
    <t>Flight/Train cost</t>
  </si>
  <si>
    <t>Check-in date</t>
  </si>
  <si>
    <t>Check out date</t>
  </si>
  <si>
    <t xml:space="preserve">Hotel name </t>
  </si>
  <si>
    <t>Hotel nights</t>
  </si>
  <si>
    <t>Hotel cost, €, excl. VAT</t>
  </si>
  <si>
    <t>Total cost, €</t>
  </si>
  <si>
    <t>Client's approval needed</t>
  </si>
  <si>
    <t>Client's approval received</t>
  </si>
  <si>
    <t>Approval reason</t>
  </si>
  <si>
    <t>11:30 - 13:00</t>
  </si>
  <si>
    <t>Enabled by Design: Building Risk Communication for People with Disabilities</t>
  </si>
  <si>
    <t>Cities building tomorrow</t>
  </si>
  <si>
    <t>Interactive session</t>
  </si>
  <si>
    <t> </t>
  </si>
  <si>
    <t>No</t>
  </si>
  <si>
    <t>Climate KIC International Foundation</t>
  </si>
  <si>
    <t>Netherlands</t>
  </si>
  <si>
    <t>Michelle Zheng ; Cristobal Reveco</t>
  </si>
  <si>
    <t xml:space="preserve"> michelle.zheng@climate-kic.org; cristobal.reveco@hereon.de</t>
  </si>
  <si>
    <t xml:space="preserve">EIT Climate-KIC </t>
  </si>
  <si>
    <t xml:space="preserve"> Officer</t>
  </si>
  <si>
    <t xml:space="preserve">Zdeněk HŘIB -  -  -  - ;
Štěpán Vizina -  -  -  - ;
Georgia KALOUSI -  -  -  - </t>
  </si>
  <si>
    <t>Yes</t>
  </si>
  <si>
    <t>YES</t>
  </si>
  <si>
    <t xml:space="preserve">No comment </t>
  </si>
  <si>
    <t>09:30 - 10:30</t>
  </si>
  <si>
    <t>Cities leveraging data for impact – showcasing real-life success stories</t>
  </si>
  <si>
    <t>Workshop</t>
  </si>
  <si>
    <t>Publications Office of the European Union</t>
  </si>
  <si>
    <t>Luxembourg</t>
  </si>
  <si>
    <t>Cecilia Charlier ; Dominika Uhrikova</t>
  </si>
  <si>
    <t xml:space="preserve"> Cecilia.CHARLIER@publications.europa.eu ; Dominika.UHRIKOVA@ec.europa.eu</t>
  </si>
  <si>
    <t xml:space="preserve"> Publications Office of the European Union </t>
  </si>
  <si>
    <t xml:space="preserve"> Assistant</t>
  </si>
  <si>
    <t xml:space="preserve">Mani Dhingra - Dublin City Council - Programme Manager -  - ;
Carlos MARTINS FERREIRA - Publications Office of the European Union - Assistant -  - </t>
  </si>
  <si>
    <t>yes</t>
  </si>
  <si>
    <t>Mani</t>
  </si>
  <si>
    <t>Dhingra</t>
  </si>
  <si>
    <t>mani@smartd8.ie</t>
  </si>
  <si>
    <t>Olaf</t>
  </si>
  <si>
    <t>Osica</t>
  </si>
  <si>
    <t>olaf.osica@gmail.com</t>
  </si>
  <si>
    <t>We have only 2 speakers to reimburse. As the system didn't allow to submit the form without filling in the 3rd line in each table, I put "n/a" in the third line of each table to say that line is not applicable.</t>
  </si>
  <si>
    <t>positive</t>
  </si>
  <si>
    <t>They will need t&amp;a for their speaker</t>
  </si>
  <si>
    <t>14th Oct 9.30 to 10.30 am</t>
  </si>
  <si>
    <t>I prefer to travel by plane</t>
  </si>
  <si>
    <t>Dublin</t>
  </si>
  <si>
    <t>Between 1 and 4 pm</t>
  </si>
  <si>
    <t>Between 12 and 4 pm</t>
  </si>
  <si>
    <t>Because of strike i would like to come a day early and leave a day later ti avoid 14th October travel day.</t>
  </si>
  <si>
    <t>Flight</t>
  </si>
  <si>
    <t>fr1452</t>
  </si>
  <si>
    <t>ei639</t>
  </si>
  <si>
    <t>14 Oct 09.30 AM</t>
  </si>
  <si>
    <t>Warsaw</t>
  </si>
  <si>
    <t xml:space="preserve">Since a national strike has been announced for the 14th of Oct I need to stay one more night after my panel. </t>
  </si>
  <si>
    <t>LO237</t>
  </si>
  <si>
    <t>SN2555</t>
  </si>
  <si>
    <t>The European Innovation Experience: A dynamic co-creative dialogue on how regional innovation boosts the Union of Skills and the twin transition</t>
  </si>
  <si>
    <t>Cohesion and Growth for the Future</t>
  </si>
  <si>
    <t>Hanze University of Applied Sciences</t>
  </si>
  <si>
    <t>Albert Haan ; Elanna Veldkamp</t>
  </si>
  <si>
    <t xml:space="preserve"> a.w.haan@pl.hanze.nl ; e.s.veldkamp@pl.hanze.nl</t>
  </si>
  <si>
    <t xml:space="preserve"> Hanze University of Applied Sciences </t>
  </si>
  <si>
    <t xml:space="preserve"> Project Manager</t>
  </si>
  <si>
    <t xml:space="preserve">Svenja Tams - Hochschule Bremen  - Professor -  - ;
Rix Groenboom - Hanze University of Applied Sciences - Professor -  - ;
Amir Haj-Bolouri - University West - Professor -  - </t>
  </si>
  <si>
    <t>Rix</t>
  </si>
  <si>
    <t>Groenboom</t>
  </si>
  <si>
    <t>h.m.groenboom@pl.hanze.nl</t>
  </si>
  <si>
    <t>Svenja</t>
  </si>
  <si>
    <t>Tams</t>
  </si>
  <si>
    <t>Svenja.Tams@hs-bremen.de</t>
  </si>
  <si>
    <t>Dorina</t>
  </si>
  <si>
    <t>Gjipali</t>
  </si>
  <si>
    <t>dorinagjipali@uamd.edu.al</t>
  </si>
  <si>
    <t>Groningen</t>
  </si>
  <si>
    <t>+49 1516 5151 748</t>
  </si>
  <si>
    <t>Wed, 15/10/2025, 11:30-13:00 CET</t>
  </si>
  <si>
    <t>I prefer to travel by train</t>
  </si>
  <si>
    <t>Bremen</t>
  </si>
  <si>
    <t>09:00</t>
  </si>
  <si>
    <t>15:00</t>
  </si>
  <si>
    <t>Please book one additional night from Monday, 13.10.2025 - Tuesday, 14.10.2025.</t>
  </si>
  <si>
    <t>train</t>
  </si>
  <si>
    <t>Wednesday, 15 October 2025 11:30 - 13:00 CET</t>
  </si>
  <si>
    <t>Tirana</t>
  </si>
  <si>
    <t>Daily</t>
  </si>
  <si>
    <t>tb2952</t>
  </si>
  <si>
    <t>lh5577-1453</t>
  </si>
  <si>
    <t>15:30 - 16:30</t>
  </si>
  <si>
    <t>Power of Territorial Cooperation: Co-creating a common and sustainable Baltic Sea Region by Macro-Regional Strategy, Interreg, Youth and Communities</t>
  </si>
  <si>
    <t>The Right to Stay: unlocking the potential of every territory</t>
  </si>
  <si>
    <t xml:space="preserve">Interreg Baltic Sea Region </t>
  </si>
  <si>
    <t>Germany</t>
  </si>
  <si>
    <t>Elena Kolosova ; Anna Galyga</t>
  </si>
  <si>
    <t xml:space="preserve"> elena.kolosova@interreg-baltic.eu; Anna.Galyga@interreg-baltic.eu</t>
  </si>
  <si>
    <t xml:space="preserve">baltic.eu </t>
  </si>
  <si>
    <t xml:space="preserve"> Interreg Baltic Sea Region - Representative</t>
  </si>
  <si>
    <t xml:space="preserve">Esa Kokkonen - The Baltic Institute of Finland - Director -  - ;
Martin  Noorkõiv - Foundation for Science and Liberal Arts Domus Dorpatensis - Director -  - ;
Silva Laure - The Council of the Baltic Sea States Secretariat  - Officer -  - </t>
  </si>
  <si>
    <t>After deadline-via email - request approved</t>
  </si>
  <si>
    <t>Silva</t>
  </si>
  <si>
    <t>Laure</t>
  </si>
  <si>
    <t>silva.laure@gmail.com</t>
  </si>
  <si>
    <t xml:space="preserve">Laure </t>
  </si>
  <si>
    <t>+371 29215900</t>
  </si>
  <si>
    <t>14th of October, 15:30 to 16:30</t>
  </si>
  <si>
    <t>Riga</t>
  </si>
  <si>
    <t>evening</t>
  </si>
  <si>
    <t>BT603</t>
  </si>
  <si>
    <t>BT602</t>
  </si>
  <si>
    <t>11:30 - 12:30</t>
  </si>
  <si>
    <t>Connected to stay: Investing in digital connectivity for Europe’s remote, rural and outermost regions</t>
  </si>
  <si>
    <t xml:space="preserve">European Broadband Competence Offices Network Support Facility </t>
  </si>
  <si>
    <t>Belgium</t>
  </si>
  <si>
    <t>Dimitra Vasilia ; Angelo Cerqueti</t>
  </si>
  <si>
    <t xml:space="preserve"> dimitra.vasilia@broadbandeurope.eu ; angelo.cerqueti@ec.europa.eu</t>
  </si>
  <si>
    <t xml:space="preserve"> European Commission </t>
  </si>
  <si>
    <t xml:space="preserve"> DG AGRI - Representative</t>
  </si>
  <si>
    <t xml:space="preserve">Maria-Christina MAKRANDREOU - European Commission - DG AGRI -  -  - ;
Herve DUPUY - Health and Digital Executive Agency (HaDEA) - Head of Unit -  - ;
João Vaz - National Authority for Communications - ANACOM - Director -  - </t>
  </si>
  <si>
    <t>Joao</t>
  </si>
  <si>
    <t xml:space="preserve">Vaz </t>
  </si>
  <si>
    <t xml:space="preserve">joao.beleza@anacom.pt
 </t>
  </si>
  <si>
    <t>Ashya</t>
  </si>
  <si>
    <t>Lane Spollen MODERATOR</t>
  </si>
  <si>
    <t>ashya@broadbandeurope.eu</t>
  </si>
  <si>
    <t>answered on the first of july</t>
  </si>
  <si>
    <t> Deadline to complete the form: 31 July. - REMINDER SENT 08-08 + 14/08</t>
  </si>
  <si>
    <t>October 15 11:30 to 12:30 CET</t>
  </si>
  <si>
    <t>Ponta Delgada</t>
  </si>
  <si>
    <t>Travelling to and from Ponta Delgada (Azores) may involve a stopover in Lisbon. If there is no flight connection on the same day, I would like to request accommodation in Lisbon.</t>
  </si>
  <si>
    <t>14:00 - 15:30</t>
  </si>
  <si>
    <t>Advancing and monitoring circular economy lifestyles and policies in cities and regions.</t>
  </si>
  <si>
    <t>German Environment Agency</t>
  </si>
  <si>
    <t>Jan Gimkiewicz; Mariann Szabo</t>
  </si>
  <si>
    <t xml:space="preserve"> Jan.Gimkiewicz@uba.de; szabo.mariann@gtk.bme.hu</t>
  </si>
  <si>
    <t xml:space="preserve"> German Environment Agency </t>
  </si>
  <si>
    <t xml:space="preserve">Jan </t>
  </si>
  <si>
    <t>Gimkiewicz</t>
  </si>
  <si>
    <t>jan.gimkiewicz@uba.de</t>
  </si>
  <si>
    <t>Mariann</t>
  </si>
  <si>
    <t>Szabo</t>
  </si>
  <si>
    <t>szabo.mariann@gtk.bme.hu</t>
  </si>
  <si>
    <t>Iris</t>
  </si>
  <si>
    <t>Kriikkula</t>
  </si>
  <si>
    <t>iris.kriikkula@turku.fi</t>
  </si>
  <si>
    <t>We will try to confirm Speakers in July.</t>
  </si>
  <si>
    <t>+49 (0)340 2103 3305</t>
  </si>
  <si>
    <t>Wed 15/10/2025, 14:00 - 15:30 CET</t>
  </si>
  <si>
    <t>Leipzig</t>
  </si>
  <si>
    <t>early morning - session at 2pm</t>
  </si>
  <si>
    <t>My session is on 15 October afternoon, but I would like to travel to Brussels already on 14 October, as the journey is quite long and there is no adequate option to travel on 15 October and get to Brussels in time. 
However, I wish to extend my stay to attend other sessions as a participant. And I would like to avoid the strike on 14 October. Therefore, I would be grateful if I could travel already on 13 October.</t>
  </si>
  <si>
    <t xml:space="preserve"> Please confirm whether we can book the flight on the 13th (instead of 15th in the morning) and whether we could cover those extra nights or not 
The speaker coming from Leipzig (session 2110), for whom we agreed the following: "while the train is cheaper, it seems disproportionate to cover 3 nights for him when there is a flight option, in particular since the journey is above 400 km. Please offer the flight ticket with one night accommodation." is insisting that he wants to arrive on 13 October instead of the morning of the 15th. He says: "This would ensure a timely arrival without complications and it would give me the opportunity to attend other sessions as well."
The travel agency has confirmed that the train on 13 October is cheaper than on the 15th. Can we therefore offer him travel from 13 to 15 October, informing him that he would need to cover both nights of accommodation in that case?</t>
  </si>
  <si>
    <t>TRAVEX comment: Current prices show that train tickets 13-15 Oct. are 256€ cheaper than flying 15-16 Oct
Shadi decision: while the train is cheaper it seems disproportionate to cover 3 nights for him when there is a flight option, in particular since the journey is above 400 km. Please offer the flight ticket with one night accommodation.
Caroline: If it is possible to make the round trip by plane on the same day for his  session, then the train would not have been our recommended option.  That said, we can offer a round trip by train since it is cheaper.  We could even consider covering one overnight stay, provided that the price difference between the plane and the train is enough to cover the cost of one night. Any additional night, however, would remain at his own expense.</t>
  </si>
  <si>
    <t>15.10.2025, 14.00-15.30</t>
  </si>
  <si>
    <t>Turku</t>
  </si>
  <si>
    <t>14-16</t>
  </si>
  <si>
    <t>10am-18</t>
  </si>
  <si>
    <t>13-15 is possible but it makes a landing in Turku at 02.00am…which is not really suitable -&gt; PRICE:  701.10 euro
13-16 is more suitable - PRICE: 673.10 -&gt; if this option is selected, please confirm whether we should cover all the nights from13 to 16th.</t>
  </si>
  <si>
    <t xml:space="preserve"> Regarding the accommodation, we can agree to cover from the 13 to the 15 (given the particular case as no feasible flights are available on 15 AM and due to strike on 14 October)</t>
  </si>
  <si>
    <t>+36706012632</t>
  </si>
  <si>
    <t>15/10/2025 from 14:00 to 15:30</t>
  </si>
  <si>
    <t>Budapest</t>
  </si>
  <si>
    <t>6:30</t>
  </si>
  <si>
    <t>21:30</t>
  </si>
  <si>
    <t>SN2826</t>
  </si>
  <si>
    <t>FR4264</t>
  </si>
  <si>
    <t>14:00 - 15:00</t>
  </si>
  <si>
    <t>Let’s build the future in cities together — accelerating the climate transition through impactful, U!REKA European university collaboration</t>
  </si>
  <si>
    <t>Metropolia University of Applied Sciences</t>
  </si>
  <si>
    <t>Finland</t>
  </si>
  <si>
    <t>Mikael Vainio ; Liesbet Cosyn</t>
  </si>
  <si>
    <t xml:space="preserve"> mikael.vainio@metropolia.fi ; liesbet.cosyn@hogent.be</t>
  </si>
  <si>
    <t xml:space="preserve"> Metropolia University of Applied Sciences </t>
  </si>
  <si>
    <t xml:space="preserve"> Representative</t>
  </si>
  <si>
    <t xml:space="preserve">Iina  Oilinki  - City of Helsinki - Director -  - ;
Filip van de Velde - City of Ghent - Expert -  - ;
Geleyn Meijer - Amsterdam University of Applied Sciences - President -  - </t>
  </si>
  <si>
    <t xml:space="preserve">yes </t>
  </si>
  <si>
    <t>Iina</t>
  </si>
  <si>
    <t>Oilinki</t>
  </si>
  <si>
    <t>iina.oilinki@hel.fi</t>
  </si>
  <si>
    <t>-</t>
  </si>
  <si>
    <t xml:space="preserve">Our speaker from the City of Helsinki, Iina Oilinki, would prefer a direct flight connection from Helsinki to Brussels. </t>
  </si>
  <si>
    <t>they would like t&amp;a from the 13th to the 15th</t>
  </si>
  <si>
    <t>358-50-3461216</t>
  </si>
  <si>
    <t>14.10.2025 14.00-15-00</t>
  </si>
  <si>
    <t>Helsinki</t>
  </si>
  <si>
    <t>afternoon (for example the Finnair at 16.40)</t>
  </si>
  <si>
    <t>mid morning (not before 8 am) for example the Finnair at 11.40</t>
  </si>
  <si>
    <t>AY1545</t>
  </si>
  <si>
    <t>AY1542</t>
  </si>
  <si>
    <t>  673,10€ - over budget</t>
  </si>
  <si>
    <t>Shadi: ok</t>
  </si>
  <si>
    <t>Approval received via email on 8 August</t>
  </si>
  <si>
    <t>Cooperation for a Safer Tomorrow: Strengthening Security and Resilience Across Europe</t>
  </si>
  <si>
    <t xml:space="preserve">Interact Managing Authority </t>
  </si>
  <si>
    <t>Slovakia</t>
  </si>
  <si>
    <t xml:space="preserve">Jelena Stojovic ; Zaneta Chylova </t>
  </si>
  <si>
    <t xml:space="preserve"> jelena.stojovic@interact.eu ; zaneta.chylova@interact.eu</t>
  </si>
  <si>
    <t xml:space="preserve"> Interact </t>
  </si>
  <si>
    <t xml:space="preserve">Erwin SIWERIS - Interreg Europe - Programme Manager -  - ;
Wiktor Szydarowski - ESPON EGTC - Director -  - ;
Margit Tuennemann - URBACT Secretariat - Policy Officer -  - </t>
  </si>
  <si>
    <t>YOUTH 4 OUTERMOST REGIONS Final Event</t>
  </si>
  <si>
    <t xml:space="preserve">Startup Europe Regions Network </t>
  </si>
  <si>
    <t>Ana Catarino ; Luisa Marchionni</t>
  </si>
  <si>
    <t xml:space="preserve"> ana.catarino@startupregions.eu ; luisa.marchionni@startupregions.eu;  info@youth4outermostregions.eu</t>
  </si>
  <si>
    <t xml:space="preserve"> Startup Europe Regions Network  </t>
  </si>
  <si>
    <t xml:space="preserve">Daniel ALBUQUERQUE - European Commission - Expert -  - ;
German ESTEBAN - European Commission - Deputy Head of Unit -  - ;
Luisa Marchionni - Startup Europe Regions Network  - Project Manager -  - </t>
  </si>
  <si>
    <t>Soraia</t>
  </si>
  <si>
    <t>Rodrigues</t>
  </si>
  <si>
    <t>Soraia.Rodrigues00@hotmail.com</t>
  </si>
  <si>
    <t xml:space="preserve">Laurine </t>
  </si>
  <si>
    <t>Marié</t>
  </si>
  <si>
    <t>o.laurinemarie@gmail.com</t>
  </si>
  <si>
    <t>Noelia del Pino</t>
  </si>
  <si>
    <t>Rodriguez Dominguez</t>
  </si>
  <si>
    <t>noeliarodriguez1900@gmail.com; hola@b4c.es</t>
  </si>
  <si>
    <t>The speakers will be travelling from EU's outermost regions.</t>
  </si>
  <si>
    <t>Email sent to confirm city/location</t>
  </si>
  <si>
    <t>+351 912000151</t>
  </si>
  <si>
    <t xml:space="preserve">15 october at 2 pm </t>
  </si>
  <si>
    <t>Funchal, Madeira</t>
  </si>
  <si>
    <t>Considering the national strike is planned for 14 October, I would prefer to travel on the 13th or 12 th of October. I only wish to stay for the time strictly necessary for the event (or a little bit more to know the city) . If possible, I would appreciate it if you could arrange a direct flight from Madeira to Brussels. I’m not sure what dates to request at this stage, as the event is still a bit far off. I would also be grateful if you could contact me or share the available flight options closer to the date, when travel arrangements are being prepared.
If possible, I would appreciate it if you could contact me or share the available flight options closer to the date, or when travel arrangements are being prepared.
Thank You so much</t>
  </si>
  <si>
    <t>Funchal (Madeira)</t>
  </si>
  <si>
    <t>TP1688</t>
  </si>
  <si>
    <t>TP641-TP1691</t>
  </si>
  <si>
    <t>Please confirm whether we can book the flight on the 13th (instead of 15th in the morning) and whether we could cover the extra nights on 13 and 14 October</t>
  </si>
  <si>
    <t>Shadi: Given the length of the journey we confirm we can cover the accommodation and travel from 13 to 16 AugustFInalis</t>
  </si>
  <si>
    <t>Toulon (France)</t>
  </si>
  <si>
    <t>In the morning</t>
  </si>
  <si>
    <t>Toulon</t>
  </si>
  <si>
    <t>Considering the national strike is planned for 14 October, I would prefer to travel on the 13th of October</t>
  </si>
  <si>
    <t xml:space="preserve"> Please confirm whether we can book the flight on the 13th (instead of 15th in the morning) and whether we could cover the extra nights on 13 and 14 October
Laurine is the speaker coming from Toulon. In her form, she indicated that she wanted to travel on 13 October instead of 15 October. However, after checking with Shadi, we agreed to offer her a round-trip on 15 October (since her session is at 2:00 pm that day and this option was feasible).
SN3604 15OCT MRS 1 BRU 06:40 - 0825
SN3603 15OCT BRU MRS 1 21:10 – 22: 55
However, when the travel agency sent her the travel proposal, she replied saying that she insists on traveling on 13 October. We informed her that: "As your session is on 15 October at 2 pm, the strike does not affect your case. In addition, since there is an option to return on the same day after your session, no nights can be offered to you (we would only offer the night of 15 October if no return flight were available that same evening). Therefore, if you wish to arrive on 13 October (provided there is a flight at the same or lower cost than on 15 October), you would need to cover both the night of 13 and the night of 14 October yourself. Moreover, we would not arrange the booking for you and you would need to take care of it directly."
Now the session organiser (Ana Caterino) has contacted us and said the following: "We were previously informed by the EU Regions Week Secretariat team of the possibility of traveling on 13 October, with an extra night secured for this purpose. As DG REGIO.A1 colleagues are already making arrangements for 14 October, I would like to kindly request that Laurine arrives on 13 October in order to join her colleagues and participate in the programme on 14 October."
I still understand that, since she has the option to travel to Brussels and back on 15 October, we should not cover the extra nights and that we could only offer travel on 13 October if the flight on that day is equal to or cheaper than the flight on 15 October. Could you please confirm how we should proceed?</t>
  </si>
  <si>
    <t>Shadi: Please offer a return travel for the same day 15 August
SN3604    15OCT  MRS 1 BRU    0640  0825   
SN3603    15OCT  BRU   MRS 1  2110  2255
Price : 660€
Caroline: If a same-day return by plane is possible for her session, we would not have suggested  the outbound travel on 13 October. However, we can offer it. We could cover one overnight stay if the fare difference between 13–15 October and a same-day return on 15 October is enough to cover the cost of one night. Any extra nights would remain at her expense.</t>
  </si>
  <si>
    <t>Las Palmas de Gran Canaria</t>
  </si>
  <si>
    <t>"Considerando que el paro nacional está previsto para el 14 de octubre, preferiría viajar el 13 de octubre".</t>
  </si>
  <si>
    <t> 10:25</t>
  </si>
  <si>
    <t>VY 3005</t>
  </si>
  <si>
    <t> 18:05</t>
  </si>
  <si>
    <t> VY 8983</t>
  </si>
  <si>
    <t> €759.84 (TBC)</t>
  </si>
  <si>
    <t xml:space="preserve">no flight available on the morning of the 15th that would allow her to arrive in time for her session. Therefore, she would need to arrive on the 13th and could return on the 15th after her session.
The price of this flight is €759.84.
Could you please confirm whether we can book this flight, and if so, whether we should cover the nights of October 13 and 14 (and “release” the night of the 15 we had initially planned for her)? </t>
  </si>
  <si>
    <t>Agreed, thank you</t>
  </si>
  <si>
    <t>Unlocking Regional Potential through European University Alliances: The Cases of BAUHAUS4EU and SUNRISE</t>
  </si>
  <si>
    <t>Hauts-de-France Regional Council</t>
  </si>
  <si>
    <t>France</t>
  </si>
  <si>
    <t xml:space="preserve">Romain Nivelle ; Annaelie Zapfe </t>
  </si>
  <si>
    <t xml:space="preserve"> romain.nivelle@hautsdefrance.fr ; Annelie.Zapfe@tsk.thueringen.de</t>
  </si>
  <si>
    <t xml:space="preserve"> Hauts-de-France Region</t>
  </si>
  <si>
    <t>Director</t>
  </si>
  <si>
    <t xml:space="preserve">Thomas MIROW - TU Ilmenau  - Head of Unit -  - ;
Joanna Daaboul - UTC - Head of Unit -  - ;
Andreas ZEINERT - UPJV - Project Manager -  - </t>
  </si>
  <si>
    <t>Women breaking barriers: gender-responsive twin transformation across regions</t>
  </si>
  <si>
    <t>United Nations Development Programme</t>
  </si>
  <si>
    <t>Türkiye</t>
  </si>
  <si>
    <t>İrem Uzun ; Sedef Zağlıkılıç</t>
  </si>
  <si>
    <t xml:space="preserve"> irem.uzun@undp.org ; sedef.zaglikilic@undp.org</t>
  </si>
  <si>
    <t xml:space="preserve"> United Nations Development Programme </t>
  </si>
  <si>
    <t xml:space="preserve">Turkish Confederation of Employer Associations TİSK - Turkish Conferedation of Employer Associations - Director -  - ;
Hande Bayrak - MEXT Technology Center (MEXT) - Director -  - ;
Kısmet Deniz Çiftçi - United Nations Development Programme - Director -  - </t>
  </si>
  <si>
    <t>İrem</t>
  </si>
  <si>
    <t>Uzun</t>
  </si>
  <si>
    <t>irem.uzun@undp.org</t>
  </si>
  <si>
    <t>Pelin</t>
  </si>
  <si>
    <t>Öztürk Yudu</t>
  </si>
  <si>
    <t>pozturk@tisk.org.tr</t>
  </si>
  <si>
    <t>Mustafa Akan</t>
  </si>
  <si>
    <t>Fazlıoğlu</t>
  </si>
  <si>
    <t>mustafa.fazlioglu@eeas.europa.eu</t>
  </si>
  <si>
    <t>We had previously sent an email to clarify whether the T&amp;A arrangement covers the moderator and coordinator, but since we haven’t received a response yet, we filled out the form in order not to miss the deadline. If this is not the case, we would appreciate it if you could kindly let us know.</t>
  </si>
  <si>
    <t>+90 535 971 7794</t>
  </si>
  <si>
    <t>15/10/2025 14:00-15:00</t>
  </si>
  <si>
    <t>Ankara, Türkiye</t>
  </si>
  <si>
    <t>early morning on 15th of October if possible. If not departure date is 13th October</t>
  </si>
  <si>
    <t>Although our session is scheduled for the afternoon of October 15, since we will be travelling from Ankara and there are no direct flights between Ankara and Brussels, we would prefer to travel on October 14— if it is also convenient for you. In addition, since we would like to attend the events taking place after our session on 15 October and plan to hold meetings with potential partners, would it be possible to arrange our return tickets for 16 October? In this case, we agree to cover the accommodation expenses for the extra night in Brussels on 15 October.</t>
  </si>
  <si>
    <t xml:space="preserve">no flight on the 15th morning - they should travel on the 13th </t>
  </si>
  <si>
    <t>We confirm that we can cover accommodation for the extra nights for the two speakers (nights covered from 13 to 16)</t>
  </si>
  <si>
    <t>+90 530 312 48 84</t>
  </si>
  <si>
    <t>Although our session is scheduled for the afternoon of October 15, since we will be travelling from Ankara and_x000D_
there are no direct flights between Ankara and Brussels, we would prefer to travel on October 14— if it is also_x000D_
convenient for you. In addition, since we would like to attend the events taking place after our session on 15_x000D_
October and plan to hold meetings with potential partners, would it be possible to arrange our return tickets for_x000D_
16 October? In this case, we agree to cover the accommodation expenses for the extra night in Brussels on 15_x000D_
October.</t>
  </si>
  <si>
    <t>Deniz</t>
  </si>
  <si>
    <t>Ciftci</t>
  </si>
  <si>
    <t> deniz.ciftci@undp.org</t>
  </si>
  <si>
    <t>2025. October 15. / 11:30</t>
  </si>
  <si>
    <t>NO - IMPORTANT - ACCOMMODATION NOT COVERED</t>
  </si>
  <si>
    <t>Within the scope of the event, the ticket options for our other team members (İrem Hüda Uzun and Pelin Öztürk Yudu) were proposed as departure on 13 October and return on 16 October. In this regard, I kindly request that the same ticket options be proposed for me as well.</t>
  </si>
  <si>
    <r>
      <rPr>
        <sz val="11"/>
        <color rgb="FF212121"/>
        <rFont val="Aptos"/>
      </rPr>
      <t>Since the EEAS speaker was initially indicated but could not be covered as this did not align with the event’s guidelines, and given that the replacement has been proposed after the deadline, we are unfortunately unable to guarantee full coverage at this stage. What we can do is cover the travel ticket for the replacement, Ms. Deniz Ciftci. However, please note that the accommodation arrangements would need to be </t>
    </r>
    <r>
      <rPr>
        <b/>
        <sz val="12"/>
        <color rgb="FF212121"/>
        <rFont val="Aptos"/>
      </rPr>
      <t>made and covered directly by you.</t>
    </r>
  </si>
  <si>
    <t>09:30 - 11:00</t>
  </si>
  <si>
    <t>EU NEB Local Chapters: Shaping the Future of the New European Bauhaus at Local Level together  – Participatory lab</t>
  </si>
  <si>
    <t>EuroVértice</t>
  </si>
  <si>
    <t>Spain</t>
  </si>
  <si>
    <t xml:space="preserve">Nuria Prior Arce ; Alessandro Rancati </t>
  </si>
  <si>
    <t xml:space="preserve"> nuria.prior@eurovertice.eu ; starglide@livepods.eu</t>
  </si>
  <si>
    <t xml:space="preserve"> EuroVértice </t>
  </si>
  <si>
    <t xml:space="preserve"> Director-General</t>
  </si>
  <si>
    <t xml:space="preserve">Borut CINK - European Commission - JRC - Brussels - Representative -  - ;
Marcos ROS SEMPERE - European Parliament - - -  - ;
Paola VALANDRO - ART-ER Attrattività Ricerca Territorio  -  -  - </t>
  </si>
  <si>
    <t>Maria</t>
  </si>
  <si>
    <t>Huertas Rubio</t>
  </si>
  <si>
    <t>maria.huertas@eurovertice.eu</t>
  </si>
  <si>
    <t>Paola</t>
  </si>
  <si>
    <t>Valandro</t>
  </si>
  <si>
    <t>paola.valandro@art-er.it</t>
  </si>
  <si>
    <t>Patrik</t>
  </si>
  <si>
    <t>Karlsson</t>
  </si>
  <si>
    <t>patrik.karlsson.ryberg@ri.se</t>
  </si>
  <si>
    <t>María</t>
  </si>
  <si>
    <t xml:space="preserve">no comment </t>
  </si>
  <si>
    <t>they would like to stay more and change their flight date</t>
  </si>
  <si>
    <t>Wed 15/10/2025, 09:30 - 11:00 CET</t>
  </si>
  <si>
    <t>Alicante</t>
  </si>
  <si>
    <t xml:space="preserve">I wish to extend my stay to attend other sessions as a participant if possible. Additional nights on 13th and 15th will be covered on my own. </t>
  </si>
  <si>
    <t>Please confirm whether we can book the return flight on the 16 (instead of 15th). He says he would cover the extra night on the 15th</t>
  </si>
  <si>
    <t>15/10/2025 - 9:30 - 11:00</t>
  </si>
  <si>
    <t>Bologna (Italy)</t>
  </si>
  <si>
    <t>Brussels</t>
  </si>
  <si>
    <t> To avoid issues with the national strike planned for 14 October in Belgium I will travel the 13th, so I need additional night in Brussels. Thanks</t>
  </si>
  <si>
    <t>az7636</t>
  </si>
  <si>
    <t>az7637</t>
  </si>
  <si>
    <t>Karlsson Ryberg</t>
  </si>
  <si>
    <t>the 15th October, 9:30-11:00</t>
  </si>
  <si>
    <t>Stockholm</t>
  </si>
  <si>
    <t> Stockholm</t>
  </si>
  <si>
    <t>SN2292</t>
  </si>
  <si>
    <t>SK1590</t>
  </si>
  <si>
    <t>Choosing Europe and its regions: Addressing brain drain of scientific minds in Europe &amp; attracting talents from oversees</t>
  </si>
  <si>
    <t xml:space="preserve">European Commission - DG RTD </t>
  </si>
  <si>
    <t>Chiara Aprea ; Eszter Wirth</t>
  </si>
  <si>
    <t> Chiara.APREA@ec.europa.eu; Eszter.Wirth@cor.europa.eu</t>
  </si>
  <si>
    <t xml:space="preserve"> DG RTD  - Representative</t>
  </si>
  <si>
    <t xml:space="preserve">Magda DE CARLI - European Commission - DG RTD  - Deputy Director -  - ;
Emil Boc - Cluj-Napoca City - Mayor -  - </t>
  </si>
  <si>
    <t>Gabriele</t>
  </si>
  <si>
    <t>Marzano</t>
  </si>
  <si>
    <t>gabriele.marzano@regione.emilia-romagna.it</t>
  </si>
  <si>
    <t>Only 1 speaker may need travel and accommodation coverage. The name of the speaker is yet to be confirmed.</t>
  </si>
  <si>
    <t>00393358285087</t>
  </si>
  <si>
    <t>Tue 14/10/2025, 14:00 - 15:00 CET</t>
  </si>
  <si>
    <t>Bologna (IT)</t>
  </si>
  <si>
    <t>h. 18.30</t>
  </si>
  <si>
    <t>Bologna</t>
  </si>
  <si>
    <t>In order to prevent the risk of delaying my presence to the session due at 14.00h on the 14th of October, because of national strikes, I would prefer 1) to reach Brussels the day before (i.e. Brussels Airlines from Bologna to Brussels (h. 18.30 - 20.15); 2) stay the night btw 13th and 14th Oct; 3) be already in the morning at the events; 4) leaving in the evening by airplane (i.e. BRU h. 18.55 - FCO - BLQ h. 22.45). I motivate this request for prevening any risk of facing impediments for strikes in the morning of the 14th October. Thanks. Gabriele Marzano</t>
  </si>
  <si>
    <t>az165-1321</t>
  </si>
  <si>
    <t>Territorial truths: What the data say about Europe's cohesion and competitiveness</t>
  </si>
  <si>
    <t xml:space="preserve">European Commission - Eurostat </t>
  </si>
  <si>
    <t>Reka Fodor ; Mate Farkas</t>
  </si>
  <si>
    <t xml:space="preserve"> Reka.FODOR@ec.europa.eu ; Mate.FARKAS@ec.europa.eu</t>
  </si>
  <si>
    <t xml:space="preserve"> Eurostat - Assistant</t>
  </si>
  <si>
    <t xml:space="preserve">Lewis DIJKSTRA - European Commission - DG JRC - Representative -  - ;
Teodora BRANDMUELLER - Eurostat - Deputy Head of Unit -  - ;
Rudiger Ahrend - Organisation for Economic Co-operation and Development  - Representative -  - </t>
  </si>
  <si>
    <t>Rudiger</t>
  </si>
  <si>
    <t>Ahrend</t>
  </si>
  <si>
    <t>Rudiger.Ahrend@oecd.org</t>
  </si>
  <si>
    <t>Deadline to complete the form: 5 August - REMINDER SENT 08-08</t>
  </si>
  <si>
    <t>14 October, 9.30</t>
  </si>
  <si>
    <t>Paris</t>
  </si>
  <si>
    <t>9.12 am</t>
  </si>
  <si>
    <t xml:space="preserve">I would like to stay beyond the 14th to participate in other sessions. I understand that the second night may not be covered. </t>
  </si>
  <si>
    <t>Train</t>
  </si>
  <si>
    <t>Hackathon: Shaping a smart and sustainable tourism strategy in the Mediterranean together</t>
  </si>
  <si>
    <t xml:space="preserve">Interreg Italy - France Maritime </t>
  </si>
  <si>
    <t>Italy</t>
  </si>
  <si>
    <t>Filippo Giabbani ; Maura Isetto ; Franceesca D'Angelo</t>
  </si>
  <si>
    <t xml:space="preserve"> marittimo1420@regione.toscana.it ; mauraisetto11@gmail.com; francesca.dangelo@regione.toscana.it</t>
  </si>
  <si>
    <t xml:space="preserve"> Interreg Italy </t>
  </si>
  <si>
    <t xml:space="preserve"> France Maritime - Programme Manager</t>
  </si>
  <si>
    <t xml:space="preserve">Filippo Giabbani - Interreg Italy - France Maritime  - Programme Manager -  - ;
Joseph Park - NECSTouR - Representative -  - ;
ROSA ESCAMILLA - Interact - - -  - </t>
  </si>
  <si>
    <t>ALEJANDRO</t>
  </si>
  <si>
    <t>LA FARGA MARTINEZ</t>
  </si>
  <si>
    <t>lafarga_ale@gva.es</t>
  </si>
  <si>
    <t>SILVIA</t>
  </si>
  <si>
    <t>COMIATI</t>
  </si>
  <si>
    <t>silvia.comiati@regione.veneto.it</t>
  </si>
  <si>
    <t> Deadline to complete the form: 30 July - REMINDER SENT 08-08</t>
  </si>
  <si>
    <t>+34659557133</t>
  </si>
  <si>
    <t>15/10/2025 14:00</t>
  </si>
  <si>
    <t>Valencia, Spain</t>
  </si>
  <si>
    <t>morning</t>
  </si>
  <si>
    <t>afternoon</t>
  </si>
  <si>
    <t>I am also part of the organising team of the stand 251960: transnational cooperation: building solidarity, driving synergies and delivering change; and my Programme (Interreg NEXT MED) is funding the NAWAMED project, which is finalist at the Regiostars Awards. We expect to attend the REGIOSTARS ceremony. Given all this. I need to travel to Brussels the 13th to be at the stand and come back the 16th to attend the ceremony. Thanks</t>
  </si>
  <si>
    <t>He is also part of a stand. Please confirm whether we can book his flights from the 13th to the 16th instead of 15 to 16th. PLease also confirm whether we will cover the extra nights or not</t>
  </si>
  <si>
    <t>Approved from 13 to 16th - nights covered</t>
  </si>
  <si>
    <t>+39 338 496 3190</t>
  </si>
  <si>
    <t>15/10/2025 at 14.00</t>
  </si>
  <si>
    <t>Venice</t>
  </si>
  <si>
    <t>The cost of the flight on Monday 13/10 and Tuesday 14/10 is the same and I will take care of covering the hotel night for 13/10</t>
  </si>
  <si>
    <t>sn3208</t>
  </si>
  <si>
    <t>sn3207</t>
  </si>
  <si>
    <t>Check if there is a flight on the 15th. IF YES -&gt; If the fllight on the 13th has the same price or below she can travel. Accommodation at her own exp on 13 and 14
IF THERE IS NO FLIGHT ON 15TH early morning, please inform us</t>
  </si>
  <si>
    <t>11:30  - 13:00</t>
  </si>
  <si>
    <t>Participatory Lab: empowering communities through inclusive renovation and regional sustainability</t>
  </si>
  <si>
    <t>Steinbeis Europa Zentrum</t>
  </si>
  <si>
    <t>Pia Burkhardt ; Siora Keller</t>
  </si>
  <si>
    <t xml:space="preserve"> Ramojus.REIMERIS@ec.europa.eu ; Solange.MIFSUD@ec.europa.eu</t>
  </si>
  <si>
    <t>Representative</t>
  </si>
  <si>
    <t xml:space="preserve">Mara Oprea - Institute for European Energy and Climate Policy  - Expert -  - ;
Bernardo Xavier - Just a Change - Expert -  - ;
David Ferge - Th!nk Europe - Expert -  - </t>
  </si>
  <si>
    <t>Clara</t>
  </si>
  <si>
    <t>Tripodi</t>
  </si>
  <si>
    <t>clara.tripodi@justachange.pt</t>
  </si>
  <si>
    <t>David</t>
  </si>
  <si>
    <t>Ferge</t>
  </si>
  <si>
    <t>david.ferge@fdm-ius.eu</t>
  </si>
  <si>
    <t>geral@mediotejo21.net</t>
  </si>
  <si>
    <t>Can we adapt in case the speaker changes?</t>
  </si>
  <si>
    <t>BUDAPEST</t>
  </si>
  <si>
    <t>15th Oct at 11:30 CEST</t>
  </si>
  <si>
    <t>Lisbon</t>
  </si>
  <si>
    <t>no preferences</t>
  </si>
  <si>
    <t>Later afternoon/Evening</t>
  </si>
  <si>
    <t>TP642</t>
  </si>
  <si>
    <t>TP645</t>
  </si>
  <si>
    <t xml:space="preserve">13 - 15 Oct 11:30 CEST.N/A </t>
  </si>
  <si>
    <t>Early morning or early afternoon</t>
  </si>
  <si>
    <t>Afternoon or evening</t>
  </si>
  <si>
    <t>Regulatory Sandboxes in Action: Empowering Regions for Smarter Innovation</t>
  </si>
  <si>
    <t>Joint Research Centre</t>
  </si>
  <si>
    <t>Ramojus Reimeris ; Solange Mifsud</t>
  </si>
  <si>
    <t>Ramojus.REIMERIS@ec.europa.eu ; Solange.MIFSUD@ec.europa.eu</t>
  </si>
  <si>
    <t xml:space="preserve"> DG JRC  - Representative</t>
  </si>
  <si>
    <t xml:space="preserve">Tatiana Fernández Sirera - Government of Catalonia - Head of Unit -  - ;
Johanna Dahl  - Regional Council of Ostrobothnia - Expert -  - </t>
  </si>
  <si>
    <t>Tatiana</t>
  </si>
  <si>
    <t>Fernández Sirera</t>
  </si>
  <si>
    <t>t.fernandez@gencat.cat</t>
  </si>
  <si>
    <t>Johanna</t>
  </si>
  <si>
    <t>Dahl</t>
  </si>
  <si>
    <t>Johanna.Dahl@obotnia.fi</t>
  </si>
  <si>
    <t>Rosvaldas</t>
  </si>
  <si>
    <t>Krušna</t>
  </si>
  <si>
    <t>RKrusna@lb.lt</t>
  </si>
  <si>
    <t>  Deadline to complete the form: 30 July
REMINDER SENT 08-08 
Johanna has been replaced by Mats Brandt on13 August - approved by the client  - form sent and deadline on Friday 15 August</t>
  </si>
  <si>
    <t>14/10/2025 14h - 15.30 h</t>
  </si>
  <si>
    <t>Barcelona</t>
  </si>
  <si>
    <t>Afternoon</t>
  </si>
  <si>
    <t>sn3707</t>
  </si>
  <si>
    <t>sn3697</t>
  </si>
  <si>
    <t>Mats</t>
  </si>
  <si>
    <t>Brandt</t>
  </si>
  <si>
    <t>mats.brandt@obotnia.fi</t>
  </si>
  <si>
    <t> +358444934576</t>
  </si>
  <si>
    <t>14.10.2025 14:00-15:30</t>
  </si>
  <si>
    <t>Vaasa</t>
  </si>
  <si>
    <t>13.10.2025</t>
  </si>
  <si>
    <t>15.10.2025</t>
  </si>
  <si>
    <t> Mats Brandt – He is a speaker coming from Vaasa, and the travel agency has informed us that his Vaasa – Helsinki – Brussels round-trip ticket is over budget: €698.56. Could you please confirm if we can book it?</t>
  </si>
  <si>
    <t>20/08 : confirmed by Caroline</t>
  </si>
  <si>
    <t>difference in price is only 50€</t>
  </si>
  <si>
    <t>Tue 14/10/2025, 14:00 - 15:30 CET</t>
  </si>
  <si>
    <t>Vilnius</t>
  </si>
  <si>
    <t>No preference</t>
  </si>
  <si>
    <t>BT5371</t>
  </si>
  <si>
    <t>Safer Cities and Neighbourhoods through Public Space Design - Interactive Workshop for Future Cooperation and Expansion of Safer Cities Across Europe</t>
  </si>
  <si>
    <t>Innoarch, Innovation in architecture and Urban Planning</t>
  </si>
  <si>
    <t>Norway</t>
  </si>
  <si>
    <t>Isabel Ruiz Lopez ; Mads Bruun Høy</t>
  </si>
  <si>
    <t xml:space="preserve"> isabel@grape.no ; mads@era.as</t>
  </si>
  <si>
    <t xml:space="preserve"> Innoarch, Innovation in architecture and Urban Planning </t>
  </si>
  <si>
    <t xml:space="preserve"> Secretary - General</t>
  </si>
  <si>
    <t xml:space="preserve">Christina  Thomassen Rooth  - Oslo Police - Officer -  - ;
Marie Herping Abrahamsen - City of Copenhagen - Project Manager -  - ;
Magnus Lindgren - Safer Sweden Foundation  - Secretary-General -  - </t>
  </si>
  <si>
    <t>Isabel</t>
  </si>
  <si>
    <t>Ruiz López</t>
  </si>
  <si>
    <t>isabel@grape.no</t>
  </si>
  <si>
    <t>Mads</t>
  </si>
  <si>
    <t>Bruun Høy</t>
  </si>
  <si>
    <t>mads@era.as</t>
  </si>
  <si>
    <t>Christina</t>
  </si>
  <si>
    <t>Thomassen Rooth</t>
  </si>
  <si>
    <t>christina.thomassen.rooth@politiet.no</t>
  </si>
  <si>
    <t>13.10/14.10/15.10</t>
  </si>
  <si>
    <t>Oslo</t>
  </si>
  <si>
    <t>Early in the morning (Or 12.10.25 at the evening)</t>
  </si>
  <si>
    <t>Late in the evening</t>
  </si>
  <si>
    <t xml:space="preserve">I am also coordinating a parallel event organized by the Oslo Region Office on 13 October 2025 at 17:00. In addition, I will be participating as an external contributor at an event on 15 October 2025 at 09:30. I kindly ask you to take these events into consideration as well. Looking forward! </t>
  </si>
  <si>
    <t>sn2288</t>
  </si>
  <si>
    <t>vy1335</t>
  </si>
  <si>
    <t>15-10-2025 1130-1230</t>
  </si>
  <si>
    <t>Early in the morning</t>
  </si>
  <si>
    <t>nut allergy</t>
  </si>
  <si>
    <t>sn2287</t>
  </si>
  <si>
    <t>004740434545</t>
  </si>
  <si>
    <t>14.10.25</t>
  </si>
  <si>
    <t>Oslo airport</t>
  </si>
  <si>
    <t>late evening</t>
  </si>
  <si>
    <t>oslo airport</t>
  </si>
  <si>
    <t>SK4743</t>
  </si>
  <si>
    <t>SN2287</t>
  </si>
  <si>
    <t>How to make urban resilience work? City case studies and the role of research &amp; innovation from DUT Partnership and URBACT</t>
  </si>
  <si>
    <t>Fegtc</t>
  </si>
  <si>
    <t>AustriaTech GmbH</t>
  </si>
  <si>
    <t>Austria</t>
  </si>
  <si>
    <t>Maximilian Jäger ; Kristijan Radojcic</t>
  </si>
  <si>
    <t xml:space="preserve"> maximilian.jaeger@austriatech.at ; k.radojcic@urbact.eu</t>
  </si>
  <si>
    <t xml:space="preserve"> AustriaTech GmbH </t>
  </si>
  <si>
    <t xml:space="preserve"> Expert</t>
  </si>
  <si>
    <t xml:space="preserve">Mickaëlle Vergnaud - Bordeaux Metropolis - Head of Unit -  - ;
Merlin Pitz -  -  -  - </t>
  </si>
  <si>
    <t>DO NOT NEED COVERAGE</t>
  </si>
  <si>
    <t>No, my speakers do not need coverage</t>
  </si>
  <si>
    <t>No, my speakers do not need accommodation coverage</t>
  </si>
  <si>
    <t>Leveraging reconstruction and EU accession for regional development in Ukraine</t>
  </si>
  <si>
    <t>EasyBusiness</t>
  </si>
  <si>
    <t>Ukraine</t>
  </si>
  <si>
    <t>Yaroslav Zhydyk ; Ljubica Kosheliuk</t>
  </si>
  <si>
    <t xml:space="preserve"> yaroslav.zhydyk@easybusiness.in.ua ; ljubica.kosheliuk@giz.de</t>
  </si>
  <si>
    <t xml:space="preserve"> EasyBusiness </t>
  </si>
  <si>
    <t xml:space="preserve"> Head of Unit</t>
  </si>
  <si>
    <t xml:space="preserve">Ambre Maucorps - The Vienna Institute for International Economic Studies -  -  - ;
Yaroslav Zhydyk - EasyBusiness - Head of Unit -  - ;
Ljubica Kosheliuk - Deutsche Gesellschaft für Internationale Zusammenarbeit (GIZ) - Project Manager -  - </t>
  </si>
  <si>
    <t>Dmytro</t>
  </si>
  <si>
    <t>Lyvch</t>
  </si>
  <si>
    <t>dlyvch@easybusiness.in.ua</t>
  </si>
  <si>
    <t>Iryna</t>
  </si>
  <si>
    <t>Mykulych</t>
  </si>
  <si>
    <t>mykulych@ard-ukraine.org</t>
  </si>
  <si>
    <t>15th of November, 16:30</t>
  </si>
  <si>
    <t>I have no preference regarding the mode of transport – please make a suggestion</t>
  </si>
  <si>
    <t>Noon</t>
  </si>
  <si>
    <t>Lviv</t>
  </si>
  <si>
    <t>First part of the day</t>
  </si>
  <si>
    <t>Please be aware that my trip from and to Ukraine usually takes no less than 17 hours</t>
  </si>
  <si>
    <t xml:space="preserve"> She wants to depart on the 16th to Lvyv </t>
  </si>
  <si>
    <t> If the ticket price is the same or lower we can cover return on 16, but we do not cover for the extra accommodation. Please share with me the price difference of a return to paris and a return to Lvyv and share it with me. We will get back to you on our decision then</t>
  </si>
  <si>
    <t>Bankable Public Green Infrastructure &amp; Services: A Practical Approach</t>
  </si>
  <si>
    <t>ICLEI European Secretariat</t>
  </si>
  <si>
    <t xml:space="preserve">Priscila Franco Steier ; Haris Biskos </t>
  </si>
  <si>
    <t>priscila.steier@gmail.com; Haris.Biskos@urban-initiative.eu</t>
  </si>
  <si>
    <t xml:space="preserve">steier@iclei.org </t>
  </si>
  <si>
    <t xml:space="preserve">  </t>
  </si>
  <si>
    <t xml:space="preserve">Heather Matson - Bankers without Boundaries - Director -  - ;
Etienne Aulotte - Bruxelles Environnement - Project Manager -  - ;
Ana-Maria MITROI-CIOBICA - European Investment Bank Group  - Expert -  - </t>
  </si>
  <si>
    <t>How is policy contributing to cohesion and growth? Have a peek into the latest evaluation findings</t>
  </si>
  <si>
    <t>European Commission - DG REGIO</t>
  </si>
  <si>
    <t>Carlo Amati ; Enrico Pesaresi</t>
  </si>
  <si>
    <t xml:space="preserve"> Carlo.AMATI@ec.europa.eu ; enrico.pesaresi@ec.europa.eu</t>
  </si>
  <si>
    <t xml:space="preserve"> DG REGIO -  Policy Officer</t>
  </si>
  <si>
    <t>How Much Nature Do We Need in our Cities? Turning Data Into Urban Greening Action</t>
  </si>
  <si>
    <t>Urban Agenda for the EU Greening Cities Partnership</t>
  </si>
  <si>
    <t>Haris Biskos ; Nadia Siokou</t>
  </si>
  <si>
    <t>Haris.Biskos@urban-initiative.eu ; nadia.siokou@urban-initiative.eu</t>
  </si>
  <si>
    <t>European Urban Initiative</t>
  </si>
  <si>
    <t xml:space="preserve">Carolina Cantergiani - TECNALIA - Researcher -  - ;
Philipp Walter - ICLEI Europe - Head of Sector -  - </t>
  </si>
  <si>
    <t>Yoan</t>
  </si>
  <si>
    <t>Clouet</t>
  </si>
  <si>
    <t>clouet@institute-urbanex.org</t>
  </si>
  <si>
    <t xml:space="preserve">Philipp </t>
  </si>
  <si>
    <t xml:space="preserve">Walter </t>
  </si>
  <si>
    <t>philipp.walter@iclei.org</t>
  </si>
  <si>
    <t>Marino</t>
  </si>
  <si>
    <t>Cavallo</t>
  </si>
  <si>
    <t>marino.cavallo@cittametropolitana.bo.it</t>
  </si>
  <si>
    <t>no comment</t>
  </si>
  <si>
    <t>positive: we confirm that we will need accommodation support for an additional night (13 to 15 October) for our speakers to ensure their participation and avoid the travel disruption.
We fully understand the budget constraints and the possible shift to 3-star hotel arrangements, which is absolutely fine.</t>
  </si>
  <si>
    <t>  Deadline to complete the form: 8 August
Reminder on 14-08</t>
  </si>
  <si>
    <t>Yoann</t>
  </si>
  <si>
    <t>15/10/2025 at 11.30</t>
  </si>
  <si>
    <t>Den Haag</t>
  </si>
  <si>
    <t>late afternoon</t>
  </si>
  <si>
    <t>+393491657277</t>
  </si>
  <si>
    <t>15th of October at 11:30 AM</t>
  </si>
  <si>
    <t>after 10 am</t>
  </si>
  <si>
    <t>after 14 pm</t>
  </si>
  <si>
    <t>AZ7636</t>
  </si>
  <si>
    <t>AZ7637</t>
  </si>
  <si>
    <t>Walter</t>
  </si>
  <si>
    <t>Strengthening the competitiveness of European regions through STEP</t>
  </si>
  <si>
    <t>European Commission - DG BUDG</t>
  </si>
  <si>
    <t>Irati Icardo Isasa ; Theodora Flikas</t>
  </si>
  <si>
    <t>Irati.ICARDO-ISASA@ec.europa.eu; Theodora.FLIKAS1@ec.europa.eu</t>
  </si>
  <si>
    <t>European Commission</t>
  </si>
  <si>
    <t>DG BUDG- Policy Officer</t>
  </si>
  <si>
    <t xml:space="preserve">YES.  </t>
  </si>
  <si>
    <t>Federica</t>
  </si>
  <si>
    <t>Busillo</t>
  </si>
  <si>
    <t xml:space="preserve">f.busillo@governo.it </t>
  </si>
  <si>
    <t>Kirsten</t>
  </si>
  <si>
    <t>Kötter</t>
  </si>
  <si>
    <t>Kirsten.Koetter@mwike.nrw.de</t>
  </si>
  <si>
    <t xml:space="preserve">Marta </t>
  </si>
  <si>
    <t>Kolimaga</t>
  </si>
  <si>
    <t>marta.kolimaga@crido.pl</t>
  </si>
  <si>
    <t>  Deadline to complete the form: 7 August
REMINDER SENT 08-08</t>
  </si>
  <si>
    <t xml:space="preserve">Federica </t>
  </si>
  <si>
    <t>f.busillo@governo.it</t>
  </si>
  <si>
    <t>14 October 15:30-16:30</t>
  </si>
  <si>
    <t>Rome</t>
  </si>
  <si>
    <t>14.10.2025, 15.30 - 16.30 h</t>
  </si>
  <si>
    <t>Düsseldorf</t>
  </si>
  <si>
    <t>Düsseldorf-Brüssel: On 14th Octobeer: 7.40 - 10.35; Brüssel-Düsseldorf: 17.25-19.57</t>
  </si>
  <si>
    <t>Marta</t>
  </si>
  <si>
    <t>+48 660 627 137</t>
  </si>
  <si>
    <t>14 October 2025, 15h30-16h30</t>
  </si>
  <si>
    <t>lo233</t>
  </si>
  <si>
    <t>lo238</t>
  </si>
  <si>
    <t>Integrated territorial development for a stronger future for European rural communities</t>
  </si>
  <si>
    <t>Rurality-Environment-Development</t>
  </si>
  <si>
    <t>Eric Martial Taguem ; Johanna Tirinelli</t>
  </si>
  <si>
    <t xml:space="preserve"> eric.taguem@ruraleurope.org ; johanna.tirinelli@ruraleurope.org</t>
  </si>
  <si>
    <t xml:space="preserve"> </t>
  </si>
  <si>
    <t xml:space="preserve">Gerard PELTRE - Rurality-Environment-Development - President -  - ;
Michael RESTIER -  - Director -  - </t>
  </si>
  <si>
    <t>Reminder sent - 24/07</t>
  </si>
  <si>
    <t>TBC</t>
  </si>
  <si>
    <t>they will need t&amp;a</t>
  </si>
  <si>
    <t>A Bridge for the EU - a new tool to better integrate border regions</t>
  </si>
  <si>
    <t xml:space="preserve">Eva Lieber ; Benjamino Brunati </t>
  </si>
  <si>
    <t xml:space="preserve"> Eva.LIEBER@ec.europa.eu ; Beniamino.BRUNATI@ec.europa.eu</t>
  </si>
  <si>
    <t xml:space="preserve"> DG REGIO - Programme Manager</t>
  </si>
  <si>
    <t xml:space="preserve">Ricardo FERREIRA - European Commission - DG REGIO - Representative -  - </t>
  </si>
  <si>
    <t>Digital lifelines for left-behind regions: reviving rural potential through smart tools</t>
  </si>
  <si>
    <t>Hanze University of Applied Sciences Groningen</t>
  </si>
  <si>
    <t>Peter Meister Broekema ; Anne Katrine Ebbesen</t>
  </si>
  <si>
    <t>p.meister-broekema@pl.hanze.nl ; anne-katrine.ebbesen@nordregio.org</t>
  </si>
  <si>
    <t>Hanze University of Applied Sciences Groningen -</t>
  </si>
  <si>
    <t xml:space="preserve">Leo VAN WISSEN - Netherlands Interdisciplinary Demographic Institute NIDI, Royal Academy of Sciences, The Netherlands - Researcher -  - ;
Patricia MARTINEZ - European Association for Innovation in Local Development - Project Manager -  - ;
KAIRE LUHT -  -  -  - </t>
  </si>
  <si>
    <t>Emilija</t>
  </si>
  <si>
    <t>Stojmenova Duh</t>
  </si>
  <si>
    <t>emilija.stojmenova@ltfe.org</t>
  </si>
  <si>
    <t>Peter</t>
  </si>
  <si>
    <t>Meister-Broekema</t>
  </si>
  <si>
    <t>p.meister-broekema@pl.hanze.nl</t>
  </si>
  <si>
    <t>Pavel</t>
  </si>
  <si>
    <t>Chmielinski</t>
  </si>
  <si>
    <t>pchmielinski@irwirpan.waw.pl</t>
  </si>
  <si>
    <t xml:space="preserve">Could we also cover the accomodation of the coordinator (Anne Katrine Ebbesen) and the Moderator (Clive Peckham)? </t>
  </si>
  <si>
    <t xml:space="preserve">positive: the speakers and all are willing to come on the 13th and stay till the 15th! </t>
  </si>
  <si>
    <t>  Deadline to complete the form: 31 July - REMINDER SENT 08-08
+ 14/08</t>
  </si>
  <si>
    <t>15.10.2024; 9:30</t>
  </si>
  <si>
    <t>Zagreb</t>
  </si>
  <si>
    <t xml:space="preserve">I wish to stay an additional night, on Thursday. I will cover the cost for the additional night. The price of the flight ticket is the same if travelling back on Thursday or Wednesday. </t>
  </si>
  <si>
    <t>Can we book his flight on the 17th of October? Informing him that he needs to cover the nights of the 15th and 16th of October</t>
  </si>
  <si>
    <t>If the ticket price is the same or lower we can cover return on 17, but we do not cover for the extra accommodation</t>
  </si>
  <si>
    <t>15/10 at 930</t>
  </si>
  <si>
    <t>Pawel</t>
  </si>
  <si>
    <t>15.10 9.30-11.00</t>
  </si>
  <si>
    <t>Warszawa</t>
  </si>
  <si>
    <t>5 Dep.10:25 Arr. 12:35 LO237</t>
  </si>
  <si>
    <t>LO236 - dep. 10:15 OR: LO238 - dep.16:50</t>
  </si>
  <si>
    <t>I will book and pay my accommodation, I will stay longer than 'speaking slot' day.</t>
  </si>
  <si>
    <t>FLight</t>
  </si>
  <si>
    <t>LO236</t>
  </si>
  <si>
    <t> Please confirm whether we can book the return flight on the 16th, informing him that we will not cover the extra night (15)</t>
  </si>
  <si>
    <t>Unlocking the Potential of EU Border Regions: Data-Driven Decision Making to enhance cross-border public services</t>
  </si>
  <si>
    <t>Matteo Berzi; Peter Ulrich</t>
  </si>
  <si>
    <t xml:space="preserve"> Matteo.BERZI@ec.europa.eu; peter.ulrich@uni-potsdam.de</t>
  </si>
  <si>
    <t xml:space="preserve"> JRC - Ispra - Expert</t>
  </si>
  <si>
    <t xml:space="preserve">Romina Kocina - European Grouping of Territorial Cooperation Territory of municipalities: Municipality of Gorizia, Municipality of Nova Gorica and municipality of Šempeter-Vrtojba - CEO -  - ;
Claire Duvernet - German Federal Ministry for Housing, Urban Development and Building  - Project Manager -  - ;
Matteo BERZI - European Commission - JRC - Ispra - Expert -  - </t>
  </si>
  <si>
    <t>/</t>
  </si>
  <si>
    <t>Cities building tomorrow: Working together on National Building Renovation Plans</t>
  </si>
  <si>
    <t>Buildings Performance Institute Europe</t>
  </si>
  <si>
    <t>Volodymyr Vladyka ; Clare Taylor</t>
  </si>
  <si>
    <t xml:space="preserve"> volodymyr.vladyka@bpie.eu ; clareannetaylor@gmail.com</t>
  </si>
  <si>
    <t xml:space="preserve"> BUILDINGS PERFORMANCE INSTITUTE EUROPE </t>
  </si>
  <si>
    <t xml:space="preserve"> Policy Officer</t>
  </si>
  <si>
    <t xml:space="preserve">Oliver RAPF - Buildings Performance Institute Europe - Director -  - ;
Julien Tami - European Commission - DG ENER - Policy Officer -  - ;
Adrian Hiel - Energy Cities - Representative -  - </t>
  </si>
  <si>
    <t>Wies</t>
  </si>
  <si>
    <t xml:space="preserve">Ettema </t>
  </si>
  <si>
    <t>wies.ettema@denhaag.nl</t>
  </si>
  <si>
    <t>Weis</t>
  </si>
  <si>
    <t>weis.ettema@denhaag.nl</t>
  </si>
  <si>
    <t>positive: I would like to confirm that one speaker will still be travelling for our session, with new conditions for travel and accommodation support.</t>
  </si>
  <si>
    <t>Wieteke Mylène</t>
  </si>
  <si>
    <t>Ettema</t>
  </si>
  <si>
    <t>15 October, 09.30 AM</t>
  </si>
  <si>
    <t>Amsterdam, NL</t>
  </si>
  <si>
    <t>Around 07.00 AM</t>
  </si>
  <si>
    <t>After the session</t>
  </si>
  <si>
    <t> 	
EST 9316</t>
  </si>
  <si>
    <t> 15:53</t>
  </si>
  <si>
    <t> 	
EST 9351</t>
  </si>
  <si>
    <t> Please confirm if the speaker can arrive on the 15th by train</t>
  </si>
  <si>
    <t xml:space="preserve">OK to arrive and leave on the same day since this person arrives from Amsterdam. </t>
  </si>
  <si>
    <t>Empowering Implementation: a strategic approach to administrative capacity building and supporting beneficiaries</t>
  </si>
  <si>
    <t>Vaida Zydelyte ; Maria-Varinia Michalun</t>
  </si>
  <si>
    <t xml:space="preserve"> Vaida.ZYDELYTE@ec.europa.eu ; mariavarinia.michalun@oecd.org</t>
  </si>
  <si>
    <t xml:space="preserve"> DG REGIO - Policy Officer</t>
  </si>
  <si>
    <t xml:space="preserve">Irina Pintilescu - North-East Romania Regional Development Agency - Director -  - ;
Lorenzo Palego - t33 srl - Policy Expert -  - </t>
  </si>
  <si>
    <t>Maria Varinia</t>
  </si>
  <si>
    <t>Michalun</t>
  </si>
  <si>
    <t>MariaVarinia.MICHALUN@oecd.org</t>
  </si>
  <si>
    <t>Lorenzo</t>
  </si>
  <si>
    <t>Palego</t>
  </si>
  <si>
    <t>l.palego@t33.it</t>
  </si>
  <si>
    <t>+33.6.34.67.43.14</t>
  </si>
  <si>
    <t>14 October; 14h00</t>
  </si>
  <si>
    <t>Paris, France</t>
  </si>
  <si>
    <t>8h30</t>
  </si>
  <si>
    <t>20h30</t>
  </si>
  <si>
    <t>If it is at all possible to have a modifiable ticket, I would be very grateful, as it may become necessary to do so but is still uncertain and I did not want to miss your deadline.</t>
  </si>
  <si>
    <t>EUR9351</t>
  </si>
  <si>
    <t>EUR9352</t>
  </si>
  <si>
    <t>+39.3383636478</t>
  </si>
  <si>
    <t>14 October 2025, 14-15.30</t>
  </si>
  <si>
    <t>Ancona or Bologna</t>
  </si>
  <si>
    <t>after 5 am and before 3 pm</t>
  </si>
  <si>
    <t>after 2 pm</t>
  </si>
  <si>
    <t>I would prefer to travel BY TRAIN from Ancona to Brussels, during daytime, with a journey Ancona-Milan-Paris-Brussels, with departure around 5 or 6 am, and arrival around 10 or 11 pm,. 
And then to travel BY PLANE to come back to Italy (Zaventem-Bologna, and then I will pay a train to Ancona).  If this is not doable for any reason, there is absolutely no problem and I would kindly ask you to simply book inbound and outbound flights Bologna-Zaventem.
I am also requiring to stay 2 NIGHTS so that I can attend other workshops at the EU Regions week. I am ok to personally cover the cost of the second night (14 October): so please, if possible, book 2 nights in the same hotel (no more than 220-240 € per night, if possible, please) and I will cover the cost of the second night. If not possible, I will book the second night on my own. Thank you for your patience, and kind regards.</t>
  </si>
  <si>
    <t>Milan</t>
  </si>
  <si>
    <t>Train and flight</t>
  </si>
  <si>
    <t>EUR9389</t>
  </si>
  <si>
    <t>From insight to impact: Leveraging data-driven approaches for smarter regional policy</t>
  </si>
  <si>
    <t>White Research SRL</t>
  </si>
  <si>
    <t>Giulia Zendron ; Anastasia Panori</t>
  </si>
  <si>
    <t>g.zendron@white-research.eu; apanori@plandevel.auth.gr</t>
  </si>
  <si>
    <t xml:space="preserve">White Research SRL </t>
  </si>
  <si>
    <t>Project Manager</t>
  </si>
  <si>
    <t xml:space="preserve">Anastasia Panori - Aristotle University of Thessaloniki -  -  - ;
Jennifer MCGARRIGLE - Institute of Geography and Spatial Planning - University of Lisbon - Professor -  - ;
Peter MEISTER BROEKEMA - Hanze University of Applied Sciences Groningen - Representative -  - </t>
  </si>
  <si>
    <t xml:space="preserve">Seamus </t>
  </si>
  <si>
    <t>McGuinness</t>
  </si>
  <si>
    <t>seamus.mcguinness@esri.ie</t>
  </si>
  <si>
    <t>Seamus</t>
  </si>
  <si>
    <t> 447955739681</t>
  </si>
  <si>
    <t> 14/10/25 at 9.30am</t>
  </si>
  <si>
    <t> I prefer to travel by plane</t>
  </si>
  <si>
    <t>1pm</t>
  </si>
  <si>
    <t>dublin</t>
  </si>
  <si>
    <t>ei638</t>
  </si>
  <si>
    <t>ei631</t>
  </si>
  <si>
    <t>17:00 - 18:00</t>
  </si>
  <si>
    <t xml:space="preserve">Peer-to-peer learning on replicating and upscaling nature-based solutions for climate adaptation </t>
  </si>
  <si>
    <t>TU Dortmund University</t>
  </si>
  <si>
    <t>Stefan Greiving ; Natascha Ng</t>
  </si>
  <si>
    <t>stefan.greiving@tu-dortmund.de; natascha.ng@sei.org</t>
  </si>
  <si>
    <t>Professor</t>
  </si>
  <si>
    <t xml:space="preserve">Mindert de Vries - Deltares -  -  - ;
Jaroslav  Mysiak - Euro-Mediterranean Centre for Climate Change -  -  - ;
Stefan Greiving - TU Dortmund University -  -  - </t>
  </si>
  <si>
    <t>Co-Creating Resilient Cities: Citizens, Data and Participatory Action</t>
  </si>
  <si>
    <t>NILU</t>
  </si>
  <si>
    <t>Nuria Castell ; Masha Smimova</t>
  </si>
  <si>
    <t xml:space="preserve"> ncb@nilu.no ; Masha.smirnova@eurocities.eu</t>
  </si>
  <si>
    <t xml:space="preserve"> NILU </t>
  </si>
  <si>
    <t xml:space="preserve"> Researcher</t>
  </si>
  <si>
    <t xml:space="preserve">Nuria CASTELL - NILU - Researcher -  - ;
Celia Santos - Barcelona Institute for Global Health - Researcher -  - ;
Hester Volten -  -  -  - </t>
  </si>
  <si>
    <t>Nuria</t>
  </si>
  <si>
    <t>Castell</t>
  </si>
  <si>
    <t>ncb@nilu.no</t>
  </si>
  <si>
    <t xml:space="preserve">Sonia </t>
  </si>
  <si>
    <t>Matera</t>
  </si>
  <si>
    <t>sonia.matera@dblue.it</t>
  </si>
  <si>
    <t>Pablo</t>
  </si>
  <si>
    <t xml:space="preserve"> Garcia Arcos</t>
  </si>
  <si>
    <t>pablo.garcia@gencat.cat</t>
  </si>
  <si>
    <t>+47 92523352</t>
  </si>
  <si>
    <t>Tue 14/10/2025, 17:00 - 18:00 CET</t>
  </si>
  <si>
    <t>10am</t>
  </si>
  <si>
    <t>21pm (I prefer to go back the same day if possible)</t>
  </si>
  <si>
    <t xml:space="preserve">I am a single mum, and I would prefer to fly back the same day. </t>
  </si>
  <si>
    <t>Sonia</t>
  </si>
  <si>
    <t>+393274765249</t>
  </si>
  <si>
    <t>14/10/2025, 17:00 - 18:00 CET</t>
  </si>
  <si>
    <t>15:55</t>
  </si>
  <si>
    <t>18:30</t>
  </si>
  <si>
    <t xml:space="preserve">I am currently based in Rome but will be in Paris on 13 October. To avoid potential disruptions due to the national strike, I am considering traveling from Paris to Brussels by train on 13 October and returning to Rome by plane on 15 October. Could you kindly confirm whether the additional night’s accommodation could be covered, given the circumstances? If the additional night cannot be covered, I will instead plan to travel from Rome on the morning of 14 October and return in the evening of 15 October. This would allow me to attend additional conference sessions, I’ve checked the travel costs, and they do not exceed those of the standard itinerary. </t>
  </si>
  <si>
    <t>EUR9359</t>
  </si>
  <si>
    <t>AZ165</t>
  </si>
  <si>
    <t>García Arcos</t>
  </si>
  <si>
    <t>+34 686097117</t>
  </si>
  <si>
    <t>14 October 2025 from 17:00 to 18:00 CET in Brussels</t>
  </si>
  <si>
    <t>Due to the planned national strike in Belgium, I would prefer to travel to Brussels the day before. Therefore, I would need accommodation for one night. Additionally, I would like to return later on the 16th, if the cost does not exceed that of the minimum necessary stay, as I will also be attending the Democracy R&amp;D annual meeting that same week..</t>
  </si>
  <si>
    <t> Please confirm if the speaker can leave one day later on the 16th as he attends the Democracy R&amp;D annual meeting</t>
  </si>
  <si>
    <t>If the ticket price is the same or lower we can cover return on 16, but we do not cover for the extra accommodation</t>
  </si>
  <si>
    <t>Empowering Regional Innovation Ecosystems: Tools for SME Resilience, Funding and Global Integration</t>
  </si>
  <si>
    <t>AIM Centre</t>
  </si>
  <si>
    <t>Ireland</t>
  </si>
  <si>
    <t>Elena Bezborodova ; Julie Dowling; Michela Gaifami</t>
  </si>
  <si>
    <t xml:space="preserve"> elenabezborodova@aimcentre.ie ; juliedowling@aimcentre.ie; michela.gaifami@interreg-npa.eu</t>
  </si>
  <si>
    <t xml:space="preserve"> AIM Centre </t>
  </si>
  <si>
    <t xml:space="preserve"> Programme Manager</t>
  </si>
  <si>
    <t xml:space="preserve">Julie Dowling - AIM Centre - CEO -  - ;
David Bermingham - AIM Centre - Director -  - </t>
  </si>
  <si>
    <t>Julie</t>
  </si>
  <si>
    <t>Dowling</t>
  </si>
  <si>
    <t>juliedowling@aimcentre.ie</t>
  </si>
  <si>
    <t>Alexander</t>
  </si>
  <si>
    <t>Lembcke</t>
  </si>
  <si>
    <t>Alexander.LEMBCKE@oecd.org</t>
  </si>
  <si>
    <t> Deadline to complete the form: 31 July - REMINDER SENT 08-08</t>
  </si>
  <si>
    <t xml:space="preserve">
353870987200</t>
  </si>
  <si>
    <t>7am - 10am</t>
  </si>
  <si>
    <t>around 9am</t>
  </si>
  <si>
    <t>+33651819491</t>
  </si>
  <si>
    <t>Tue 14/10/2025, 11:30 - 12:30 CET and Tue 14/10/2025, 17:00 - 18:00 CET</t>
  </si>
  <si>
    <t>16:00</t>
  </si>
  <si>
    <t>20:00</t>
  </si>
  <si>
    <t>EUR9350</t>
  </si>
  <si>
    <t>Driving Change: bridging sustainable mobility and urban planning</t>
  </si>
  <si>
    <t>POLIS</t>
  </si>
  <si>
    <t>Pedro Gomes ; Ivo Cré</t>
  </si>
  <si>
    <t xml:space="preserve"> pgomes@polisnetwork.eu ; icre@polisnetwork.eu</t>
  </si>
  <si>
    <t xml:space="preserve"> POLIS </t>
  </si>
  <si>
    <t xml:space="preserve">Nele Sergeant - Bruxelles Environnement -  -  - ;
Bram Seeuws - Way To Go  -  -  - ;
Clara Mafé - Housing Europe - Representative -  - </t>
  </si>
  <si>
    <t>Housing affordability crisis in European cities and regions: from data to policy insights and financial instruments</t>
  </si>
  <si>
    <t>European Commission - DG ENER</t>
  </si>
  <si>
    <t>Orsola Mautone ; Elisa Bazzani</t>
  </si>
  <si>
    <t xml:space="preserve"> Orsola.MAUTONE@ec.europa.eu ; Elisa.BAZZANI@ec.europa.eu</t>
  </si>
  <si>
    <t xml:space="preserve">Rudiger Ahrend - Organisation for Economic Co-operation and Development  - Representative -  - ;
Martin GAUK - ESPON EGTC - Expert -  - ;
Filipe Batista i Silva - European Commission - JRC - Ispra -  -  - </t>
  </si>
  <si>
    <t>Martin</t>
  </si>
  <si>
    <t>Gauk</t>
  </si>
  <si>
    <t>martin.gauk@espon.eu</t>
  </si>
  <si>
    <t>although we are asked how many speakers need travel/accommodation, when chosing less than 3, we need anyway to fill in the cells for all 3 speakers</t>
  </si>
  <si>
    <t xml:space="preserve"> +352 20 600 280</t>
  </si>
  <si>
    <t>Wed 15/10/2025, 14:00 - 15:00 CET</t>
  </si>
  <si>
    <t>10h</t>
  </si>
  <si>
    <t>16h</t>
  </si>
  <si>
    <t>Speaker wants to arrive on the 13th October (instead of 15th). Can we book the flight on those dates? Extra nights on the 13th and 14th are on his own expenses</t>
  </si>
  <si>
    <t>A return train ticket for the same day is fine. If the speaker disagrees/protests then we can offer him accommodation for one night.</t>
  </si>
  <si>
    <t>RESIST: collaboration &amp; scaling innovative climate adaptation solutions for resilient territories</t>
  </si>
  <si>
    <t>ACCENT SUD - Association for the cultural cooperation and the cross-regional digital economy with Southern Europe</t>
  </si>
  <si>
    <t>Silvia Cibien ; Gaia Marotta</t>
  </si>
  <si>
    <t xml:space="preserve"> silvia.cibien@accent; gaia.marotta@errin.eu</t>
  </si>
  <si>
    <t xml:space="preserve">sud.eu </t>
  </si>
  <si>
    <t xml:space="preserve"> ACCENT SUD -  Association for the cultural cooperation and the cross regional digital economy with Southern Europe - President</t>
  </si>
  <si>
    <t xml:space="preserve">Catarina Azevedo - INOVA+ - Project Manager -  - </t>
  </si>
  <si>
    <t>Inclusive Regions, Safer Spaces: Local and Regional Approaches to Gender Equality, Wellbeing, and Digital Safety in Education</t>
  </si>
  <si>
    <t>FORMA.Azione</t>
  </si>
  <si>
    <t>Sylvia Liuti ; Martina Morbidini</t>
  </si>
  <si>
    <t xml:space="preserve"> liuti@azione.com ; morbidini@azione.com</t>
  </si>
  <si>
    <t xml:space="preserve"> FORMA.Azione </t>
  </si>
  <si>
    <t xml:space="preserve"> Director</t>
  </si>
  <si>
    <t xml:space="preserve">Albert  Peiró Mateu -  -  -  - ;
Sylvia Liuti - FORMA.Azione - Director -  - </t>
  </si>
  <si>
    <t xml:space="preserve">Sylvia </t>
  </si>
  <si>
    <t>Liuti</t>
  </si>
  <si>
    <t>liuti@azione.com</t>
  </si>
  <si>
    <t>Yiannis</t>
  </si>
  <si>
    <t>Karoumpalos</t>
  </si>
  <si>
    <t>yiannisk@kekdafni.gr</t>
  </si>
  <si>
    <t>Lorena</t>
  </si>
  <si>
    <t>Ripoll Ferri</t>
  </si>
  <si>
    <t>lripoll@correu.escoladeltreball.org</t>
  </si>
  <si>
    <t>The list of speakers will be confirmed as soon as possible.</t>
  </si>
  <si>
    <t>+39 3358480855</t>
  </si>
  <si>
    <t>15/10/2025 11.30-12.30</t>
  </si>
  <si>
    <t>Perugia</t>
  </si>
  <si>
    <t>12:00</t>
  </si>
  <si>
    <t>18:00</t>
  </si>
  <si>
    <t>I usually fly from Rome FCO</t>
  </si>
  <si>
    <t>SN4152</t>
  </si>
  <si>
    <t>SN3183</t>
  </si>
  <si>
    <t>Ioannis</t>
  </si>
  <si>
    <t>ATHENS,GREECE</t>
  </si>
  <si>
    <t>The session ends at 12.30, so I would prefer to fly to Athens during afternoon (maybe around 17.00-18.00)</t>
  </si>
  <si>
    <t>Due to the announcement of a national strike, I would prefer to travel on October 13 for greater safety in terms of transportation.</t>
  </si>
  <si>
    <t>GQ800</t>
  </si>
  <si>
    <t>A3623</t>
  </si>
  <si>
    <t>VY8986</t>
  </si>
  <si>
    <t>VY8983</t>
  </si>
  <si>
    <t>Small Towns, Big Energy: Citizens Shaping a Sustainable Future</t>
  </si>
  <si>
    <t>AISFOR SRL</t>
  </si>
  <si>
    <t>Charalampos Chatzimallis ; Marina Varvesi</t>
  </si>
  <si>
    <t xml:space="preserve"> chatzimallis@gmail.com ; varvesi@aisfor.it</t>
  </si>
  <si>
    <t xml:space="preserve"> CITIZEN CROSSROADS </t>
  </si>
  <si>
    <t xml:space="preserve">João Pedro  Gouveia - NOVA University of Lisbon - Professor -  - ;
Luigi Acquaviva - Association of Cities and Regions for sustainable Resource management - Project Manager -  - ;
Giulia Viero - Institute for European Energy and Climate Policy  - Policy Expert -  - </t>
  </si>
  <si>
    <t>João Pedro</t>
  </si>
  <si>
    <t>Gouveia</t>
  </si>
  <si>
    <t>jplg@fct.unl.pt</t>
  </si>
  <si>
    <t>Luigi</t>
  </si>
  <si>
    <t>Acquaviva</t>
  </si>
  <si>
    <t>l.acquaviva@gmail.com</t>
  </si>
  <si>
    <t>Alice</t>
  </si>
  <si>
    <t>Borsari</t>
  </si>
  <si>
    <t>alice.borsari@eurac.edu</t>
  </si>
  <si>
    <t>+351917428448</t>
  </si>
  <si>
    <t>14th October 9h30</t>
  </si>
  <si>
    <t>Early Afternoon</t>
  </si>
  <si>
    <t>Late Morning</t>
  </si>
  <si>
    <t>TP644</t>
  </si>
  <si>
    <t>TP641</t>
  </si>
  <si>
    <t> l.acquaviva@gmail.com</t>
  </si>
  <si>
    <t>14th October - 9:30-10:30</t>
  </si>
  <si>
    <t>Naples - Italy</t>
  </si>
  <si>
    <t>Any</t>
  </si>
  <si>
    <t>sn3170</t>
  </si>
  <si>
    <t>sn3169</t>
  </si>
  <si>
    <t>Speaker wants to leave on the 17th October. Can we book the flight on those dates? Extra nights on the 15th and 16th is on his own expenses</t>
  </si>
  <si>
    <t>Yes, as long as the ticket is the same price or lower than the original proposed</t>
  </si>
  <si>
    <t xml:space="preserve">Borsari </t>
  </si>
  <si>
    <t> alice.borsari@eurac.edu</t>
  </si>
  <si>
    <t>00 39 3318958593</t>
  </si>
  <si>
    <t>14.10.2025 time 09:30-10.30</t>
  </si>
  <si>
    <t>Bolzano</t>
  </si>
  <si>
    <t>Speaker wants to leave on the 16th October. Can we book the flight on those dates? Extra nights on the 15th is on her own expenses</t>
  </si>
  <si>
    <t>Reducing regulatory burden for investment and growth in regions and cities</t>
  </si>
  <si>
    <t>OECD</t>
  </si>
  <si>
    <t>Alexandra Rusu ; Jorge Duran Laguna</t>
  </si>
  <si>
    <t xml:space="preserve"> alexandra.rusu@oecd.org ; alexander.lembcke@oecd.org</t>
  </si>
  <si>
    <t xml:space="preserve"> Organisation for Economic Co</t>
  </si>
  <si>
    <t>operation and Development - Representative</t>
  </si>
  <si>
    <t xml:space="preserve">Jorge DURAN LAGUNA - European Commission - DG REGIO - Head of Sector -  - ;
Alexandra Rusu - OECD - Policy Expert -  - ;
Gunilla Thorstensson - Swedish Agency for Economic and Regional Growth - Policy Expert -  - </t>
  </si>
  <si>
    <t>YES - 1 speaker TBC</t>
  </si>
  <si>
    <t>Alexandra</t>
  </si>
  <si>
    <t>Rusu</t>
  </si>
  <si>
    <t>alexandra.rusu@oecd.org</t>
  </si>
  <si>
    <t>alexander.lembcke@oecd.org</t>
  </si>
  <si>
    <t>Gunilla</t>
  </si>
  <si>
    <t>Thorstensson (TBC)</t>
  </si>
  <si>
    <t>Gunilla.Thorstensson@tillvaxtverket.se</t>
  </si>
  <si>
    <t xml:space="preserve"> Deadline to complete the form: 31 July
REMINDER SENT 08-08</t>
  </si>
  <si>
    <t>Alexandra Victoria</t>
  </si>
  <si>
    <t>Boosting regional competitiveness through entrepreneurship, innovation and circularity</t>
  </si>
  <si>
    <t>Alberto Minguela ; Katarzyna Balucka-debska</t>
  </si>
  <si>
    <t>alberto.minguela@climate-kic.org; katarzyna.balucka-debska@climate-kic.org</t>
  </si>
  <si>
    <t xml:space="preserve">EIT Climate - KIC </t>
  </si>
  <si>
    <t xml:space="preserve">Milan Petit - Systems Transformation Hub - Programme Manager -  - ;
Stientje Van Veldhoven -  - President -  - ;
Eva Gladek -  -  -  - </t>
  </si>
  <si>
    <t xml:space="preserve">YES </t>
  </si>
  <si>
    <t>Federico</t>
  </si>
  <si>
    <t>Esu</t>
  </si>
  <si>
    <t>federico.esu@climate-kic.org</t>
  </si>
  <si>
    <t>Rosanna</t>
  </si>
  <si>
    <t>Haider</t>
  </si>
  <si>
    <t>rosanna.haider@chiemgau.bayern</t>
  </si>
  <si>
    <t>Stientje</t>
  </si>
  <si>
    <t>Van Veldhoven</t>
  </si>
  <si>
    <t>Stientje.vanVeldhoven@wri.org</t>
  </si>
  <si>
    <t>village close to Salzburg which is called Kuchl - by train</t>
  </si>
  <si>
    <t>14 October, 17:00 hours</t>
  </si>
  <si>
    <t>Cagliari</t>
  </si>
  <si>
    <t>late morning</t>
  </si>
  <si>
    <t>Given the strike foreseen for 14 October and the timing of my session, it is fair to arrive on 13 October and to leave on 15 October (as flying back on 14 October evening is going to be unlikely given flights options Brussels-Cagliari)</t>
  </si>
  <si>
    <t>VY6467/VYVY8982</t>
  </si>
  <si>
    <t>14.10.2025 at 5 pm</t>
  </si>
  <si>
    <t>Stientje.vanVeldhoven@wri.org; marloes.toonen@wri.org</t>
  </si>
  <si>
    <t>Rotterdam</t>
  </si>
  <si>
    <t>TBD - depends on speaking slot most likely around noon</t>
  </si>
  <si>
    <t>16:00 - 17:30</t>
  </si>
  <si>
    <t xml:space="preserve">How can EU-funded programmes, projects, and policy-makers foster gender equality? Examples and lessons learnt from URBACT  </t>
  </si>
  <si>
    <t>URBACT Secretariat</t>
  </si>
  <si>
    <t>Evgenia Koutsomarkou; Aleksandra Kluczka</t>
  </si>
  <si>
    <t xml:space="preserve"> j.koutsomarkou@urbact.eu; a.kluczka@urbact.eu</t>
  </si>
  <si>
    <t xml:space="preserve"> URBACT Secretariat </t>
  </si>
  <si>
    <t xml:space="preserve">Clementine Gravier - URBACT Secretariat - Representative -  - </t>
  </si>
  <si>
    <t>From strategy to action: practical training on Land Suitability Analysis for sustainable development in Functional Urban Areas</t>
  </si>
  <si>
    <t>European Urban Initiative Permanent Secretariat ; Eilish O'Loughlin</t>
  </si>
  <si>
    <t>communication@urban-initiative.eu ; eilish@urban-initiative.eu</t>
  </si>
  <si>
    <t xml:space="preserve">Adina Dorina </t>
  </si>
  <si>
    <t>Vintan</t>
  </si>
  <si>
    <t>avintan@worldbank.org</t>
  </si>
  <si>
    <t>N/A</t>
  </si>
  <si>
    <t>Marcel</t>
  </si>
  <si>
    <t>Ionescu-Heroiu</t>
  </si>
  <si>
    <t>mionescuheroiu@worldbank.org</t>
  </si>
  <si>
    <t>Grzegorz Aleksander</t>
  </si>
  <si>
    <t>Wolszczak</t>
  </si>
  <si>
    <t>gwolszczak@worldbank.org</t>
  </si>
  <si>
    <t>We will need for one speaker T&amp;A coverage and for two speakers only accommodation coverage .</t>
  </si>
  <si>
    <t>Based in Petrosani, Romania, will take the plane from Cluj-Napoca, Romania.</t>
  </si>
  <si>
    <t>0040722697550</t>
  </si>
  <si>
    <t>14th of October, 9.30 am</t>
  </si>
  <si>
    <t>NO</t>
  </si>
  <si>
    <t>I have already booked my flight and am getting in Brussels on the 13th of Oct. It is fine for me to cover the flight. Kindly let me know if the 2nd night could also be covered, so, the period 13-15th of Oct, or if I shall book myself the night of 14th. Thank you!</t>
  </si>
  <si>
    <t>We can cover accommodation fro 13 to 15 October, before confirming the booking with the speakers please share with us the recap table so that we can make sure we have enough rooms left</t>
  </si>
  <si>
    <t xml:space="preserve"> Vienna, Austria</t>
  </si>
  <si>
    <t>0040-741-610187</t>
  </si>
  <si>
    <t>October 14, 2025</t>
  </si>
  <si>
    <t>Please confirm accomodation arrangements as fast as possible, to be able to secure affordable travel arrangements.</t>
  </si>
  <si>
    <t>+12022438970</t>
  </si>
  <si>
    <t>14 October 2025; 9:30-11:00</t>
  </si>
  <si>
    <t xml:space="preserve">I'll also participate in other sessions as a speaker. Accommodation for the whole EWRC would be very useful. </t>
  </si>
  <si>
    <t>I'll also participate in other sessions as a speaker. Accommodation for the whole EWRC would be very useful. - Could we offer him more than 2 nights? He is covering his own travel and just need accommodation</t>
  </si>
  <si>
    <t>We can cover accommodation fro 13 to 15 AOctober, before confirming the booking with the speakers please share with us the recap table so that we can make sure we have enough rooms left</t>
  </si>
  <si>
    <t>Bridging borders: Interreg IPA, the Power Tool for Enlargement</t>
  </si>
  <si>
    <t>Interact Office Vienna</t>
  </si>
  <si>
    <t>Ivana Lazic ; Klaus Boele</t>
  </si>
  <si>
    <t xml:space="preserve"> ivana.lazic@interact.eu ; Klaus.Boele@cor.europa.eu</t>
  </si>
  <si>
    <t xml:space="preserve"> Interact Office Vienna </t>
  </si>
  <si>
    <t xml:space="preserve">Moray Gilland - European Commission - DG REGIO - Head of Unit -  - </t>
  </si>
  <si>
    <t>Rural Proofing: Making Policies Work for Rural Areas through data/Earth observations</t>
  </si>
  <si>
    <t>P10</t>
  </si>
  <si>
    <t>Jasper Assen ; Martje Looijenga-Bekius</t>
  </si>
  <si>
    <t xml:space="preserve"> jasper.assen@opsterland.nl ; europa@weststellingwerf.nl</t>
  </si>
  <si>
    <t xml:space="preserve"> Municipality of Opsterland </t>
  </si>
  <si>
    <t xml:space="preserve">Alexia ROUBY - European Commission - Administrator -  - ;
Betty-Ann Bryce - OECD - Policy Expert -  - ;
Arjen van Gijssel - Berkelland - Deputy Mayor -  - </t>
  </si>
  <si>
    <t xml:space="preserve">Betty-Ann </t>
  </si>
  <si>
    <t>Bryce</t>
  </si>
  <si>
    <t>betty-ann.bryce@oecd.org</t>
  </si>
  <si>
    <t xml:space="preserve">Christos </t>
  </si>
  <si>
    <t>Moutsios</t>
  </si>
  <si>
    <t>moutsios.c@pste.gov.gr</t>
  </si>
  <si>
    <t>city requested 20-08</t>
  </si>
  <si>
    <t>+33 (0)6 27 20 49 71</t>
  </si>
  <si>
    <t>14.10,2025 - 17:30</t>
  </si>
  <si>
    <t>12 noon</t>
  </si>
  <si>
    <t>EUR9339</t>
  </si>
  <si>
    <t>EUR9322</t>
  </si>
  <si>
    <t>14/10/2025 - 16:00 - 17:30</t>
  </si>
  <si>
    <t>Right to stay and live in small municipalities: evidence and experiences on the role of built environment, social environment and public services</t>
  </si>
  <si>
    <t>ARCO (Action Research for CO-development)</t>
  </si>
  <si>
    <t xml:space="preserve">Andrea Ferrannini; Serafin Pazos-Vidal </t>
  </si>
  <si>
    <t xml:space="preserve"> andrea.ferrannini@pin.unifi.it; spv@aeidl.eu</t>
  </si>
  <si>
    <t xml:space="preserve"> ARCO (Action Research for CO development) </t>
  </si>
  <si>
    <t>Researcher</t>
  </si>
  <si>
    <t xml:space="preserve">Marianna Stori - Municipality of Gagliano Aterno - Representative -  - ;
Thibaut  Guignard - Association Leader France - Representative -  - ;
Aistė Rutkauskienė - Society and Enterprise Development institute - Representative -  - </t>
  </si>
  <si>
    <t>Marianna</t>
  </si>
  <si>
    <t>Stori</t>
  </si>
  <si>
    <t>marianna.stori@gmail.com</t>
  </si>
  <si>
    <t>Aistė</t>
  </si>
  <si>
    <t>Rutkauskienė</t>
  </si>
  <si>
    <t>aiste@vvpi.lt</t>
  </si>
  <si>
    <t>Andrea</t>
  </si>
  <si>
    <t>Ferrannini</t>
  </si>
  <si>
    <t>andrea.ferrannini@pin.unifi.it</t>
  </si>
  <si>
    <t>+393331371568</t>
  </si>
  <si>
    <t>Tue 14/10/2025 (16:00 - 17:30 CET)</t>
  </si>
  <si>
    <t>Around 7pm</t>
  </si>
  <si>
    <t>Around 4 Pm</t>
  </si>
  <si>
    <t>Kaunas or Vilnius</t>
  </si>
  <si>
    <t>doesnt matter</t>
  </si>
  <si>
    <t>Would like to live alone</t>
  </si>
  <si>
    <t>+393385808722</t>
  </si>
  <si>
    <t>Florence</t>
  </si>
  <si>
    <t>11:30am</t>
  </si>
  <si>
    <t>Pisa</t>
  </si>
  <si>
    <t>11:20am</t>
  </si>
  <si>
    <t>"I may need accommodation for two nights - i.e. arrival on the 13th and departure on the 15th.
Indeed, our session is planned for the 14th at 5pm, making it difficult to plan a travel back to Italy on the same day. At the same time, due to these possible travel disruptions, it seems quite risky reaching Brussels on the 14th itself and I would like to avoid any potential issue being the coordinator/moderator of the session. Thanks in advance for your kind understanding. "</t>
  </si>
  <si>
    <t>sn3140</t>
  </si>
  <si>
    <t>fr5255</t>
  </si>
  <si>
    <t>Navigating access to innovative financial instruments for green cities and regions</t>
  </si>
  <si>
    <t>EUROPEAN BANK FOR RECONSTRUCTION AND DEVELOPMENT (EBRD) - EU REPRESENTATIVE OFFICE</t>
  </si>
  <si>
    <t>Pippa Koszerek ; Esben Pejstrup</t>
  </si>
  <si>
    <t xml:space="preserve"> KoszereP@ebrd.com ; esben.pejstrup@iclei.org</t>
  </si>
  <si>
    <t xml:space="preserve"> EUROPEAN BANK FOR RECONSTRUCTION AND DEVELOPMENT (EBRD) </t>
  </si>
  <si>
    <t xml:space="preserve"> EU REPRESENTATIVE OFFICE - Officer</t>
  </si>
  <si>
    <t xml:space="preserve">Alessandra SGOBBI - European Commission - DG CLIMA - Head of Unit -  - ;
Jennifer McIntosh - ICLEI Europe - Head of Sector -  - ;
Anna-Maria Spyriouni -  Climate Bonds Initiative Europe (ASBL) - Head of Sector -  - </t>
  </si>
  <si>
    <t>Felicity</t>
  </si>
  <si>
    <t>Spors</t>
  </si>
  <si>
    <t>sporsf@ebrd.com</t>
  </si>
  <si>
    <t>Matthew</t>
  </si>
  <si>
    <t>Bach</t>
  </si>
  <si>
    <t>matthew.bach@iclei.org</t>
  </si>
  <si>
    <t>+44 7522985575</t>
  </si>
  <si>
    <t>14-10-2025, 09:30-10:30</t>
  </si>
  <si>
    <t>London</t>
  </si>
  <si>
    <t xml:space="preserve">Please confirm if the speaker can arrive 1 day before (on the 12th) </t>
  </si>
  <si>
    <t>We can cover the ticket as long as the price is the same or lower than the one originally offered. We do not cover for the extra nights</t>
  </si>
  <si>
    <t>Freiburg im Breisgau, Germany</t>
  </si>
  <si>
    <t>After 12:00</t>
  </si>
  <si>
    <t>Early morning</t>
  </si>
  <si>
    <t>Return date is later so I am happy to proceed with price comparison.</t>
  </si>
  <si>
    <t xml:space="preserve">Please confirm if the speaker can return 2 day later (on the 18th) </t>
  </si>
  <si>
    <t>Inclusive Future Sport Lab with NEB – Co-designing Rural Sports Services by New Olympiads</t>
  </si>
  <si>
    <t>EuLabTEC</t>
  </si>
  <si>
    <t xml:space="preserve">Francesco Marchionni ; Teresa Levi </t>
  </si>
  <si>
    <t xml:space="preserve"> fmarchionni.euproject@gmail.com ; teresalevi95@gmail.com</t>
  </si>
  <si>
    <t xml:space="preserve"> National Youth Council of Italy </t>
  </si>
  <si>
    <t xml:space="preserve"> Vice-President</t>
  </si>
  <si>
    <t xml:space="preserve">Daniele Taurino - Knowledge of Society - CEO -  - ;
Betty Geraga - Municipality of Levadia -  -  - </t>
  </si>
  <si>
    <t>Dell'Aquila</t>
  </si>
  <si>
    <t>luigixdellaquila1@gmail.com</t>
  </si>
  <si>
    <t>Andreas</t>
  </si>
  <si>
    <t>Stamatakis</t>
  </si>
  <si>
    <t>andreasstamatak2023@gmail.com</t>
  </si>
  <si>
    <t>Francesco</t>
  </si>
  <si>
    <t>Marchionni</t>
  </si>
  <si>
    <t>francesco.marchionni@eulabtec.com</t>
  </si>
  <si>
    <t>+393386064306</t>
  </si>
  <si>
    <t>Crotone</t>
  </si>
  <si>
    <t>I request permission to participate in the other scheduled sessions and the entire event and, therefore, I request permission to extend my stay as indicated above.</t>
  </si>
  <si>
    <t>az1178-7638</t>
  </si>
  <si>
    <t>az165-1173</t>
  </si>
  <si>
    <t>Speaker wants to arrive on the 12th of October. Can we book the flight on those dates? Extra nights on the 12th and 15th are on his own expenses</t>
  </si>
  <si>
    <t>Tue 14/10/2025, time: 16:00 - 17:30</t>
  </si>
  <si>
    <t>Athens</t>
  </si>
  <si>
    <t>I request permission to participate in the other scheduled sessions and the entire event, and therefore to extend my stay beyond the scheduled date of our session. In any case, since this intervention is scheduled for October 14th and taking into account that a national strike is planned in Belgium on the same date, I ask that an additional night be covered in the hotel so that I can arrive a day earlier, on October 13th, and leave October 15th.</t>
  </si>
  <si>
    <t>a3 620</t>
  </si>
  <si>
    <t>a3 621</t>
  </si>
  <si>
    <t>14/10/2025 h 16:00 - 17:30</t>
  </si>
  <si>
    <t>Rome FCO</t>
  </si>
  <si>
    <t>Morning</t>
  </si>
  <si>
    <t xml:space="preserve">If I can have the accomodation for 13 night and 14 night to strake reason. If it's not possible, please reserve it and I'll pay the extra night. </t>
  </si>
  <si>
    <t>SN3176</t>
  </si>
  <si>
    <t>SN3181</t>
  </si>
  <si>
    <t>Stimulating regional interventions to address developmental bottlenecks through hands-on capacity building and experimentation - Catching-up Regions</t>
  </si>
  <si>
    <t>World Bank Group</t>
  </si>
  <si>
    <t>Grzegorz Wolszczak ; Sandra Spule</t>
  </si>
  <si>
    <t xml:space="preserve"> gwolszczak@worldbank.org ; sandra.spule@gmail.com</t>
  </si>
  <si>
    <t xml:space="preserve"> The World Bank </t>
  </si>
  <si>
    <t xml:space="preserve">Peter Breyl - Regional Innovation Center of the Košice region - Director-General -  - ;
Linda SPROGE - European Commission - DG REGIO - Deputy Head of Unit -  - ;
Jolanta Blazaite - World Bank - Policy Expert -  - </t>
  </si>
  <si>
    <t>Integrated Clean Energy Transition Strategies – A Replacement for or Advancement Beyond SECAP? The Innovative Approach of the PLENTY-Life Project</t>
  </si>
  <si>
    <t xml:space="preserve">AIT Austrian Institute of Technology GmbH </t>
  </si>
  <si>
    <t>Ali Hainoun ; Georg Neugebauer</t>
  </si>
  <si>
    <t xml:space="preserve"> Ali.Hainoun@ait.ac.at ; georg.neugebauer@boku.ac.at</t>
  </si>
  <si>
    <t xml:space="preserve"> AIT Austrian Institute of Technology GmbH  </t>
  </si>
  <si>
    <t xml:space="preserve">Georg NEUGEBAUER - BOKU University - Researcher -  - ;
Iudit BERE - SEMEREDI - Timiș County - Councillor -  - ;
Alice Borsari - Eurac Research - Researcher -  - </t>
  </si>
  <si>
    <t>YES - 1 TBC (Alice Borsari included in another session)</t>
  </si>
  <si>
    <t>Iudit</t>
  </si>
  <si>
    <t>Bere-Semeredi</t>
  </si>
  <si>
    <t>iudit.bere@cjtimis.ro</t>
  </si>
  <si>
    <t>Ali</t>
  </si>
  <si>
    <t>Hainoun</t>
  </si>
  <si>
    <t>Ali.Hainoun@ait.ac.at</t>
  </si>
  <si>
    <t>14-10-2025, 11:30-15:00</t>
  </si>
  <si>
    <t>Vienna</t>
  </si>
  <si>
    <t> In addition to the WS I am coordinating on 14-10-25, I also will be moderating another workshop, 14WS252602, on 15-10-2025. Thus, I need to be in Brussels on the 14th and 15th of October. Please consider that in booking the accommodation.</t>
  </si>
  <si>
    <t>Please confirm whether we can cover the extra night on the 15th - ON HOLD</t>
  </si>
  <si>
    <t>Please reach out to him to ask to let  you know by Monday 18 August CoB if he confirms himself or replace himself by the speaker missing. No extra speaker covered. You can still accept a reply on Tuesday 19 August if need be.</t>
  </si>
  <si>
    <t>Tue 14/10/2025, 11:30 - 12:30 CET</t>
  </si>
  <si>
    <t>Timisoara, Romania</t>
  </si>
  <si>
    <t>Morning/Noon flight</t>
  </si>
  <si>
    <t>Late morning / Early afternoon</t>
  </si>
  <si>
    <t>LH4093/LHLH5630</t>
  </si>
  <si>
    <t>LH5627</t>
  </si>
  <si>
    <t>Subnational reforms for the business environment</t>
  </si>
  <si>
    <t>Tommaso Rooms; Pasquale D'Apice</t>
  </si>
  <si>
    <t xml:space="preserve"> trooms@worldbank.org; Pasquale.D'APICE@ec.europa.eu</t>
  </si>
  <si>
    <t xml:space="preserve">Norman Loayza - World Bank Group - Director -  - ;
Tea Trumbic - World Bank Group - Manager -  - ;
Valentina Saltane - World Bank Group - Manager -  - </t>
  </si>
  <si>
    <t>Defence Innovation Ecosystem: From Start-ups to Safer Regions</t>
  </si>
  <si>
    <t>Ministry of Finance of the Republic of Lithuania</t>
  </si>
  <si>
    <t>Lithuania</t>
  </si>
  <si>
    <t>Ilma Skukauskaite ; Akvile Zirguleviciute-Juodiene</t>
  </si>
  <si>
    <t xml:space="preserve"> ilma.skukauskaite@finmin.lt ; akvile.zirguleviciute@finmin.lt</t>
  </si>
  <si>
    <t xml:space="preserve"> Ministry of Finance of the Republic of Lithuania </t>
  </si>
  <si>
    <t xml:space="preserve"> Deputy Head of Unit</t>
  </si>
  <si>
    <t>YES. (1TBC)</t>
  </si>
  <si>
    <t xml:space="preserve">Viktorija </t>
  </si>
  <si>
    <t>Trimbel</t>
  </si>
  <si>
    <t>viktorija.trimbel@coinvest.lt</t>
  </si>
  <si>
    <t xml:space="preserve">Dainius </t>
  </si>
  <si>
    <t>Vilčinskas</t>
  </si>
  <si>
    <t>dainius.vilcinskas@ilte.lt</t>
  </si>
  <si>
    <t>Deadline to complete the form: 7 August - REMINDER 08-08</t>
  </si>
  <si>
    <t>Viktorija</t>
  </si>
  <si>
    <t xml:space="preserve">+370 610 62 000 </t>
  </si>
  <si>
    <t>October 14,  11.30</t>
  </si>
  <si>
    <t>sn2372</t>
  </si>
  <si>
    <t> sk594-1742</t>
  </si>
  <si>
    <t>Dainius</t>
  </si>
  <si>
    <t>2025 10 14 11.30-12.30</t>
  </si>
  <si>
    <t>Vilnius, Lithuania</t>
  </si>
  <si>
    <t>VIlnius, Lithuania</t>
  </si>
  <si>
    <t>9:45 (10:20)</t>
  </si>
  <si>
    <t xml:space="preserve">Hackathon4Cohesion: cohesion programme Prompt Engineering and prompt performance for cities and territories </t>
  </si>
  <si>
    <t>Managing Authority of the National Programme JTF 2021-2027 and Metro Plus 2021-2027</t>
  </si>
  <si>
    <t>Germana Di Falco; Raffaele Parlangeli</t>
  </si>
  <si>
    <t xml:space="preserve"> germana.difalco@gmail.com; r.parlangeli@governo.it</t>
  </si>
  <si>
    <t xml:space="preserve">Germana DI FALCO -  -  -  - </t>
  </si>
  <si>
    <t>Germana</t>
  </si>
  <si>
    <t>Di Falco</t>
  </si>
  <si>
    <t>g.difalco@governo.it</t>
  </si>
  <si>
    <t>Raffaele</t>
  </si>
  <si>
    <t>Parlangeli</t>
  </si>
  <si>
    <t>r.parlangeli@governo.it</t>
  </si>
  <si>
    <t>Daniela</t>
  </si>
  <si>
    <t>Labonia</t>
  </si>
  <si>
    <t>d.labonia@governo.it</t>
  </si>
  <si>
    <t>Translation from italian to english is more tha welcome, if possible</t>
  </si>
  <si>
    <t>Deadline to complete the form: 13 August - Reminder sent on 14 August</t>
  </si>
  <si>
    <t>14 October h.11.30</t>
  </si>
  <si>
    <t>Rome, Italy</t>
  </si>
  <si>
    <t>from 2 pm on</t>
  </si>
  <si>
    <t>the last flight from Brussels</t>
  </si>
  <si>
    <t>az160</t>
  </si>
  <si>
    <t>u2 2983</t>
  </si>
  <si>
    <t xml:space="preserve">Tue 14/10/2025 11:30 - 13:00 </t>
  </si>
  <si>
    <t>Brindisi</t>
  </si>
  <si>
    <t>6.20 ITA AIRWAYS FLIGHT</t>
  </si>
  <si>
    <t>18.55 ITA AIRWAYS FLIGHT</t>
  </si>
  <si>
    <t>az1620-156</t>
  </si>
  <si>
    <t>az165-1625</t>
  </si>
  <si>
    <t xml:space="preserve">Daniela </t>
  </si>
  <si>
    <t xml:space="preserve">Labonia </t>
  </si>
  <si>
    <t>14.10.2025 time 11.30-13.00</t>
  </si>
  <si>
    <t>For accommodation, the preference is Le Plaza Brussels  like the other members of the Italian Presidency of the Council delegation (NP JTF &amp; Metro+) -stand 2641 and session 2642</t>
  </si>
  <si>
    <t>CityHack: Design the City You Want</t>
  </si>
  <si>
    <t>ISTAT-Italian National Institute of Statistics</t>
  </si>
  <si>
    <t>Toussaint Barboni ; CAFIERI SIMONA</t>
  </si>
  <si>
    <t xml:space="preserve"> barbonitoussaint@gmail.com ; cafieri@istat.it</t>
  </si>
  <si>
    <t xml:space="preserve">Francesco MOLICA - EURADA - Director -  - ;
Roberta Capello - Regional Studies Association Europe Foundation  - President -  - ;
Rudiger Ahrend - Organisation for Economic Co-operation and Development  - Representative -  - </t>
  </si>
  <si>
    <t>Names of speakers will be provided as soon as they are confirmed</t>
  </si>
  <si>
    <t>ONLY TRAVEL - TBC</t>
  </si>
  <si>
    <t>Paolo</t>
  </si>
  <si>
    <t>Mazzocchi</t>
  </si>
  <si>
    <t>Maria Angeles</t>
  </si>
  <si>
    <t xml:space="preserve">Ruiz Ruiz </t>
  </si>
  <si>
    <t xml:space="preserve"> Abdelillah</t>
  </si>
  <si>
    <t>Hamdouch</t>
  </si>
  <si>
    <t>Universities, Regions and Municipalities: Co-Creating Pathways for Urban and Territorial Transformation</t>
  </si>
  <si>
    <t>University of Granada</t>
  </si>
  <si>
    <t>Esteban Romero-Frías ; Holger Hoff</t>
  </si>
  <si>
    <t xml:space="preserve"> erf@ugr.es ; holger.hoff@uni-graz.at</t>
  </si>
  <si>
    <t xml:space="preserve">Stefano Campostrini -  -  -  - ;
ada domingo -  -  -  - ;
José Carlos  Mota -  -  -  - </t>
  </si>
  <si>
    <t>Esteban</t>
  </si>
  <si>
    <t>Romero-Frías</t>
  </si>
  <si>
    <t>erf@ugr.es</t>
  </si>
  <si>
    <t>Ada</t>
  </si>
  <si>
    <t>Domingo-Ferrer</t>
  </si>
  <si>
    <t>ada.domingo@uvic.cat</t>
  </si>
  <si>
    <t>Jose Carlos</t>
  </si>
  <si>
    <t>Mota</t>
  </si>
  <si>
    <t>jcmota@ua.pt</t>
  </si>
  <si>
    <t>They will need t&amp;a for their speaker : arrival on the 13th and leave on the 15th</t>
  </si>
  <si>
    <t>14/10/2025
14:00-15:30</t>
  </si>
  <si>
    <t>Granada</t>
  </si>
  <si>
    <t>"The only available flights between Granada and Brussels are operated by Vueling with a connection in Barcelona.
For the outbound trip, I suggest the flight departing at 09:20, which arrives in Brussels at 14:25.
For the return on October 15, I kindly request the flight departing Brussels at 10:25 and arriving in Granada at 16:25.
I specifically ask that this return flight be booked, as on the same day we are holding the Annual Conference of a Horizon Europe project that I coordinate in Granada, and I need to be present for the sessions taking place that afternoon.
"</t>
  </si>
  <si>
    <t>VY2011/VY8986</t>
  </si>
  <si>
    <t>VY8981</t>
  </si>
  <si>
    <t>Ada Blanca</t>
  </si>
  <si>
    <t>14/10/2025 - 14-15:30</t>
  </si>
  <si>
    <t>morning or afternoon</t>
  </si>
  <si>
    <t>SN3703</t>
  </si>
  <si>
    <t>JOSÉ CARLOS</t>
  </si>
  <si>
    <t>BAPTISTA MOTA</t>
  </si>
  <si>
    <t>14/10/2025 14:00-15:30</t>
  </si>
  <si>
    <t>Oporto</t>
  </si>
  <si>
    <t>sn3812</t>
  </si>
  <si>
    <t>sn3809</t>
  </si>
  <si>
    <t>Fostering Cohesion and Growth: The EIB's Role in Shaping Sustainable Prosperity for EU Regions</t>
  </si>
  <si>
    <t>European Investment Bank</t>
  </si>
  <si>
    <t>Bianca Faragau Souza Tavares ; Yannis Vatopoulos</t>
  </si>
  <si>
    <t xml:space="preserve"> b.faragau@eib.org ; y.vatopoulos@eif.org</t>
  </si>
  <si>
    <t xml:space="preserve"> European Investment Bank </t>
  </si>
  <si>
    <t xml:space="preserve">Massimo MARRA - JASPERS - European Investment Bank - Representative -  - </t>
  </si>
  <si>
    <t>Total</t>
  </si>
  <si>
    <t>To be sent to Travex</t>
  </si>
  <si>
    <t>Sent to Travex</t>
  </si>
  <si>
    <t>Rooms not used</t>
  </si>
  <si>
    <t>TRAVEL</t>
  </si>
  <si>
    <t>ACCOMODATION</t>
  </si>
  <si>
    <t xml:space="preserve">Arrival </t>
  </si>
  <si>
    <t>Departure</t>
  </si>
  <si>
    <t>Session coordinators form = our estimations</t>
  </si>
  <si>
    <t>Number of speakers confirmed by session coordinators before deadline 1 August</t>
  </si>
  <si>
    <t>Confirmed by the speakers in their form</t>
  </si>
  <si>
    <t>Extra requests</t>
  </si>
  <si>
    <t>3*</t>
  </si>
  <si>
    <t>*3 speakers coming from Ankara - no flight on the 15th</t>
  </si>
  <si>
    <t>STANDHOLDERS INFORMATION</t>
  </si>
  <si>
    <t>STANDHOLDER PREFERENCES</t>
  </si>
  <si>
    <t>Job title</t>
  </si>
  <si>
    <t>Form/reminder sent</t>
  </si>
  <si>
    <t>Do any of your project members require travel coverage?</t>
  </si>
  <si>
    <t>Number of speakers for travel</t>
  </si>
  <si>
    <t>Do any of your project members require accommodation coverage?</t>
  </si>
  <si>
    <t>Number of speakers for accommodation</t>
  </si>
  <si>
    <t>Accommoation needed</t>
  </si>
  <si>
    <t>Hotel rate 13/10, €, excl. VAT</t>
  </si>
  <si>
    <t>Hotel rate 14/10, €, excl. VAT</t>
  </si>
  <si>
    <t>Hotel rate 15/10, €, excl. VAT</t>
  </si>
  <si>
    <t>14/10 - 15/10</t>
  </si>
  <si>
    <t>Transnational cooperation: building solidarity, driving synergies &amp; delivering change</t>
  </si>
  <si>
    <t>Stand</t>
  </si>
  <si>
    <t>Interreg North-West Europe</t>
  </si>
  <si>
    <t>Rania Balia ; Martin Heibel</t>
  </si>
  <si>
    <t xml:space="preserve"> rania@nweurope.eu ; mheibel@regione.sardegna.it</t>
  </si>
  <si>
    <t xml:space="preserve"> Interreg North - West Europe </t>
  </si>
  <si>
    <t>reminder sent - However, the two stand holders, who are project representatives, have not yet been fully confirmed. There's also a possibility that their travel and accommodation is already covered through a different session during the week. Currently, we cannot specify exactly who these two representatives will be. If we do not meet your travel and accommodation deadlines, please feel free to withdraw our request for coverage.</t>
  </si>
  <si>
    <t>Cohesion and Growth for the Future-the role of the civil society</t>
  </si>
  <si>
    <t>European Economic and Social Committee</t>
  </si>
  <si>
    <t>Graziella Dilkinska ; Georgios Meleas</t>
  </si>
  <si>
    <t xml:space="preserve"> Graziella.Dilkinska@eesc.europa.eu ; Georgios.Meleas@eesc.europa.eu</t>
  </si>
  <si>
    <t xml:space="preserve"> European Economic and Social Committee </t>
  </si>
  <si>
    <t>Interreg Europe – How cooperation unlocks regional potential </t>
  </si>
  <si>
    <t>Interreg Europe</t>
  </si>
  <si>
    <t>Marie Soucasse; Vladimir Sestovic</t>
  </si>
  <si>
    <t xml:space="preserve"> m.soucasse@interregeurope.eu; v.sestovic@policylearning.eu</t>
  </si>
  <si>
    <t xml:space="preserve"> Interreg Europe Policy Learning Platform </t>
  </si>
  <si>
    <t>YES - especial case, not travel,2 accomodation</t>
  </si>
  <si>
    <t>0</t>
  </si>
  <si>
    <t>Marie</t>
  </si>
  <si>
    <t>Soucasse</t>
  </si>
  <si>
    <t>m.soucasse@interregeurope.eu</t>
  </si>
  <si>
    <t xml:space="preserve">Irma </t>
  </si>
  <si>
    <t xml:space="preserve">ASTRAUSKAITE </t>
  </si>
  <si>
    <t>i.astrauskaite@interregeurope.eu</t>
  </si>
  <si>
    <t>LILLE, FRANCE</t>
  </si>
  <si>
    <t>+33647675364</t>
  </si>
  <si>
    <t>Lille</t>
  </si>
  <si>
    <t>TRAIN</t>
  </si>
  <si>
    <t>13/010/2025</t>
  </si>
  <si>
    <t>Marie and Irma, both standholders who only need accommodation (and not travel), have confirmed that they will come by train from Lille. Could you please confirm whether we can therefore cover both nights, 13 and 14 October, since they are not coming by car?
(we discussed this stand the other day) Marie and Irma, both standholders who only need accommodation, have been informed that we will cover only the nights of 13 and 14 October and have told us the following: “The last train to Lille is at 18:16 on the evening of 15 October, and it is our understanding that we need to be at the stand until 18:00, which makes it difficult for us to catch our train on time.”
Could you please confirm if, in this case, we can also book the night of 15 October for both of them? Please note that when making the estimates at the beginning of the process, these rooms for the 15th were planned for them and are still available.</t>
  </si>
  <si>
    <t>confirmed</t>
  </si>
  <si>
    <t>20/08 Caroline : last departing train incompatible with stand schedule</t>
  </si>
  <si>
    <t xml:space="preserve"> Astrauskaite-Denis</t>
  </si>
  <si>
    <t>i.Astrauskaite@interregeurope.eu</t>
  </si>
  <si>
    <t>+33623408961</t>
  </si>
  <si>
    <t>Have Your Say Portal</t>
  </si>
  <si>
    <t xml:space="preserve">European Commission - Secretariat General </t>
  </si>
  <si>
    <t>Corina - Luciana Pirleci ; Carlos Perez-Padilla</t>
  </si>
  <si>
    <t>Corina-Luciana.PIRLECI@ec.europa.eu ; carlos.perez-padilla@ec.europa.eu</t>
  </si>
  <si>
    <t xml:space="preserve"> Secretariat General  - Representative</t>
  </si>
  <si>
    <t>Unlock and Attract skills and talent through Regional Innovation Capacity insights</t>
  </si>
  <si>
    <t>Region Vasterbotten</t>
  </si>
  <si>
    <t>Sweden</t>
  </si>
  <si>
    <t>Jenny Ferry ; Antti Kotinaa</t>
  </si>
  <si>
    <t xml:space="preserve"> jenny.ferry@regionvasterbotten.se ; antti.kotimaa@savonia.fi</t>
  </si>
  <si>
    <t xml:space="preserve"> Region Vasterbotten </t>
  </si>
  <si>
    <t>Antti</t>
  </si>
  <si>
    <t>Kotimaa</t>
  </si>
  <si>
    <t>antti.kotimaa@savonia.fi</t>
  </si>
  <si>
    <t xml:space="preserve">Jenny </t>
  </si>
  <si>
    <t>Ferry</t>
  </si>
  <si>
    <t>jenny.ferry@regionvasterbotten.se</t>
  </si>
  <si>
    <t>"Astric has a stand"</t>
  </si>
  <si>
    <t>+358 447856449</t>
  </si>
  <si>
    <t>Kuopio</t>
  </si>
  <si>
    <t>Any time</t>
  </si>
  <si>
    <t>AY366/AY1545</t>
  </si>
  <si>
    <t>€ 582,56</t>
  </si>
  <si>
    <t>Over budget: 585.56€</t>
  </si>
  <si>
    <t>+46 70 2830498</t>
  </si>
  <si>
    <t>Umeå, Sweden</t>
  </si>
  <si>
    <t>Ca 8:00-10:00 (morning time)</t>
  </si>
  <si>
    <t>Like to return to Umeå Sweden at night October 16th</t>
  </si>
  <si>
    <t>D84006/SN2292</t>
  </si>
  <si>
    <t>SN2291</t>
  </si>
  <si>
    <t>Make your local government climate and future-proof from within!</t>
  </si>
  <si>
    <t>Province of Antwerp</t>
  </si>
  <si>
    <t>Tirza Pulleman ; Maxime Rekkers</t>
  </si>
  <si>
    <t xml:space="preserve"> tirza.pulleman@provincieantwerpen.be ; maxime@adaptatieatelier.net</t>
  </si>
  <si>
    <t xml:space="preserve"> Province of Antwerp </t>
  </si>
  <si>
    <t>RIVCircular project: Regional Innovation Valleys</t>
  </si>
  <si>
    <t>Fundación para el Conocimiento madri+d</t>
  </si>
  <si>
    <t>Juana Sanz ; Natalia Memberto</t>
  </si>
  <si>
    <t xml:space="preserve"> juana.sanz@madrimasd.org ; natalia.mamberto@madrimasd.org</t>
  </si>
  <si>
    <t xml:space="preserve"> Fundación para el Conocimiento madri+d </t>
  </si>
  <si>
    <t>special case: she did not include herself in the survey - checking intrnally</t>
  </si>
  <si>
    <t>Natalia</t>
  </si>
  <si>
    <t>Mamberto Debernardi</t>
  </si>
  <si>
    <t>natalia.mamberto@madrimasd.org</t>
  </si>
  <si>
    <t xml:space="preserve">Juana </t>
  </si>
  <si>
    <t>Sanz</t>
  </si>
  <si>
    <t>juana.sanz@madrimasd.org</t>
  </si>
  <si>
    <t>No comment</t>
  </si>
  <si>
    <t>Madrid</t>
  </si>
  <si>
    <t>UX1173</t>
  </si>
  <si>
    <t>UX1172</t>
  </si>
  <si>
    <t>Juana Maria</t>
  </si>
  <si>
    <t>Sanz García</t>
  </si>
  <si>
    <t>Tue 14/10/2025 at 09:30 to Wed 15/10/2025 at 18:00 CET</t>
  </si>
  <si>
    <t>Budva and Kotor 2030: Smart, Sustainable, and Inclusive Coastal Growth</t>
  </si>
  <si>
    <t>Budva Municipality</t>
  </si>
  <si>
    <t>Montenegro</t>
  </si>
  <si>
    <t>Luka Mihailovic ; Nadja Vukasovic</t>
  </si>
  <si>
    <t xml:space="preserve"> luka.mihailovic@budva.me ; nadja.vukasovic@kotor.me</t>
  </si>
  <si>
    <t xml:space="preserve"> Budva Municipality </t>
  </si>
  <si>
    <t>Luka</t>
  </si>
  <si>
    <t>Mihailovic</t>
  </si>
  <si>
    <t>luka.mihailovic@budva.me</t>
  </si>
  <si>
    <t>Nađa</t>
  </si>
  <si>
    <t>Vukasovic</t>
  </si>
  <si>
    <t>nadja.vukasovic@kotor.me</t>
  </si>
  <si>
    <t>We would like to inform you that both the Mayor of Budva and the Mayor of Kotor will be attending the EU Week of Regions and Cities this year. Their presence is intended to actively support our joint stand: “Budva and Kotor 2030: Smart, Sustainable and Inclusive Coastal Growth.” In light of this, we have decided to arrange travel and accommodation independently.</t>
  </si>
  <si>
    <t>Living without Leaving - a nomadic art exhibition</t>
  </si>
  <si>
    <t>Gaby Hagmuller ; Maria Galewska</t>
  </si>
  <si>
    <t xml:space="preserve"> Gaby.HAGMULLER@ec.europa.eu ; maria.galewska@ec.europa.eu</t>
  </si>
  <si>
    <t xml:space="preserve"> European Commission - DG REGIO</t>
  </si>
  <si>
    <t xml:space="preserve">yes - undeliverable emails </t>
  </si>
  <si>
    <t>Eva</t>
  </si>
  <si>
    <t>Omahen</t>
  </si>
  <si>
    <t>eva.omahen@gov.si</t>
  </si>
  <si>
    <t>Freia</t>
  </si>
  <si>
    <t>Verbinc</t>
  </si>
  <si>
    <t>Freia.Verbinc.student@gov.si</t>
  </si>
  <si>
    <t>Ljubljana</t>
  </si>
  <si>
    <t>in the morning, before 10 am</t>
  </si>
  <si>
    <t>in the afternoon, after 14</t>
  </si>
  <si>
    <t xml:space="preserve">I would like to attend the opening of the European Week of Regions and Cities, so if possible, please find a flight in the morning, as the session starts at 14.00. It can also be from neighbouring airports, such as Zagreb, regarding that I am flexible. </t>
  </si>
  <si>
    <t>OU456</t>
  </si>
  <si>
    <t>OU4457</t>
  </si>
  <si>
    <t>LX2273/LX780</t>
  </si>
  <si>
    <t>SN3343</t>
  </si>
  <si>
    <t>Empowering Regions: Education as the Catalyst for Cohesion and Growth</t>
  </si>
  <si>
    <t xml:space="preserve">European Association of Regional and Local Authorities for Lifelong Learning </t>
  </si>
  <si>
    <t>Alicia Gaban ; Noelia Cantero Gonzalvez</t>
  </si>
  <si>
    <t xml:space="preserve"> alicia.gaban@earlall.eu ; noelia.cantero@earlall.eu</t>
  </si>
  <si>
    <t xml:space="preserve"> European Association of Regional and Local Authorities for Lifelong Learning  </t>
  </si>
  <si>
    <t>Camilla</t>
  </si>
  <si>
    <t>Winter</t>
  </si>
  <si>
    <t>camilla@camillawinter.se</t>
  </si>
  <si>
    <t>Alejandra</t>
  </si>
  <si>
    <t>Martinez</t>
  </si>
  <si>
    <t>zuzendaria@fpsanturtzilh.eus</t>
  </si>
  <si>
    <t>Göteborg</t>
  </si>
  <si>
    <t>I would like to travel 12 Oct 18.20 from Göteborg Landvetter  Airport Sweden  and back from Brussels15 Oct 21.00. Thank you!</t>
  </si>
  <si>
    <t>SN2324</t>
  </si>
  <si>
    <t>SN2319</t>
  </si>
  <si>
    <t>€ 548,73</t>
  </si>
  <si>
    <t xml:space="preserve">Please confirm if she can leave on the 12th </t>
  </si>
  <si>
    <t>She can arrive on the 12th granted that the ticket is the same price or lower of the original ticket proposed. Accommodation for the extra night is not covered.</t>
  </si>
  <si>
    <t>Martinez Santos</t>
  </si>
  <si>
    <t>Bilbao</t>
  </si>
  <si>
    <t>I prefer to travel on these days, bit if it is not possible it will be ok on 13th to 16th</t>
  </si>
  <si>
    <t>VY1421/VY8986</t>
  </si>
  <si>
    <t>SN3711</t>
  </si>
  <si>
    <t>€ 498,97</t>
  </si>
  <si>
    <t xml:space="preserve">Please confirm if she can return 1 day before (on the 15th) </t>
  </si>
  <si>
    <t xml:space="preserve">This speaker and the one above can both leave 15 August at8pm or later, however if no tickets available one could stay until 16 August with accommodation covered and the other can leave on 15 August earlier. </t>
  </si>
  <si>
    <t>#MakeEUBlue - cities in action!</t>
  </si>
  <si>
    <t>ACTeon</t>
  </si>
  <si>
    <t>Pierre Strosser ; Ginevra Alda</t>
  </si>
  <si>
    <t>p.strosser@acteon-environment.eu ; ginevra@aldaintranet.org</t>
  </si>
  <si>
    <t xml:space="preserve"> ACTeon </t>
  </si>
  <si>
    <t xml:space="preserve"> Director General</t>
  </si>
  <si>
    <t>Molly</t>
  </si>
  <si>
    <t>Wingate</t>
  </si>
  <si>
    <t>m.wingate@acteon-environment.eu</t>
  </si>
  <si>
    <t>Olga</t>
  </si>
  <si>
    <t>Mashkina</t>
  </si>
  <si>
    <t>o.mashkina@acteon-environment.eu</t>
  </si>
  <si>
    <t>NA</t>
  </si>
  <si>
    <t>Colmar, via Strasbourg</t>
  </si>
  <si>
    <t>Thank you :)</t>
  </si>
  <si>
    <t>ICe9568/UER9333</t>
  </si>
  <si>
    <t>TGV9874</t>
  </si>
  <si>
    <t>€ 387,00</t>
  </si>
  <si>
    <t>Strasbourg</t>
  </si>
  <si>
    <t>Youth4Cooperation</t>
  </si>
  <si>
    <t>Beniamino Brunati ; Milena Pallota</t>
  </si>
  <si>
    <t xml:space="preserve"> Beniamino.BRUNATI@ec.europa.eu ; M.Pallotta@aebr.eu</t>
  </si>
  <si>
    <t>Empowering Climate Action: A New Era of Local Resilience in Porto’s Metropolitan Region</t>
  </si>
  <si>
    <t>Porto Metropolitan Area</t>
  </si>
  <si>
    <t>Portugal</t>
  </si>
  <si>
    <t>Ana Paula Abreu ; Claudia Alves</t>
  </si>
  <si>
    <t xml:space="preserve"> apabreu@amp.pt ; claudia.alves@magellancircle.eu</t>
  </si>
  <si>
    <t xml:space="preserve"> Porto Metropolitan Area </t>
  </si>
  <si>
    <t>Ana Paula</t>
  </si>
  <si>
    <t>Abreu</t>
  </si>
  <si>
    <t>apabreu@amp.pt</t>
  </si>
  <si>
    <t>Azevedo</t>
  </si>
  <si>
    <t>aazevedo@amp.pt</t>
  </si>
  <si>
    <t>Porto- Brussels on 13th and returned to Porto on the 16th octobre</t>
  </si>
  <si>
    <t>Porto, Portugal</t>
  </si>
  <si>
    <t>08.00AM</t>
  </si>
  <si>
    <t>01:00PM</t>
  </si>
  <si>
    <t>FR2929</t>
  </si>
  <si>
    <t>FR2928</t>
  </si>
  <si>
    <t>+351934835785</t>
  </si>
  <si>
    <t>Morning, since 08H AM</t>
  </si>
  <si>
    <t>Afternoon, since 01H PM</t>
  </si>
  <si>
    <t>OECD tools for climate and development strategies</t>
  </si>
  <si>
    <t>Eric Gonnard ; Josep Espesa Reig</t>
  </si>
  <si>
    <t xml:space="preserve"> regionstat@oecd.org ; josep.espesareig@oecd.org</t>
  </si>
  <si>
    <t xml:space="preserve"> OECD </t>
  </si>
  <si>
    <t>High-quality statistics and data on Europe</t>
  </si>
  <si>
    <t>Eurostat</t>
  </si>
  <si>
    <t>Giorgia Macchia ; Maria Hajdu</t>
  </si>
  <si>
    <t xml:space="preserve"> Giorgia.MACCHIA@ec.europa.eu ; Maria.HAJDU@ec.europa.eu</t>
  </si>
  <si>
    <t xml:space="preserve"> Eurostat - Representative</t>
  </si>
  <si>
    <t>EU Mission on Adaptation to Climate Change</t>
  </si>
  <si>
    <t>Ricardo</t>
  </si>
  <si>
    <t>United Kingdom</t>
  </si>
  <si>
    <t>Maria Cao ; Manny Sidhu</t>
  </si>
  <si>
    <t xml:space="preserve"> maria.cao@ricardo.com ; maninder.sidhu@ricardo.com</t>
  </si>
  <si>
    <t xml:space="preserve"> Ricardo </t>
  </si>
  <si>
    <t>Culture for Resilience </t>
  </si>
  <si>
    <t>Varde Municipality</t>
  </si>
  <si>
    <t>Denmark</t>
  </si>
  <si>
    <t>Marie Feddersen ; Tarja Hautamäki</t>
  </si>
  <si>
    <t xml:space="preserve"> mafe@vardebib.dk ; Tarja.Hautamaki@obotnia.fi</t>
  </si>
  <si>
    <t xml:space="preserve"> Varde Municipality </t>
  </si>
  <si>
    <t>Pia</t>
  </si>
  <si>
    <t>Blomström</t>
  </si>
  <si>
    <t>pia.blomstrom@obotnia.fi</t>
  </si>
  <si>
    <t>Feddersen</t>
  </si>
  <si>
    <t>mafe@vardebib.dk</t>
  </si>
  <si>
    <t>Margot Pia Johanna</t>
  </si>
  <si>
    <t>+358443206668 OR +358458554600</t>
  </si>
  <si>
    <t>Kokkola/Pietarsaari</t>
  </si>
  <si>
    <t>Morning/forenoon</t>
  </si>
  <si>
    <t>Midday/Afternoon</t>
  </si>
  <si>
    <t xml:space="preserve">The small airport is joint one for two cities Kokkola and Pietarsaari and there are not so many flights from there, hope you will find suitable connections via Helsinki to Brussels. </t>
  </si>
  <si>
    <t>AY1541</t>
  </si>
  <si>
    <t>4528261309</t>
  </si>
  <si>
    <t>Bramming, Denmark or Billund Denmark</t>
  </si>
  <si>
    <t>Evening</t>
  </si>
  <si>
    <t>Please confirm if she can leave on the 15th and return on the 16th</t>
  </si>
  <si>
    <t xml:space="preserve">Since the other colleague is present from 13, so will be at the stand on October 14, we can confirm arrival on 15 October and leave on 16 October granted that the ticket price is the same or lower than the one originally offered. </t>
  </si>
  <si>
    <t>Twin Cities Wanted: Join JUST STREETS to (Re)design Streets that are Sustainable, Safe, and Inclusive for All Citizens!</t>
  </si>
  <si>
    <t>Climate Alliance</t>
  </si>
  <si>
    <t>Friederike Lebus ; Marie Boutin</t>
  </si>
  <si>
    <t xml:space="preserve"> f.lebus@climatealliance.org ; m.boutin@climatealliance.org</t>
  </si>
  <si>
    <t xml:space="preserve"> Climate Alliance </t>
  </si>
  <si>
    <t>Friederike</t>
  </si>
  <si>
    <t>Lebus</t>
  </si>
  <si>
    <t>f.lebus@climatealliance.org</t>
  </si>
  <si>
    <t xml:space="preserve">Marie </t>
  </si>
  <si>
    <t>Boutin</t>
  </si>
  <si>
    <t>m.boutin@climatealliance.org</t>
  </si>
  <si>
    <t>Frankfurt am Main</t>
  </si>
  <si>
    <t>For train booking with Deutsche Bahn: I own a Bahncard50 2nd class (bahncard number 7081 4112 2883 9904).
I would like to extend my stay for private reasons and only return on Sunday 19 Oct. The train ticket shouldn't be more expensive than it would be on 16 Oct.</t>
  </si>
  <si>
    <t>NVS314</t>
  </si>
  <si>
    <t>NVS315</t>
  </si>
  <si>
    <t>€ 251,98</t>
  </si>
  <si>
    <t>Please confirm if she can return on the 19. he would like to extend his stay for private reasons and only return on Sunday 19 Oct.</t>
  </si>
  <si>
    <t>We can cover accommodation 13-16 October and the ticket (granted that the ticket is the same price or below the original proposed). Additional nights not coverred</t>
  </si>
  <si>
    <t>Berlin</t>
  </si>
  <si>
    <t>Leave Berlin not earlier than 8:30</t>
  </si>
  <si>
    <t>Leave Brussels not earlier than 15:00</t>
  </si>
  <si>
    <t>I will attend the Covenant of Mayors ceremony on the 16th of October. Therefore I would like to leave later in the day. If it is possible to apply reductions, I have a BahnCard 25 with Deutsche Bahn. I will be on holidays with no access to my emails from 10-17 August.</t>
  </si>
  <si>
    <t>ICE314</t>
  </si>
  <si>
    <t>ICE317</t>
  </si>
  <si>
    <t>A Sea of Green: Shaping a resilient and sustainable tomorrow for Greater Athens  </t>
  </si>
  <si>
    <t>Managing Authority of the Programme Attiki</t>
  </si>
  <si>
    <t>Greece</t>
  </si>
  <si>
    <t>Angelos Spiliotis; Gianna Krokou</t>
  </si>
  <si>
    <t xml:space="preserve"> spiliotis@mou.gr; ikrokou@mou.gr</t>
  </si>
  <si>
    <t xml:space="preserve"> Managing Authority of the Programme Attiki </t>
  </si>
  <si>
    <t xml:space="preserve">they will cover the travel and accommodation themself </t>
  </si>
  <si>
    <t>Unlocking EU Research &amp; Innovation: get tailored insight and support for your region</t>
  </si>
  <si>
    <t>Roberta Pattono ; Jacopo Grazzini</t>
  </si>
  <si>
    <t xml:space="preserve"> Roberta.PATTONO@ec.europa.eu ; Jacopo.Grazzini@ec.europa.eu</t>
  </si>
  <si>
    <t xml:space="preserve"> DG RTD  -  Administrator</t>
  </si>
  <si>
    <t>METACITY - Showcasing the small and medium size city of the future</t>
  </si>
  <si>
    <t>Municipality of Fundão</t>
  </si>
  <si>
    <t>Eurico Neves ; Ricardo Goncalves</t>
  </si>
  <si>
    <t xml:space="preserve"> eurico.neves@inova.business ; ricardogoncalves@cm-fundao.pt</t>
  </si>
  <si>
    <t>1</t>
  </si>
  <si>
    <t>Jennie</t>
  </si>
  <si>
    <t>Olofsson</t>
  </si>
  <si>
    <t>jennie.olofsson@harnosand.se</t>
  </si>
  <si>
    <t>Mylos</t>
  </si>
  <si>
    <t>Prokysek</t>
  </si>
  <si>
    <t>milos.prokysek@mupisek.cz</t>
  </si>
  <si>
    <t>Sundsvall, Sweden</t>
  </si>
  <si>
    <t>Afternoon/evening</t>
  </si>
  <si>
    <t xml:space="preserve">I’d prefer to take the train from Sundsvall to Arlanda Airport in Stockholm and then fly to Brussels. The same applies to the return trip. Everything to avoid domestic flights in Sweden, when possible. </t>
  </si>
  <si>
    <t>SN2294</t>
  </si>
  <si>
    <t>SN2293</t>
  </si>
  <si>
    <t>€ 546,99</t>
  </si>
  <si>
    <t>European Capitals of Inclusion and Diversity 2026 and European Diversity Month 2026</t>
  </si>
  <si>
    <t>European Commission - DG JUST</t>
  </si>
  <si>
    <t xml:space="preserve">Maria Langiewicz ; Anu Ritz </t>
  </si>
  <si>
    <t xml:space="preserve"> Maria.LANGIEWICZ@ec.europa.eu ; Anu.RITZ@ec.europa.eu</t>
  </si>
  <si>
    <t xml:space="preserve"> European Commission -  DG JUST </t>
  </si>
  <si>
    <t>European Parliamentary Research Service</t>
  </si>
  <si>
    <t xml:space="preserve">European Parliamentary Research Service </t>
  </si>
  <si>
    <t>Emmanuel Alvarez ; Vasileios Margaras</t>
  </si>
  <si>
    <t xml:space="preserve"> EMMANUEL.ALVAREZ@EUROPARL.EUROPA.EU ; VASILEIOS.MARGARAS@EUROPARL.EUROPA.EU</t>
  </si>
  <si>
    <t xml:space="preserve"> EP Research Service </t>
  </si>
  <si>
    <t xml:space="preserve"> Administrator</t>
  </si>
  <si>
    <t>b-solutions: Facilitating cross-border solutions for a better future for border regions</t>
  </si>
  <si>
    <t>Association of European Border Regions (AEBR)</t>
  </si>
  <si>
    <t>Cinzia Dellagiacoma ; Mariane Bloudeau</t>
  </si>
  <si>
    <t xml:space="preserve"> c.dellagiacoma@aebr.eu ; M.Bloudeau@aebr.eu</t>
  </si>
  <si>
    <t xml:space="preserve"> Association of European Border Regions </t>
  </si>
  <si>
    <t>Cross-border Energy Communities: Building Energy Cooperation across Borders</t>
  </si>
  <si>
    <t>Transfrontier Operational Mission (MOT)</t>
  </si>
  <si>
    <t>Anouck Moulin ; Jean Peyrony</t>
  </si>
  <si>
    <t xml:space="preserve"> anouck.moulin@mot.asso.fr ; jean.peyrony@mot.asso.fr</t>
  </si>
  <si>
    <t xml:space="preserve"> Transfrontier Operational Mission (MOT) </t>
  </si>
  <si>
    <t xml:space="preserve"> special case: 2 travel, no accommodation  - yes</t>
  </si>
  <si>
    <t>Mariane</t>
  </si>
  <si>
    <t>Bloudeau</t>
  </si>
  <si>
    <t>M.Bloudeau@aebr.eu</t>
  </si>
  <si>
    <t>Anouck</t>
  </si>
  <si>
    <t>Moulin</t>
  </si>
  <si>
    <t>anouck.moulin@mot.asso.fr</t>
  </si>
  <si>
    <t>No, my speakers do not need accommodation coverage.</t>
  </si>
  <si>
    <t xml:space="preserve">If possible, I would prefer to fly back to Berlin on 15 October evening. If not, the second option would be to fly back to Berlin on 16 October at 18:35 (departure time from Brussels with Brussels airlines). </t>
  </si>
  <si>
    <t>SN2582</t>
  </si>
  <si>
    <t>SN2591</t>
  </si>
  <si>
    <t>€ 542,21</t>
  </si>
  <si>
    <t>Finally, there are two standholders for whom the session coordinators indicated that they would not need accommodation, only travel coverage. However, when filling in the form, both indicated that they need both travel &amp; accommodation.
Since we have available rooms, could we make an exception and cover their nights on 13 and 14 October?</t>
  </si>
  <si>
    <t>Confirmed</t>
  </si>
  <si>
    <t>7.30</t>
  </si>
  <si>
    <t>18.30</t>
  </si>
  <si>
    <t>EUR9369</t>
  </si>
  <si>
    <t>EUR9474</t>
  </si>
  <si>
    <t>€ 318,00</t>
  </si>
  <si>
    <t>VAMVAKOU REVIVAL - ESTABLISHMENT AND OPERATION OF A BUSINESS INCUBATOR </t>
  </si>
  <si>
    <t>Region of Peloponnese</t>
  </si>
  <si>
    <t>Ioanna Lampropoulou; Antonios Psarakis</t>
  </si>
  <si>
    <t xml:space="preserve"> ilampropoulou@mou.gr; apsarakis@mou.gr</t>
  </si>
  <si>
    <t xml:space="preserve"> Region of Peloponnese </t>
  </si>
  <si>
    <t>reminder sent</t>
  </si>
  <si>
    <t>tbc</t>
  </si>
  <si>
    <t>Empowering Communities through EU Innovation</t>
  </si>
  <si>
    <t>Cohesion for Transitions: Supporting Regions for a Greener Future</t>
  </si>
  <si>
    <t xml:space="preserve">Bolanle Hammed ; Victoria Huisa </t>
  </si>
  <si>
    <t xml:space="preserve"> bolanle.hammed@ecorys.com ; victoria.huisa@ecorys.com</t>
  </si>
  <si>
    <t xml:space="preserve"> ECORYS </t>
  </si>
  <si>
    <t xml:space="preserve"> Consultant</t>
  </si>
  <si>
    <t>Supporting entrepreneurs and SMEs: working together</t>
  </si>
  <si>
    <t>European Commission - DG GROW</t>
  </si>
  <si>
    <t>Marijana Juras ; Alberto Valenzano</t>
  </si>
  <si>
    <t xml:space="preserve"> Marijana.JURAS@ec.europa.eu ; Alberto.VALENZANO@ec.europa.eu</t>
  </si>
  <si>
    <t xml:space="preserve"> DG GROW - Representative</t>
  </si>
  <si>
    <t>Not a "Typicalp" european project!</t>
  </si>
  <si>
    <t>REGIONAL AGRICULTURAL INSTITUTE</t>
  </si>
  <si>
    <t>Sabina Valentini ; Luca Vernetti-Prot</t>
  </si>
  <si>
    <t xml:space="preserve"> s.valentini@iaraosta.it ; l.vernetti@iaraosta.it</t>
  </si>
  <si>
    <t xml:space="preserve"> REGIONAL AGRICULTURAL INSTITUTE </t>
  </si>
  <si>
    <t>Giorgia</t>
  </si>
  <si>
    <t>Gambino</t>
  </si>
  <si>
    <t>g.gambino@iaraosta.it</t>
  </si>
  <si>
    <t>Mathieu</t>
  </si>
  <si>
    <t>Merlet</t>
  </si>
  <si>
    <t>m.merlet@iaraosta.it</t>
  </si>
  <si>
    <t>Our proposal includes tastngs. Is it possible to have a fridge at the stand?</t>
  </si>
  <si>
    <t>+39 3313450501</t>
  </si>
  <si>
    <t>Aosta (Aosta Valley)</t>
  </si>
  <si>
    <t>We would like to point out the need to arrive in Brussels early (Sunday, 12 October) in order to prepare and set up our stand in the best possible way in terms of layout and organisation of the planned activities. We would also need to delay our departure from Brussels by one day (Thursday, 16 October) due to the late hour of the Regiostars Awards ceremony for which our project has been selected.</t>
  </si>
  <si>
    <t>SN2714</t>
  </si>
  <si>
    <t>SN2721</t>
  </si>
  <si>
    <t>€ 363,97</t>
  </si>
  <si>
    <t xml:space="preserve">Please confirm if she can arrival 1 day before (on the 12th) </t>
  </si>
  <si>
    <t>She can arrive on the 12th granted that the ticket is the same price or lower of the original ticket proposed. Accommodation for the extra night is not covered. If possible offer return on 15 evening at 8pm onwards</t>
  </si>
  <si>
    <t xml:space="preserve">Please confirm if he can arrive 1 day before (on the 12th) </t>
  </si>
  <si>
    <t>She can arrive on the 12th granted that the ticket is the same price or lower of the original ticket proposed. Accommodation for the extra night is not covered.  If possible offer return on 15 evening at 8pm onwards</t>
  </si>
  <si>
    <t>Giving knowledge cities more visibility within Europe</t>
  </si>
  <si>
    <t>EUniverCities Network</t>
  </si>
  <si>
    <t xml:space="preserve">Alison Ward ; Andrew Dean </t>
  </si>
  <si>
    <t xml:space="preserve"> A.M.S.Ward@exeter.ac.uk ; A.Dean@exeter.ac.uk</t>
  </si>
  <si>
    <t xml:space="preserve"> EUniverCities Network </t>
  </si>
  <si>
    <t>- special case: travel 1 - accomodation 2 - yes</t>
  </si>
  <si>
    <t>Andrew</t>
  </si>
  <si>
    <t>Dean</t>
  </si>
  <si>
    <t>a.dean@exeter.ac.uk</t>
  </si>
  <si>
    <t>Alison</t>
  </si>
  <si>
    <t>Ward</t>
  </si>
  <si>
    <t>A.M.S.Ward@exeter.ac.uk</t>
  </si>
  <si>
    <t>ALMERE, (NEAR AMSTERDAM)</t>
  </si>
  <si>
    <t>+44 (0) 7526519106</t>
  </si>
  <si>
    <t>If possible, please book in same hotel as my colleague Andrew Dean - on same stand</t>
  </si>
  <si>
    <t>Please ask where are they coming from/based.</t>
  </si>
  <si>
    <t>+44 (0) 7900692593</t>
  </si>
  <si>
    <t>Exeter, UK via Paddington</t>
  </si>
  <si>
    <t>07:52 (13:01 Eurostar)</t>
  </si>
  <si>
    <t>Exeter, UK</t>
  </si>
  <si>
    <t>17:56 Eurostar (20:03 to Exeter from Paddington)</t>
  </si>
  <si>
    <t>If possible, please book in same hotel as my colleague Alison Ward - on same stand</t>
  </si>
  <si>
    <t>EUR9132</t>
  </si>
  <si>
    <t>EUR9153</t>
  </si>
  <si>
    <t>€ 519,80</t>
  </si>
  <si>
    <t>Ok to return earlier</t>
  </si>
  <si>
    <t>Joint Research Centre: EU rgional statistics explained</t>
  </si>
  <si>
    <t xml:space="preserve">Lucia Salgado ; Astrid Nedee </t>
  </si>
  <si>
    <t>Lucia.SALGADO-BAENA@ec.europa.eu ; Astrid.NEDEE@ec.europa.eu</t>
  </si>
  <si>
    <t xml:space="preserve">BAENA@ec.europa.eu </t>
  </si>
  <si>
    <t xml:space="preserve"> Joint Research Centre - Representative</t>
  </si>
  <si>
    <t>Showcasing Interreg’s results across key policy areas </t>
  </si>
  <si>
    <t>Interact office Valencia</t>
  </si>
  <si>
    <t>Rosa Escamilla ; Valeria Cibrario</t>
  </si>
  <si>
    <t xml:space="preserve"> rosa.escamilla@interact.eu ; valeria.cibrario@interact.eu</t>
  </si>
  <si>
    <t>Rosa</t>
  </si>
  <si>
    <t>Escamilla Torregrosa</t>
  </si>
  <si>
    <t>rosa.escamilla@interact.eu</t>
  </si>
  <si>
    <t>Valeria</t>
  </si>
  <si>
    <t>Cibrario</t>
  </si>
  <si>
    <t>valeria.cibrario@interact.eu</t>
  </si>
  <si>
    <t>evening/night</t>
  </si>
  <si>
    <t>I'd prefer to travel on the evening of 12/10 to be able to prep the stand on 13/10. Due to other engagements, I need to travel back to Valencia on the evening of 15/10. Thanks!</t>
  </si>
  <si>
    <t>SN3752</t>
  </si>
  <si>
    <t>LX789</t>
  </si>
  <si>
    <t>€ 539,88</t>
  </si>
  <si>
    <t xml:space="preserve"> Please confirm if it is possible to book the flight on the 12 (instead of 13) and return flight on the 15th. We would inform him that he would need to pay the extra night on the 12th</t>
  </si>
  <si>
    <t>She can arrive on the 12th granted that the ticket is the same price or lower of the original ticket proposed. Accommodation for the extra night is not covered.  Ok to return on October 15 at any time since the colleague is covering (staying until October 16)</t>
  </si>
  <si>
    <t>Direct flight is preferred, if possible</t>
  </si>
  <si>
    <t>SN3751</t>
  </si>
  <si>
    <t>Think Local, Act Together! </t>
  </si>
  <si>
    <t xml:space="preserve">Zabala Innovation </t>
  </si>
  <si>
    <t>Paula Iribarren Toni; Irene Biancani</t>
  </si>
  <si>
    <t xml:space="preserve"> piribarren@zabala.es; irene.biancani@fedarene.org</t>
  </si>
  <si>
    <t xml:space="preserve"> Zabala Innovation  </t>
  </si>
  <si>
    <t>Anna</t>
  </si>
  <si>
    <t>Mansson</t>
  </si>
  <si>
    <t>anna.mansson@energikontorsyd.se</t>
  </si>
  <si>
    <t xml:space="preserve">Marina </t>
  </si>
  <si>
    <t>Malossi</t>
  </si>
  <si>
    <t>marina.malossi@aessenergy.it</t>
  </si>
  <si>
    <t>Anna Sofia</t>
  </si>
  <si>
    <t>Frideborg Månsson</t>
  </si>
  <si>
    <t>2025-10-10 Karlskrona /Hamburg 2025-10-13 Hamburg-Brussels</t>
  </si>
  <si>
    <t>2025-10-10 (Karlskrona-Hamburg) 2025-10-13 (Hamburg-Brussels)</t>
  </si>
  <si>
    <t>2025-10-10 After 13:00 2025-10-13 Before lunch</t>
  </si>
  <si>
    <t>Brussels- Karlskrona</t>
  </si>
  <si>
    <t>Possible to find night tran connection? Otherwise early 2025-10-16. Preferably back in Karlskrona 2025-10-16 15:30</t>
  </si>
  <si>
    <t>I will of course arrange my own accommodation in Hamburg, so I need 13-15(16) in Brussels.</t>
  </si>
  <si>
    <t>She will arrange her own accommodation in Hamburg - ASK TRAVEL AGENCY prices of the tickets on both fates</t>
  </si>
  <si>
    <t>We can offer the train travel (10oct) with the longer stop in Hamburg. Of course, we will not cover the extra nights but only the ones already foreseen for her session (from 13 to 16)</t>
  </si>
  <si>
    <t>Marina</t>
  </si>
  <si>
    <t>n/a</t>
  </si>
  <si>
    <t>I would linke to depart on 15th October in the evening, if it's not possible, it will be ok to travel on 16th morning</t>
  </si>
  <si>
    <t>SN 3126</t>
  </si>
  <si>
    <t>LH 5589- LH5678</t>
  </si>
  <si>
    <t>If possible, ok to travel 15 evening</t>
  </si>
  <si>
    <t>The URBACT IV programme</t>
  </si>
  <si>
    <t>Evgenia Koutsomarkou ; Camilla Chiappini</t>
  </si>
  <si>
    <t xml:space="preserve"> j.koutsomarkou@urbact.eu ; c.chiappini@urbact.eu</t>
  </si>
  <si>
    <t>European Urban Initiative: Supporting cities of all sizes across Europe</t>
  </si>
  <si>
    <t>European Urban Initiative Permanent Secretariat ; Eleni Kefallinou</t>
  </si>
  <si>
    <t>communication@urban-initiative.eu; eleni@urban-initiative.eu</t>
  </si>
  <si>
    <t xml:space="preserve">initiative.eu </t>
  </si>
  <si>
    <t xml:space="preserve"> European Urban Initiative - Representative</t>
  </si>
  <si>
    <t>EEA and Norway Grants: Investing in People and Regions</t>
  </si>
  <si>
    <t>EEA and Norway Grants</t>
  </si>
  <si>
    <t>Gunnar Gardarsson ; Raquel Torres</t>
  </si>
  <si>
    <t xml:space="preserve"> gunnar.gardarsson@efta.int ; torresprolraquel@gmail.com</t>
  </si>
  <si>
    <t xml:space="preserve"> EEA and Norway Grants </t>
  </si>
  <si>
    <t>ICLEI Europe - Local Governments for Sustainability</t>
  </si>
  <si>
    <t>ICLEI Europe</t>
  </si>
  <si>
    <t>Esben Pejstrup</t>
  </si>
  <si>
    <t xml:space="preserve"> esben.pejstrup@iclei.org </t>
  </si>
  <si>
    <t xml:space="preserve"> ICLEI Europe </t>
  </si>
  <si>
    <t>Marine</t>
  </si>
  <si>
    <t>Francois</t>
  </si>
  <si>
    <t>marine.francois@iclei.org</t>
  </si>
  <si>
    <t>(Fields were mandatory to submit, so I had to put my name several times. Thank you!)</t>
  </si>
  <si>
    <t>Frankfurt-am-Main Flughafen</t>
  </si>
  <si>
    <t>ICE316</t>
  </si>
  <si>
    <t>ICE15</t>
  </si>
  <si>
    <t>Accelerating circular action in cities and regions: CCRI support services</t>
  </si>
  <si>
    <t>Circular Flanders / Public Flemish Waste Agency</t>
  </si>
  <si>
    <t xml:space="preserve">Jolien De Graeve ; Simon Gresset </t>
  </si>
  <si>
    <t>jolien@vlaanderen-circulair.be ; simon.gresset@iclei.org</t>
  </si>
  <si>
    <t xml:space="preserve"> Circular Flanders / Public Flemish Waste Agency </t>
  </si>
  <si>
    <t xml:space="preserve">Solveig </t>
  </si>
  <si>
    <t>Stornes</t>
  </si>
  <si>
    <t>Solveig.Stornes@mrfylke.no</t>
  </si>
  <si>
    <t xml:space="preserve">Francisco </t>
  </si>
  <si>
    <t>Carvalho</t>
  </si>
  <si>
    <t>francisco.carvalho@labpaisagem.pt</t>
  </si>
  <si>
    <t>Change of lead coordinator for this stand from Elmar Willems to Jolien De Graeve (requested via mail)</t>
  </si>
  <si>
    <t>Solveig</t>
  </si>
  <si>
    <t>0047 097143553</t>
  </si>
  <si>
    <t>Molde; Norway</t>
  </si>
  <si>
    <t xml:space="preserve">I would like to return one day later than the program (17 Oct). The tickets around that time slot are less expensive than the previous day. To Brussels I would like to have the flight that arrives 13.15 in Brussel (Norwegian), and on the return the flight that arrives in Molde 17.15 (SAS). 
</t>
  </si>
  <si>
    <t>WF1890</t>
  </si>
  <si>
    <t>WF1891</t>
  </si>
  <si>
    <t>€ 388,83</t>
  </si>
  <si>
    <t xml:space="preserve">Please confirm if she can return 1 day later (on the 17th) </t>
  </si>
  <si>
    <t>Yes, granted the ticket is the same price or below the original ticket offered. No additional night will be covered.</t>
  </si>
  <si>
    <t>Francisco</t>
  </si>
  <si>
    <t>13-15</t>
  </si>
  <si>
    <t>Porto</t>
  </si>
  <si>
    <t>9:00AM</t>
  </si>
  <si>
    <t>varvesi@aisfor.it</t>
  </si>
  <si>
    <t>A STEP forward</t>
  </si>
  <si>
    <t>Presidency of the Council of Ministers - Italy</t>
  </si>
  <si>
    <t>Simona De Luca ; Gianmarco Guazzo</t>
  </si>
  <si>
    <t xml:space="preserve"> sim.deluca@governo.it ; gianmarco.guazzo@opencoesione.team</t>
  </si>
  <si>
    <t xml:space="preserve"> Presidency of the Council of Ministers - Italy </t>
  </si>
  <si>
    <t>Simona</t>
  </si>
  <si>
    <t>De Luca</t>
  </si>
  <si>
    <t>sim.deluca@governo.it</t>
  </si>
  <si>
    <t>Gianmarco</t>
  </si>
  <si>
    <t>Guazzo</t>
  </si>
  <si>
    <t>gianmarco.guazzo@opencoesione.team</t>
  </si>
  <si>
    <t>Travelling from ROME</t>
  </si>
  <si>
    <t>My colleague Gianmarco Guazzo, who's reading us in copy, will be accomodate at the hotel Le Plaza Brussels from 13 to 15 october and, if it is possible, it'll be great for us to stay in the same place.</t>
  </si>
  <si>
    <t xml:space="preserve"> Simona de Luca – this standholder only needs accommodation. She has confirmed that she will be traveling from Rome by plane and therefore needs the nights of 13, 14, and 15 October. Could you please confirm if we can offer her all three nights, instead of just two (13 and 14) as we are doing for those coming by train from other cities near Brussels?</t>
  </si>
  <si>
    <t>clarifications needed - cf mail</t>
  </si>
  <si>
    <t>Rome FCO (Fiumicino Airport)</t>
  </si>
  <si>
    <t>I kindly ask you to ensure that the arrival airport (Rome-Brussels) and the departure airport (Brussels-Rome) is the main one (Brussels Airport - Zaventem) and not Charleroi. I would also appreciate it if accommodation could be arranged in the same hotel, or in a nearby hotel, as my colleague Simona De Luca. Thank you.</t>
  </si>
  <si>
    <t>SN4125</t>
  </si>
  <si>
    <t>Stay by Choice, Not by Chance: Unlocking smart and green solutions for thriving Mediterranean Communities and Territories</t>
  </si>
  <si>
    <t>The UNEP/MAP regional Activity Center for SCP - MedWaves</t>
  </si>
  <si>
    <t xml:space="preserve">Matias Ibañez ; Jesus Maestro </t>
  </si>
  <si>
    <t xml:space="preserve"> matiasibanez@gencat.cat ; jesus.maestro@gencat.cat</t>
  </si>
  <si>
    <t xml:space="preserve"> The UNEP/MAP regional Activity Center for SCP </t>
  </si>
  <si>
    <t xml:space="preserve"> MedWaves - Head of Unit</t>
  </si>
  <si>
    <t xml:space="preserve">The session coordinator of this stand did not complete the form requesting T&amp;A for any person, and they are now telling us that they would like coverage. I explained to them that in mid-June they received a form that had to be completed and that the deadline for submitting such requests was 30 June, so unfortunately we cannot cover it anymore.
They replied with the following: 
“Thank you for your kind reply. It is very important for us that the T&amp;A is covered. Could you kindly confirm that we submitted the T&amp;A request by June 30?I checked my email exchange, and saw that we sent an email on June 30 to register, but we couldn’t find the form you mentioned in your email, nor were we able to locate it on the platform. As a matter of fact, I have a long email exchange in which I inquired about the T&amp;A, and I even tried calling the EU. 
On the contrary, I would greatly appreciate it if you could provide guidance on how to resolve this situation.
Thank you very much for your help.”
I am not aware of any email exchange requesting T&amp;A, as no one has been in contact with us until now, and after checking again, no form was received from them.
Could you please advise how we should proceed?
</t>
  </si>
  <si>
    <t>One Borderless Vision: Celebrating 20 Years of EU’s Eastern Cooperation</t>
  </si>
  <si>
    <t xml:space="preserve">Romania - Ukraine Regional Office for Cross Border Cooperation </t>
  </si>
  <si>
    <t>Romania</t>
  </si>
  <si>
    <t>Larisa Dumitrescu ; Cezar Adrian Grozavu</t>
  </si>
  <si>
    <t xml:space="preserve"> larisa.dumitrescu3@yahoo.com ; cezar.grozavu@brctsuceava.ro</t>
  </si>
  <si>
    <t xml:space="preserve"> Romania -  Ukraine Regional Office for Cross Border Cooperation  </t>
  </si>
  <si>
    <t>Larisa</t>
  </si>
  <si>
    <t>Dumitrescu</t>
  </si>
  <si>
    <t>larisa.dumitrescu@brctsuceava.ro</t>
  </si>
  <si>
    <t>Alina</t>
  </si>
  <si>
    <t>Dobos</t>
  </si>
  <si>
    <t>alina.dobos@brctsuceava.ro</t>
  </si>
  <si>
    <t>Suceava</t>
  </si>
  <si>
    <t>W43661</t>
  </si>
  <si>
    <t>W43662</t>
  </si>
  <si>
    <t>VASILICA DOBOȘ</t>
  </si>
  <si>
    <t>Here to Stay: Strengthening Belonging, Equality, and Participation in Europe's Marginalised Territories</t>
  </si>
  <si>
    <t>European Executive Agency for Culture and Education (EACEA)</t>
  </si>
  <si>
    <t>Maria Inmaculada Perez Rocha ; Michela Beati</t>
  </si>
  <si>
    <t>Maria-Inmaculada.PEREZ-ROCHA@ec.europa.eu ; michela.beati@ec.europa.eu</t>
  </si>
  <si>
    <t xml:space="preserve"> European Commission - DG JUST</t>
  </si>
  <si>
    <t>European Youth Capitals</t>
  </si>
  <si>
    <t>European Youth Forum</t>
  </si>
  <si>
    <t>Vittoria Torrisi ; Francesco Zollo</t>
  </si>
  <si>
    <t>vittoria.torrisi@youthforum.org ; francesco.zollo@youthforum.org</t>
  </si>
  <si>
    <t xml:space="preserve"> European Youth Forum </t>
  </si>
  <si>
    <t>Agnieszka</t>
  </si>
  <si>
    <t>Parol-Gorna</t>
  </si>
  <si>
    <t>aparol@lublin.eu</t>
  </si>
  <si>
    <t>Stonkiene</t>
  </si>
  <si>
    <t>gabriele.stonkiene@klaipeda.lt</t>
  </si>
  <si>
    <t>replaced by Francesco Zoolo
Email: francesco.zollo@youthforum.org</t>
  </si>
  <si>
    <t>Deadline to complete the form: 5 August - REMINDER SENT 08-08 + 14-08</t>
  </si>
  <si>
    <t>+48515261121</t>
  </si>
  <si>
    <t>EYC session</t>
  </si>
  <si>
    <t>Warsaw (Chopin)</t>
  </si>
  <si>
    <t>6:50 p.m.</t>
  </si>
  <si>
    <t xml:space="preserve"> 07:35 p.m</t>
  </si>
  <si>
    <t>LO234</t>
  </si>
  <si>
    <t>€ 457,70</t>
  </si>
  <si>
    <t>Yes for the 7.30PM one, since we do not know when the other standholder is arriving/leaving</t>
  </si>
  <si>
    <t>Palanga</t>
  </si>
  <si>
    <t>13 th October</t>
  </si>
  <si>
    <t>16 th October</t>
  </si>
  <si>
    <t>SK2749/SK549</t>
  </si>
  <si>
    <t>SK2590</t>
  </si>
  <si>
    <t>€ 397,44</t>
  </si>
  <si>
    <t>ENTRACK: Empowering local and regional authorities to design clean ENergy TRAnsition plans through Capacity and Knowledge building actions</t>
  </si>
  <si>
    <t>Giulia</t>
  </si>
  <si>
    <t>Viero</t>
  </si>
  <si>
    <t>giulia.viero@ieecp.org</t>
  </si>
  <si>
    <t>Varvesi</t>
  </si>
  <si>
    <t>from the 13 to the 15</t>
  </si>
  <si>
    <t xml:space="preserve">Giulia </t>
  </si>
  <si>
    <t>+39 348 5128247</t>
  </si>
  <si>
    <t>WORKSHOP ENTRACK/PLENTY-life. Date: 14 October 2025  Time: 09:30–10:30 Room: 313–315 + stand in Grand Hall 2, Square Brussels Building</t>
  </si>
  <si>
    <t>Athens (ATH)</t>
  </si>
  <si>
    <t>8:00 CET (AEGEAN: ATH - BRU)</t>
  </si>
  <si>
    <t>Venice (or nearby airport)</t>
  </si>
  <si>
    <t>21:20 (BRU - VCE)</t>
  </si>
  <si>
    <t>On Thu, 16 Oct, I will arrive in Venice airport at 23:00 with no car/public transport. Since I may need to spend a night at the hotel nearby the airport, would it be possible to leave on Fri, 17 Oct at 10:55 am (BRU - VCE)? If not - I will find a solution. Thank you!</t>
  </si>
  <si>
    <t>A3620</t>
  </si>
  <si>
    <t>AZ7659</t>
  </si>
  <si>
    <t>vvarvesi@aisfor.it</t>
  </si>
  <si>
    <t xml:space="preserve">Tuesday, 14 October 2025, from 09:30 to 10:30 CET. </t>
  </si>
  <si>
    <t>rome Italy</t>
  </si>
  <si>
    <t>I will have to stay in Brussels until Friday, the cost of the extra nights will be covered by myself. I have made the booking of a room at the Citybox Brussels where I will be staying for the extra nights - if possible please confirm the room booked at my name</t>
  </si>
  <si>
    <t>SN4127</t>
  </si>
  <si>
    <t>€ 445,67</t>
  </si>
  <si>
    <t>Please confirm if we can book the return flight on the 17th. Exta nights will be covered by himself (confirmed by him)</t>
  </si>
  <si>
    <t>Ok if the ticket is the same price or below the original ticket offered</t>
  </si>
  <si>
    <t>Learning through Data, Playing through Stats</t>
  </si>
  <si>
    <t>Rina Camporese ; Simona Cafieri</t>
  </si>
  <si>
    <t xml:space="preserve"> rinacampore00@gmail.com ; cafieri@istat.it</t>
  </si>
  <si>
    <t>CAFIERI</t>
  </si>
  <si>
    <t>SIMONA</t>
  </si>
  <si>
    <t>cafieri@istat.it</t>
  </si>
  <si>
    <t>the person who answered is "Cafieri Simona" adress email : cafieri@istat.it</t>
  </si>
  <si>
    <t>Cafieri</t>
  </si>
  <si>
    <t>stand holder N/A</t>
  </si>
  <si>
    <t>NAPLES</t>
  </si>
  <si>
    <t xml:space="preserve">If the stands open on the morning of 13/10, i would like to book the outbound journey for 12/10, otherwise for 13/10. </t>
  </si>
  <si>
    <t>AZ156</t>
  </si>
  <si>
    <t>Az165</t>
  </si>
  <si>
    <t xml:space="preserve">Mariarosario </t>
  </si>
  <si>
    <t>Russo</t>
  </si>
  <si>
    <t>Cities for Just Transition: the future is now</t>
  </si>
  <si>
    <t>Germana Di Falco ; Raffaele Parlangeli</t>
  </si>
  <si>
    <t xml:space="preserve"> germana.difalco@gmail.com ; r.parlangeli@governo.it</t>
  </si>
  <si>
    <t xml:space="preserve">Maria </t>
  </si>
  <si>
    <t>Stassi</t>
  </si>
  <si>
    <t>m.stassi@pcm.gov.it</t>
  </si>
  <si>
    <t>Sciucchini</t>
  </si>
  <si>
    <t>v.sciucchini@pcm.gov.it</t>
  </si>
  <si>
    <t>early afternoon</t>
  </si>
  <si>
    <t>ROMA</t>
  </si>
  <si>
    <t>from 9am</t>
  </si>
  <si>
    <t>from 8pm</t>
  </si>
  <si>
    <t>if the last plane of the evening for Rome is not available, preference goes to a plane on the morning of 16/10</t>
  </si>
  <si>
    <t>U22983</t>
  </si>
  <si>
    <t>€ 427,00</t>
  </si>
  <si>
    <t>Visualising Communities’ Stakes in the Just Transition: Policy, Plausible, and Preferred Futures </t>
  </si>
  <si>
    <t>Delft University of Technology</t>
  </si>
  <si>
    <t>Samir Amin; Neli Georgieva</t>
  </si>
  <si>
    <t>amin@isocarp-institute.org ; neli.georgieva@strath.ac.uk</t>
  </si>
  <si>
    <t xml:space="preserve"> Institute for Urban Excellence </t>
  </si>
  <si>
    <t>Discover the EIB support for your city or region!</t>
  </si>
  <si>
    <t xml:space="preserve">European Investment Bank Group </t>
  </si>
  <si>
    <t xml:space="preserve">Bianca Faragau Souza Tavares ; Massimo Marra </t>
  </si>
  <si>
    <t xml:space="preserve"> b.faragau@eib.org ; m.marra@eib.org</t>
  </si>
  <si>
    <t>The EU Tourism Platform: for a more competitive, sustainable travel sector</t>
  </si>
  <si>
    <t>European Commission - DG MOVE</t>
  </si>
  <si>
    <t>Balint Rippert ; Elina Zempili</t>
  </si>
  <si>
    <t xml:space="preserve"> balint.rippert@pwc.com ; balint.rippert@gmail.com ; elina.zempili@pwc.com</t>
  </si>
  <si>
    <t xml:space="preserve"> European Commission - DG MOVE</t>
  </si>
  <si>
    <t>Balint</t>
  </si>
  <si>
    <t>Rippert</t>
  </si>
  <si>
    <t>balint.rippert@pwc.com</t>
  </si>
  <si>
    <t>Vasiliki</t>
  </si>
  <si>
    <t>Vorropoulou</t>
  </si>
  <si>
    <t>vasiliki.vorropoulou@pwc.com</t>
  </si>
  <si>
    <t>06:35</t>
  </si>
  <si>
    <t>21:05</t>
  </si>
  <si>
    <t>SN2830</t>
  </si>
  <si>
    <t>SN2829</t>
  </si>
  <si>
    <t>08.00</t>
  </si>
  <si>
    <t>20.00</t>
  </si>
  <si>
    <t>a3 623</t>
  </si>
  <si>
    <t>European Committee of the Regions EURW Stand</t>
  </si>
  <si>
    <t>European Committee of the Regions</t>
  </si>
  <si>
    <t>Violeta Tomas Gutierrez ; Caroline Parmentier</t>
  </si>
  <si>
    <t xml:space="preserve"> Violeta.TomasGutierrez@cor.europa.eu; Caroline.PARMENTIER@ec.europa.eu</t>
  </si>
  <si>
    <t>Bridging Urban and Rural: Hungary’s New Functional Urban Area Model </t>
  </si>
  <si>
    <t>2123,2406</t>
  </si>
  <si>
    <t>MFOI - Hungarian Development Promotion Office</t>
  </si>
  <si>
    <t>Hungary</t>
  </si>
  <si>
    <t>Bence Cseke; Elina Heredi</t>
  </si>
  <si>
    <t xml:space="preserve"> bence.cseke@mfoi.org ; elina.heredi@mfoi.org</t>
  </si>
  <si>
    <t xml:space="preserve"> Hungarian Development Promotion Office </t>
  </si>
  <si>
    <t>Bence</t>
  </si>
  <si>
    <t>Cseke</t>
  </si>
  <si>
    <t>bence.cseke@mfoi.org</t>
  </si>
  <si>
    <t>Mária Emese</t>
  </si>
  <si>
    <t>Viszoczky (dr.)</t>
  </si>
  <si>
    <t>viszoczky.emese@maltai.hu</t>
  </si>
  <si>
    <t>€ 325,84</t>
  </si>
  <si>
    <t>Please confirm if it is possible to book the flight on the 12 (instead of 13). We would inform him that he would need to pay the extra night on the 12th</t>
  </si>
  <si>
    <t>0036706663608</t>
  </si>
  <si>
    <t>Sn2829</t>
  </si>
  <si>
    <t>CINEA – Funding a greener future for Europe</t>
  </si>
  <si>
    <t xml:space="preserve">European Climate, Infrastructure and Environment Executive Agency </t>
  </si>
  <si>
    <t>Sara Gayarre Lete ; Oana Barbulete</t>
  </si>
  <si>
    <t>Sara.GAYARRE-LETE@ec.europa.eu; Oana.BARBULETE@ec.europa.eu</t>
  </si>
  <si>
    <t xml:space="preserve"> European Climate, Infrastructure and Environment Executive Agency  </t>
  </si>
  <si>
    <t>Building a future @ home: Interreg for the right to stay along the EU's external borders</t>
  </si>
  <si>
    <t>Particip GmbH - TESIM</t>
  </si>
  <si>
    <t>Volha Prokharava ; Daniela Cavini</t>
  </si>
  <si>
    <t>volha.prokharava@tesim-cbc.eu; daniela.cavini@tesim-cbc.eu</t>
  </si>
  <si>
    <t xml:space="preserve"> Particip GmbH -  TESIM </t>
  </si>
  <si>
    <t>Total rooms used</t>
  </si>
  <si>
    <t>Arrival </t>
  </si>
  <si>
    <t>Session coordinators form</t>
  </si>
  <si>
    <t>Number of stand holders confirmed by session coordinators before deadline 1 August</t>
  </si>
  <si>
    <t>Nights already confirmed by stand holders</t>
  </si>
  <si>
    <t>TASTING INFORMATION</t>
  </si>
  <si>
    <t>TASTING PREFERENCES</t>
  </si>
  <si>
    <t>Form sent</t>
  </si>
  <si>
    <t xml:space="preserve">Number of speakers needed for travel </t>
  </si>
  <si>
    <t>Number of speaker needed for accommodation</t>
  </si>
  <si>
    <t>19:00 - 23:00</t>
  </si>
  <si>
    <t>Prykarpattia — where Ukraine’s taste begins!</t>
  </si>
  <si>
    <t>Regional Development Agency of Ivano-Frankivsk region</t>
  </si>
  <si>
    <t>Tetiana Zbyrak ; Yulia Haiduk</t>
  </si>
  <si>
    <t xml:space="preserve"> tetyana.zbyrak@gmail.com ; yulkagay@gmail.com</t>
  </si>
  <si>
    <t xml:space="preserve"> Regional Development Agency of Ivano - Frankivsk region </t>
  </si>
  <si>
    <t xml:space="preserve"> Deputy Director</t>
  </si>
  <si>
    <t xml:space="preserve">Tetiana Kozak -  -  -  - </t>
  </si>
  <si>
    <t>Tetiana</t>
  </si>
  <si>
    <t>Zbyrak</t>
  </si>
  <si>
    <t>tetyana.zbyrak@gmail.com</t>
  </si>
  <si>
    <t>Yuliia</t>
  </si>
  <si>
    <t>Haiduk</t>
  </si>
  <si>
    <t>yulkagay@gmail.com</t>
  </si>
  <si>
    <t>they will need t&amp;a from 13 to 15</t>
  </si>
  <si>
    <t>14-Oct 19:00 - 23:00</t>
  </si>
  <si>
    <t>Rzeszów (PL)</t>
  </si>
  <si>
    <t>8:00-12:00</t>
  </si>
  <si>
    <t>16:00-19:00</t>
  </si>
  <si>
    <t>sn2548</t>
  </si>
  <si>
    <t>lh5583-1626</t>
  </si>
  <si>
    <t>Please confirm whether we can book the return flight on the 16th, informing him that we will not cover the extra night (15)</t>
  </si>
  <si>
    <t xml:space="preserve"> Ok to cover return on 16 October if travel price is the same or lower than the one originally offered. No extra accommodation will be covered</t>
  </si>
  <si>
    <t xml:space="preserve"> Ok to cover return on 16 October  if travel price is the same or lower than the one originally offered. No extra accommodation will be covered</t>
  </si>
  <si>
    <t>Taste Nicosia</t>
  </si>
  <si>
    <t>Nicosia Tourism Board</t>
  </si>
  <si>
    <t>Cyprus</t>
  </si>
  <si>
    <t xml:space="preserve">Sotiris Christoforou ; Angeliki Vasileiadou </t>
  </si>
  <si>
    <t xml:space="preserve"> s.christoforou@ccci.org.cy ; info@visitnicosia.com.cy</t>
  </si>
  <si>
    <t xml:space="preserve"> Nicosia Tourism Board </t>
  </si>
  <si>
    <t xml:space="preserve">theodoros Kringou - Nicosia Tourism Board - President -  - </t>
  </si>
  <si>
    <t>Sotiris</t>
  </si>
  <si>
    <t>Christoforou</t>
  </si>
  <si>
    <t>s.christoforou@ccci.org.cy</t>
  </si>
  <si>
    <t>Angeliki</t>
  </si>
  <si>
    <t>Vasileiadou</t>
  </si>
  <si>
    <t>info@visitnicosia.com.cy</t>
  </si>
  <si>
    <t xml:space="preserve">Can we receive any logists costs coverage like transportation of foodies? </t>
  </si>
  <si>
    <t>Deadline to complete the form: 31 July - REMINDER SENT 08-08 + 14/08</t>
  </si>
  <si>
    <t>Simon</t>
  </si>
  <si>
    <t>Saracino</t>
  </si>
  <si>
    <t>s.saracino@ccci.org.cy</t>
  </si>
  <si>
    <t>+39 3513794535</t>
  </si>
  <si>
    <t>Larnaca</t>
  </si>
  <si>
    <t>Morning hours</t>
  </si>
  <si>
    <t>After 2pm if possible</t>
  </si>
  <si>
    <t>Yes (If Yes, we will book accommodation according to your speaking slot)</t>
  </si>
  <si>
    <t xml:space="preserve">For the extra two days of accommodation of 12th and 16th we can the pay the difference of price please also inform us of the hotel name. </t>
  </si>
  <si>
    <t>for the extra two days of accommodation 12 and 16 we can pay the change of price, please also inform us of the hotel name.</t>
  </si>
  <si>
    <t>os838-355</t>
  </si>
  <si>
    <t>os352-831</t>
  </si>
  <si>
    <t>The Fish Knows Everything: An experience by the Hamburg pilot of Bauhaus of the Seas Sails</t>
  </si>
  <si>
    <t>Magellan Circle</t>
  </si>
  <si>
    <t xml:space="preserve">Andrea Hrzic ; Nuno Jardim </t>
  </si>
  <si>
    <t xml:space="preserve"> andrea.hrzic@magellancircle.eu ; nunojnunes@tecnico.ulisboa.pt</t>
  </si>
  <si>
    <t xml:space="preserve"> Magellan Circle </t>
  </si>
  <si>
    <t xml:space="preserve">Katinka  Versendaal - The Eatelier  - CEO -  - </t>
  </si>
  <si>
    <t>yes + reminder 1 TBC</t>
  </si>
  <si>
    <t>Katinka</t>
  </si>
  <si>
    <t>Versendaal</t>
  </si>
  <si>
    <t>katinka@the-eatelier.com</t>
  </si>
  <si>
    <t>+31643750783</t>
  </si>
  <si>
    <t>Eindhoven</t>
  </si>
  <si>
    <t>CAR</t>
  </si>
  <si>
    <t> This tasting still had 1 of the 2 people who needed T&amp;A as TBC. Last week, they confirmed their name and requested travel &amp; accommodation coverage, and informed us that the other person (already confirmed and who initially needed both T&amp;A) would finally only require accommodation, as she would come by car with the food.
After consulting with Shadi, we told them that we would accept covering T&amp;A for the confirmed person after the deadline as an exception, and that we would therefore cover the night of 14 October for the person coming by car. She appreciated our decision, and now, when confirming to the person who only needs accommodation that we would cover the night of 14 October, she is asking us to also cover the night of the 13th, claiming that: she still needs a full day of prepping on 14th October.
Could you please confirm if we can also cover the night of the 13th, considering that we have available rooms according to the latest recap I prepared on Friday?
Additionally, this person is asking if they can be reimbursed for traveling by car. Can you confirm if this is possible?</t>
  </si>
  <si>
    <t> Since the tasting begins at 19:00 on 14 October and Eindhoven is only a two-hour drive from Brussels, arriving on 13 October does not appear to be justified. 
As mentioned during the Partners’ meeting, we do not cover the transportation of food/material for tastings (ref. presentation), we will therefore not reimburse the car travel in this case. If she prefers, we could buy her a train ticket for her to use instead.</t>
  </si>
  <si>
    <t>Frederico</t>
  </si>
  <si>
    <t>Duarte</t>
  </si>
  <si>
    <t>frederico.duarte@tecnico.ulisboa.pt</t>
  </si>
  <si>
    <t>tp640</t>
  </si>
  <si>
    <t>tp645</t>
  </si>
  <si>
    <t>Gastronomic Heritage of the Peloponnese</t>
  </si>
  <si>
    <t>Ioanna Lampropoulou ; Antonios Psarakis</t>
  </si>
  <si>
    <t xml:space="preserve"> ilampropoulou@mou.gr ; apsarakis@mou.gr</t>
  </si>
  <si>
    <t xml:space="preserve">ANTONIOS PSARAKIS - MANAGING AUTHORITY OF PROGRAMME PELOPONNESE - Director -  - ;
DIMITRIOS BOURIS - MANAGING AUTHORITY OF PROGRAMME PELOPONNESE - Representative -  - </t>
  </si>
  <si>
    <t>DIMITRIOS</t>
  </si>
  <si>
    <t>BOURIS</t>
  </si>
  <si>
    <t>dmpouris@yahoo.gr</t>
  </si>
  <si>
    <t>KONSTANTINOS</t>
  </si>
  <si>
    <t>MAKAROUNIS</t>
  </si>
  <si>
    <t>kmakarounis@ppel.gov.gr</t>
  </si>
  <si>
    <t>+306945559565</t>
  </si>
  <si>
    <t>ATHENS</t>
  </si>
  <si>
    <t xml:space="preserve">Moldova without Borders: One Heart, One Path </t>
  </si>
  <si>
    <t>Iasi County Council</t>
  </si>
  <si>
    <t>Costel Alexe ; Iurie Levinschi</t>
  </si>
  <si>
    <r>
      <rPr>
        <sz val="10"/>
        <color rgb="FF000000"/>
        <rFont val="Calibri"/>
        <family val="2"/>
      </rPr>
      <t xml:space="preserve"> costel.alexe@gmail.com ; </t>
    </r>
    <r>
      <rPr>
        <sz val="10"/>
        <color rgb="FFFF0000"/>
        <rFont val="Calibri"/>
        <family val="2"/>
      </rPr>
      <t>presedinte@hincesti.md</t>
    </r>
  </si>
  <si>
    <t xml:space="preserve"> Iasi County Council </t>
  </si>
  <si>
    <t xml:space="preserve"> President</t>
  </si>
  <si>
    <t xml:space="preserve">ANA-ROXANA SLEMCO - North-East Regional Development Agency - Director -  - </t>
  </si>
  <si>
    <t>Andrei</t>
  </si>
  <si>
    <t>Podeanu</t>
  </si>
  <si>
    <t>Contact@afumatorianoastra.ro</t>
  </si>
  <si>
    <t>Nicolae</t>
  </si>
  <si>
    <t>Sterbet</t>
  </si>
  <si>
    <t>consiliul@hincesti.md</t>
  </si>
  <si>
    <t>Iasi</t>
  </si>
  <si>
    <t>Anytime</t>
  </si>
  <si>
    <t>Nicolai</t>
  </si>
  <si>
    <t xml:space="preserve">Şterbeţ </t>
  </si>
  <si>
    <t>373 60601106</t>
  </si>
  <si>
    <t>Chisinau, RMO</t>
  </si>
  <si>
    <t>8.00 A.M</t>
  </si>
  <si>
    <t>Chisinau</t>
  </si>
  <si>
    <t>17.00</t>
  </si>
  <si>
    <t>14:00 - 18:00</t>
  </si>
  <si>
    <t>Tasting Traditions: Exploring the Right to Stay through Culinary Heritage and Regional Identity in Thuringia</t>
  </si>
  <si>
    <t xml:space="preserve">Representation of the Freestate of Thuringia to the European Union </t>
  </si>
  <si>
    <t xml:space="preserve">Dominic Kranholdt ; Christoph Kellner </t>
  </si>
  <si>
    <t xml:space="preserve"> dominic.kranholdt@web.de ; Christoph.Kellner@tsk.thueringen.de</t>
  </si>
  <si>
    <t xml:space="preserve"> Representation of the Freestate of Thuringia to the European Union  </t>
  </si>
  <si>
    <t xml:space="preserve">Kevin Holland-Moritz - Thuringian and Eichsfeld Sausage and Meat Origin Association (registered association) - Chair -  - ;
Thomas Mäurer - Thuringian and Eichsfeld Sausage and Meat Origin Association (registered association) - Chair -  - </t>
  </si>
  <si>
    <t>Kevin</t>
  </si>
  <si>
    <t>Holland-Moritz</t>
  </si>
  <si>
    <t>k.holland-moritz@landstolz.com</t>
  </si>
  <si>
    <t>Thomas</t>
  </si>
  <si>
    <t>Mäurer</t>
  </si>
  <si>
    <t>T.Maeuer@bratwurstmuseum.de</t>
  </si>
  <si>
    <t>15-Oct, 14:00 - 18:00</t>
  </si>
  <si>
    <t>Frankfurt</t>
  </si>
  <si>
    <t>early morning (need to be at the tasting ar 14:00)</t>
  </si>
  <si>
    <t>früher Vormittag</t>
  </si>
  <si>
    <t>Crafted in Transylvania- come and have a bite!</t>
  </si>
  <si>
    <t>NW RDA</t>
  </si>
  <si>
    <t>Denisa Lazurca ; Ovidiu Marginean</t>
  </si>
  <si>
    <t>denisa.lazurca@nord-vest.ro; ovidiu.marginean@nord-vest.ro</t>
  </si>
  <si>
    <t xml:space="preserve"> NW RDA </t>
  </si>
  <si>
    <t>Csilla</t>
  </si>
  <si>
    <t>Hegedüs</t>
  </si>
  <si>
    <t>csilla.hegedus@nord-vest.ro</t>
  </si>
  <si>
    <t>Ovidiu Iulian</t>
  </si>
  <si>
    <t>Mărginean</t>
  </si>
  <si>
    <t>ovidiu.marginean@nord-vest.ro</t>
  </si>
  <si>
    <t>But "Ovidiu Iulian answered" address e-mail : ovidiu.marginean@nord-vest.ro</t>
  </si>
  <si>
    <t>Cluj-Napoca</t>
  </si>
  <si>
    <t>We would also kindly ask if you could let us know the hotel chosen for the speakers’ accommodation, so that we can book our team in a nearby hotel and keep the whole delegation as close together as possible.</t>
  </si>
  <si>
    <t>lh1669-5630</t>
  </si>
  <si>
    <t>lh5585-1670</t>
  </si>
  <si>
    <t xml:space="preserve">We can offer one of them travel and accommodation 13 to 16 October accommodation included: Csilla Hegedus - travel and accommodation covered from 13 to 16th </t>
  </si>
  <si>
    <t> We would also kindly ask if you could let us know the hotel chosen for the speakers’ accommodation, so that we can book our team in a nearby hotel and keep the whole delegation as close together as possible.</t>
  </si>
  <si>
    <t>The other one can still come on 13 with no accommodation included -  Ovidiu Mărginean - travel from 13 to 16 th WITHOUT accommodation ANY nightts</t>
  </si>
  <si>
    <t>More than wine: taste the Douro beyond the Vine</t>
  </si>
  <si>
    <t>CIMDOURO</t>
  </si>
  <si>
    <t>Claudia Alves ; Miguel Santos</t>
  </si>
  <si>
    <t xml:space="preserve"> claudia.alves@magellancircle.eu ; miguel.santos@cimdouro.pt</t>
  </si>
  <si>
    <t xml:space="preserve"> Magellan Circle -  European Affairs Consultancy, Lda </t>
  </si>
  <si>
    <t xml:space="preserve">Ana Cláudia Alves - Magellan Circle - European Affairs Consultancy, Lda - Consultant -  - </t>
  </si>
  <si>
    <t>Miguel</t>
  </si>
  <si>
    <t>Santos</t>
  </si>
  <si>
    <t>miguel.santos@cimdouro.pt</t>
  </si>
  <si>
    <t>Bernardete</t>
  </si>
  <si>
    <t>Sabrosa</t>
  </si>
  <si>
    <t>bernardete.sabrosa@cimdouro.pt</t>
  </si>
  <si>
    <t>Deadline to complete the form: 31 July - REMINDER SENT 08-08 + 15/08</t>
  </si>
  <si>
    <t>A Taste of Türkiye: Local Flavours, Shared Stories</t>
  </si>
  <si>
    <t xml:space="preserve">Union of Municipalities of Türkiye </t>
  </si>
  <si>
    <t>Murat Kodaz ; Tolga Kutlu</t>
  </si>
  <si>
    <t xml:space="preserve"> murat.kodaz@tbb.gov.tr ; tolga.kutlu@tbb.gov.tr</t>
  </si>
  <si>
    <t xml:space="preserve"> Union of Municipalities of Turkey </t>
  </si>
  <si>
    <t>A Taste to… STAY: sustainable flavors of Sicily to celebrate the #RightToStay</t>
  </si>
  <si>
    <t xml:space="preserve">Sicilian Region </t>
  </si>
  <si>
    <t>Marco Tornambe ; Angela Antinoro</t>
  </si>
  <si>
    <t xml:space="preserve"> marco.tornambe@regione.sicilia.it ; a.antinoro@regione.sicilia.it</t>
  </si>
  <si>
    <t xml:space="preserve"> Sicilian Region  </t>
  </si>
  <si>
    <t>Accepted AFTER deadline- form sent on 15 August</t>
  </si>
  <si>
    <t>Margherita </t>
  </si>
  <si>
    <t> Caccamo</t>
  </si>
  <si>
    <t> caccamo@corfilac.it</t>
  </si>
  <si>
    <t> +39 3381530330</t>
  </si>
  <si>
    <t>Catania</t>
  </si>
  <si>
    <t>3 p.m.</t>
  </si>
  <si>
    <t>whenever</t>
  </si>
  <si>
    <t>Due to unforeseen organisational problems, please ask for final confirmation before proceeding with tickets purchase</t>
  </si>
  <si>
    <t xml:space="preserve"> This tasting (scheduled for 15 October at 2pm) was accepted after the deadline with Shadi’s approval. Both participants are coming from Catania and Palermo, and the travel agency has informed us of the following:
•       Participant traveling from Catania: the only available flight on the morning of 15 October arrives at Charleroi at 11:35.
•       Participant traveling from Palermo: the only available flight on the morning of 15 October arrives at Brussels Airport at 11:00.
We believe this may be too tight for them if they need to set up and prepare the tasting. Could you please let us know your opinion on this and whether we should offer them to travel already on 13 October, and cover the hotel nights of 13, 14, and 15?
Please note that the hotel recap tab has been updated with the latest information received from the travel agency and I confirm we have 2 rooms available for them on the 13 and the 14th.
</t>
  </si>
  <si>
    <t>Rosaria</t>
  </si>
  <si>
    <t>Madonia</t>
  </si>
  <si>
    <t>rosariaagroalimentare@gmail.com</t>
  </si>
  <si>
    <t>+39 3283656589</t>
  </si>
  <si>
    <t>Palermo</t>
  </si>
  <si>
    <t>6 a.m six o'oclock in the morning</t>
  </si>
  <si>
    <t>in the evening</t>
  </si>
  <si>
    <t xml:space="preserve">Before booking the flights, please contact me regarding both the time and the day, as I am considering leaving one day earlier, on the 14th, at my own expense.”
Thank you.
Rosaria Madonia </t>
  </si>
  <si>
    <t xml:space="preserve">Journalist information </t>
  </si>
  <si>
    <t>Journalist preferences</t>
  </si>
  <si>
    <t>Menu</t>
  </si>
  <si>
    <t>Comments</t>
  </si>
  <si>
    <t>Follow-up</t>
  </si>
  <si>
    <t>Hotel information - confirmed</t>
  </si>
  <si>
    <t>Approval</t>
  </si>
  <si>
    <t>Name and last name:</t>
  </si>
  <si>
    <t>Email address:</t>
  </si>
  <si>
    <t>Phone number (please add the prefix):</t>
  </si>
  <si>
    <t>Which media outlet will you represent?</t>
  </si>
  <si>
    <t>Passport/ID number:</t>
  </si>
  <si>
    <t>Do you require travel arrangements?</t>
  </si>
  <si>
    <t>Preferred mode of transport:</t>
  </si>
  <si>
    <t>Outbound journey (to Brussels) 1:City of departure</t>
  </si>
  <si>
    <t>Outbound journey (to Brussels) 1:Preferred date of departure</t>
  </si>
  <si>
    <t>Outbound journey (to Brussels) 1:Preferred time of departure</t>
  </si>
  <si>
    <t>Return journey (from Brussels) 1:Return city</t>
  </si>
  <si>
    <t>Return journey (from Brussels) 1:Preferred date of return</t>
  </si>
  <si>
    <t>Return journey (from Brussels) 1:Preferred time of return</t>
  </si>
  <si>
    <t>Do you require accommodation?</t>
  </si>
  <si>
    <t>Starter: please make your choice</t>
  </si>
  <si>
    <t>Main course: please make your choice</t>
  </si>
  <si>
    <t>Dessert: please make your choice</t>
  </si>
  <si>
    <t>Additional comments / observations Please use this space to share any information we should be aware of (e.g. accessibility requirements, special scheduling needs, etc.)</t>
  </si>
  <si>
    <t>VO comments</t>
  </si>
  <si>
    <t>David's comments</t>
  </si>
  <si>
    <t>Hotel name</t>
  </si>
  <si>
    <t>Hotel nights (total)</t>
  </si>
  <si>
    <t>Branislav Koscelnik</t>
  </si>
  <si>
    <t>branislav.koscelnik@petitpress.sk</t>
  </si>
  <si>
    <t>+421917112191</t>
  </si>
  <si>
    <t>MY Žilina/SME</t>
  </si>
  <si>
    <t>NB513074</t>
  </si>
  <si>
    <t>12. 10. 2025</t>
  </si>
  <si>
    <t>17.35</t>
  </si>
  <si>
    <t>15. 10. 2025</t>
  </si>
  <si>
    <t>19.15</t>
  </si>
  <si>
    <t>Grey shrimp croquettes with parsley</t>
  </si>
  <si>
    <t>Zeeland mussels with lambic beer &amp; cream (600g) with belgian fries</t>
  </si>
  <si>
    <t>Floating island with cuberdon</t>
  </si>
  <si>
    <t>Assiette du matelot: 3 fine de claire oysters, prawns and whelks</t>
  </si>
  <si>
    <t>Liège-Style meatballs with roasted onion and belgian fries</t>
  </si>
  <si>
    <t>Belgian chocolate mousse</t>
  </si>
  <si>
    <t/>
  </si>
  <si>
    <t>flight</t>
  </si>
  <si>
    <t>17:25-19:10</t>
  </si>
  <si>
    <t>SN 6006</t>
  </si>
  <si>
    <t>19:55-21:35</t>
  </si>
  <si>
    <t>SN 6005</t>
  </si>
  <si>
    <t xml:space="preserve">Moxy Louise </t>
  </si>
  <si>
    <t>Simon Trommel</t>
  </si>
  <si>
    <t>Strommel@gmail.com</t>
  </si>
  <si>
    <t>+31624259656</t>
  </si>
  <si>
    <t>Binnenlands Bestuur</t>
  </si>
  <si>
    <t>IH9DJ7F35</t>
  </si>
  <si>
    <t>Amsterdam</t>
  </si>
  <si>
    <t>12/10/2025</t>
  </si>
  <si>
    <t>10.10</t>
  </si>
  <si>
    <t>15/10/2025</t>
  </si>
  <si>
    <t>17.53</t>
  </si>
  <si>
    <t>Endive &amp; lamb’s lettuce salad with walnut</t>
  </si>
  <si>
    <t>Chicken Vol-au-Vent with belgian fries</t>
  </si>
  <si>
    <t>Giant profiterole "Paris-Brussels" with spéculoos</t>
  </si>
  <si>
    <t>Old gouda cheese croquette with parsley</t>
  </si>
  <si>
    <t>Vegan: seasonal vegetable waterzooi with lemon and white beer</t>
  </si>
  <si>
    <t xml:space="preserve">Fish allergy </t>
  </si>
  <si>
    <t>By car</t>
  </si>
  <si>
    <t>18:53-20:50</t>
  </si>
  <si>
    <t>Blanca Basiano Cruchaga</t>
  </si>
  <si>
    <t>b.basiano@natv.es</t>
  </si>
  <si>
    <t>+34 620300566</t>
  </si>
  <si>
    <t xml:space="preserve">NAVARRA TELEVISION </t>
  </si>
  <si>
    <t>72705562D</t>
  </si>
  <si>
    <t>PAMPLONA</t>
  </si>
  <si>
    <t>12 OCTOBER</t>
  </si>
  <si>
    <t>13:55</t>
  </si>
  <si>
    <t>ARRIVED PAMPLONA 22:20</t>
  </si>
  <si>
    <t>Beef carbonnade with carrots and belgian fries</t>
  </si>
  <si>
    <t>Chocolate merveilleux with vanilla</t>
  </si>
  <si>
    <t>13:55-18:55</t>
  </si>
  <si>
    <t>IB1052/IB601</t>
  </si>
  <si>
    <t>15:30-21:25</t>
  </si>
  <si>
    <t>IB600</t>
  </si>
  <si>
    <t>ROBERTO CAMARA MORENO</t>
  </si>
  <si>
    <t>roberto@natv.es</t>
  </si>
  <si>
    <t>+34618763081</t>
  </si>
  <si>
    <t>NAVARRA TV</t>
  </si>
  <si>
    <t>71263758Y</t>
  </si>
  <si>
    <t>Seasonal fruits with spiced syrup</t>
  </si>
  <si>
    <t>Vegan: leeks with seaweed vinaigrette and nuts</t>
  </si>
  <si>
    <t xml:space="preserve">Flight </t>
  </si>
  <si>
    <t>550,10</t>
  </si>
  <si>
    <t>Krzysztof Kaszubski</t>
  </si>
  <si>
    <t>k.kaszubski@radioolsztyn.pl</t>
  </si>
  <si>
    <t>0048696030006</t>
  </si>
  <si>
    <t xml:space="preserve">Polskie Radio Olsztyn </t>
  </si>
  <si>
    <t>DID 353443</t>
  </si>
  <si>
    <t>Gdańsk</t>
  </si>
  <si>
    <t>12.10.2025</t>
  </si>
  <si>
    <t>After 12.00</t>
  </si>
  <si>
    <t>16.10.2025</t>
  </si>
  <si>
    <t>After 18.00</t>
  </si>
  <si>
    <t>Pâté en Croûte with pickled vegetables</t>
  </si>
  <si>
    <t>14:50-18:40</t>
  </si>
  <si>
    <t>LO3838/LO233</t>
  </si>
  <si>
    <t>19:35-23:50</t>
  </si>
  <si>
    <t>369,77</t>
  </si>
  <si>
    <t>Katja Arhar</t>
  </si>
  <si>
    <t>katja.arhar@rtvslo.si</t>
  </si>
  <si>
    <t>+38641243405</t>
  </si>
  <si>
    <t>RTV Slovenija</t>
  </si>
  <si>
    <t>005415852</t>
  </si>
  <si>
    <t>any</t>
  </si>
  <si>
    <t>11:55-13:40</t>
  </si>
  <si>
    <t>SN 3344</t>
  </si>
  <si>
    <t>16:05-17:45</t>
  </si>
  <si>
    <t>SN 3343</t>
  </si>
  <si>
    <t>Kyriaki Christodoulou</t>
  </si>
  <si>
    <t>ckyriaki@cna.org.cy</t>
  </si>
  <si>
    <t>0035799450032</t>
  </si>
  <si>
    <t>Cyprus News Agency (CNA)</t>
  </si>
  <si>
    <t>751634</t>
  </si>
  <si>
    <t>Larnaka, Cyprus</t>
  </si>
  <si>
    <t>12.00</t>
  </si>
  <si>
    <t xml:space="preserve">There is no direct flight from Larnaka to Brussels and need to travel via Athens. So please mind the connection times so I have plenty of time to get on the next flight. Thanking you in anticipation </t>
  </si>
  <si>
    <t>14:20-19:10</t>
  </si>
  <si>
    <t>OS838/OS355</t>
  </si>
  <si>
    <t>9:50-16:20</t>
  </si>
  <si>
    <t>OS352/OS741</t>
  </si>
  <si>
    <t>Markus Peters</t>
  </si>
  <si>
    <t>markus.peters@weser-kurier.de</t>
  </si>
  <si>
    <t>+4915119393986</t>
  </si>
  <si>
    <t>WESER-KURIER</t>
  </si>
  <si>
    <t>L6X5H77NP</t>
  </si>
  <si>
    <t>Duisburg</t>
  </si>
  <si>
    <t>B&amp;B Louise</t>
  </si>
  <si>
    <t xml:space="preserve">Ana-Bella Leikauff </t>
  </si>
  <si>
    <t xml:space="preserve">anabella.leikauff@gmail.com </t>
  </si>
  <si>
    <t>00385915035209</t>
  </si>
  <si>
    <t>Croatian Radio</t>
  </si>
  <si>
    <t>117090352</t>
  </si>
  <si>
    <t>Zagreb to Brussels</t>
  </si>
  <si>
    <t>12th October</t>
  </si>
  <si>
    <t>Brussels to Zagreb</t>
  </si>
  <si>
    <t>19th October</t>
  </si>
  <si>
    <t>I would like to ask for return ticket to Zagreb on October 19th, I only need hotel accomodation from 12th till 15th October</t>
  </si>
  <si>
    <t>fine</t>
  </si>
  <si>
    <t>18:00-19:50</t>
  </si>
  <si>
    <t>OU4456</t>
  </si>
  <si>
    <t>20:30-22:10</t>
  </si>
  <si>
    <t>STAMATINA IREIOTOU</t>
  </si>
  <si>
    <t>matina.iriotou@gmail.com</t>
  </si>
  <si>
    <t>00306948401009</t>
  </si>
  <si>
    <t>Proto Thema, protothema.gr</t>
  </si>
  <si>
    <t>A01238493</t>
  </si>
  <si>
    <t>OCTOBER 12</t>
  </si>
  <si>
    <t>06.00-10.00</t>
  </si>
  <si>
    <t>16.00-20.00</t>
  </si>
  <si>
    <t>8:00-10:20</t>
  </si>
  <si>
    <t>10:35-14:50</t>
  </si>
  <si>
    <t>A33000</t>
  </si>
  <si>
    <t>John Monaghan</t>
  </si>
  <si>
    <t>john.monaghan@luxtimes.lu</t>
  </si>
  <si>
    <t>0035249939420</t>
  </si>
  <si>
    <t>Luxembourg Times/Mediahuis Luxembourg</t>
  </si>
  <si>
    <t>PW8834820</t>
  </si>
  <si>
    <t>14:00</t>
  </si>
  <si>
    <t>16/10/2025</t>
  </si>
  <si>
    <t>13:11-16:28</t>
  </si>
  <si>
    <t>IC 2136</t>
  </si>
  <si>
    <t>14:32-17:49</t>
  </si>
  <si>
    <t>IC 2114</t>
  </si>
  <si>
    <t>Elona Elezi</t>
  </si>
  <si>
    <t>elona.elezi@dw.com</t>
  </si>
  <si>
    <t>+491638979879</t>
  </si>
  <si>
    <t>Deutsche Welle</t>
  </si>
  <si>
    <t>BI6081866</t>
  </si>
  <si>
    <t>Bonn</t>
  </si>
  <si>
    <t>12.10</t>
  </si>
  <si>
    <t>11:04-13:35</t>
  </si>
  <si>
    <t>ICE16</t>
  </si>
  <si>
    <t>12:25-14:55</t>
  </si>
  <si>
    <t>ICE315</t>
  </si>
  <si>
    <t>Artur Boiński</t>
  </si>
  <si>
    <t>artur.boinski@umww.pl</t>
  </si>
  <si>
    <t>+48 607834398</t>
  </si>
  <si>
    <t>Monitor Wielkopolski</t>
  </si>
  <si>
    <t>CBT 742560</t>
  </si>
  <si>
    <t>Poznań</t>
  </si>
  <si>
    <t>6.00 from Poznań</t>
  </si>
  <si>
    <t>17-18 from Brussels</t>
  </si>
  <si>
    <t>As I would like to have several meetings with representatives of my region in Brussels on Sunday, October 12, I wanted to ask about the possibility of flying in on the evening of Saturday, October 11 and staying an additional night.</t>
  </si>
  <si>
    <t>ok but the additional night is at his own expense</t>
  </si>
  <si>
    <t>LO3944-LO233</t>
  </si>
  <si>
    <t>16:50-21:30</t>
  </si>
  <si>
    <t>LO238</t>
  </si>
  <si>
    <t xml:space="preserve">KONSTANTINOS MARGARITIS </t>
  </si>
  <si>
    <t>info@kmargaritis.gr</t>
  </si>
  <si>
    <t>+306944967796</t>
  </si>
  <si>
    <t>Axia newspaper-Public radio of Piraeus</t>
  </si>
  <si>
    <t>AO1278330</t>
  </si>
  <si>
    <t>Aegean -16:40</t>
  </si>
  <si>
    <t>Aegean-11:15.</t>
  </si>
  <si>
    <t xml:space="preserve">I prefer Aegean please because I’m a gold member and I need to use lounge for my work. </t>
  </si>
  <si>
    <t>ok we can book Aegean, if there is a flight availabel</t>
  </si>
  <si>
    <t>16:40-19:05</t>
  </si>
  <si>
    <t>A3622</t>
  </si>
  <si>
    <t>11:15-15:15</t>
  </si>
  <si>
    <t>A3621</t>
  </si>
  <si>
    <t>Vilija Ramanauskiene</t>
  </si>
  <si>
    <t>vilija.rama@gmail.com</t>
  </si>
  <si>
    <t>+37068732081</t>
  </si>
  <si>
    <t>FM99</t>
  </si>
  <si>
    <t>15543703</t>
  </si>
  <si>
    <t>11th of October 2025</t>
  </si>
  <si>
    <t>12 - 16 pm</t>
  </si>
  <si>
    <t>16th of October 2025</t>
  </si>
  <si>
    <t>18-20 pm</t>
  </si>
  <si>
    <t>If possible, I would like to extend my stay, as having a meeting before and then to be on exact date in Milan, to avoid few additional flights (also for green purposes).</t>
  </si>
  <si>
    <t>15:50-18:35</t>
  </si>
  <si>
    <t>SK 1743 - SK 1595</t>
  </si>
  <si>
    <t>19:25-21:00</t>
  </si>
  <si>
    <t xml:space="preserve">SN 3159
</t>
  </si>
  <si>
    <t>Drazen Zima</t>
  </si>
  <si>
    <t>zimadr@gmail.com</t>
  </si>
  <si>
    <t>+38598587939</t>
  </si>
  <si>
    <t>HRT Radio Rijeka</t>
  </si>
  <si>
    <t>117370431</t>
  </si>
  <si>
    <t>12. 10.</t>
  </si>
  <si>
    <t>9:00 -12:00 AM</t>
  </si>
  <si>
    <t>6:00 - 9:00 PM</t>
  </si>
  <si>
    <t>BARBARA Zrimsek</t>
  </si>
  <si>
    <t>Barbara.Zrimsek@rtvslo.si</t>
  </si>
  <si>
    <t>00386 41327851</t>
  </si>
  <si>
    <t xml:space="preserve"> Tv Slovenija</t>
  </si>
  <si>
    <t>FB 1423645</t>
  </si>
  <si>
    <t>11.10</t>
  </si>
  <si>
    <t>LJUBLJANA</t>
  </si>
  <si>
    <t>CRET RALUCA MARIA</t>
  </si>
  <si>
    <t>cret_raluca@yahoo.com</t>
  </si>
  <si>
    <t>+40740462126</t>
  </si>
  <si>
    <t>RADIO ROMANIA TARGU MURES</t>
  </si>
  <si>
    <t>369198</t>
  </si>
  <si>
    <t>CLUJ NAPOCA</t>
  </si>
  <si>
    <t>8:00</t>
  </si>
  <si>
    <t>15,10.2025</t>
  </si>
  <si>
    <t>13:45-17:15</t>
  </si>
  <si>
    <t>LH1669-LH5630</t>
  </si>
  <si>
    <t>9:35-17:20</t>
  </si>
  <si>
    <t>LH5585</t>
  </si>
  <si>
    <t>Jacek Bieniaszkiewicz</t>
  </si>
  <si>
    <t>jacek.bieniaszkiewicz@radiolublin.pl</t>
  </si>
  <si>
    <t>+48 508 048 218</t>
  </si>
  <si>
    <t>Polish Radio Lublin</t>
  </si>
  <si>
    <t>DEG 014875</t>
  </si>
  <si>
    <t>Lublin (LUZ)</t>
  </si>
  <si>
    <t>12 October 2025</t>
  </si>
  <si>
    <t>Lublin</t>
  </si>
  <si>
    <t>16 October</t>
  </si>
  <si>
    <t>15:05-18:40</t>
  </si>
  <si>
    <t>LO 3966 - LO 233</t>
  </si>
  <si>
    <t>10:15-14:30</t>
  </si>
  <si>
    <t>LO 236 - LO 3965</t>
  </si>
  <si>
    <t>Guntars Grinums</t>
  </si>
  <si>
    <t>guntars.grinums@leta.lv</t>
  </si>
  <si>
    <t>+371 27010133</t>
  </si>
  <si>
    <t>Latvian Information agency LETA</t>
  </si>
  <si>
    <t>PA2931263</t>
  </si>
  <si>
    <t>12.10.</t>
  </si>
  <si>
    <t>11:00</t>
  </si>
  <si>
    <t>21:00</t>
  </si>
  <si>
    <t>16:55-18:20</t>
  </si>
  <si>
    <t>19:10-22:30</t>
  </si>
  <si>
    <t>BT604</t>
  </si>
  <si>
    <t>Lillia Goleminova</t>
  </si>
  <si>
    <t>lillia.goleminova@bnr.bg</t>
  </si>
  <si>
    <t>+359 884362894</t>
  </si>
  <si>
    <t>Bulgarian National Radio - Radio Sofia</t>
  </si>
  <si>
    <t>648604214</t>
  </si>
  <si>
    <t>Sofia</t>
  </si>
  <si>
    <t>Oct 11th</t>
  </si>
  <si>
    <t>Before noon</t>
  </si>
  <si>
    <t>If there is an option to fly on 11th Oct, I will cover my accomodation for 11th. Thanks in advance!</t>
  </si>
  <si>
    <t>16:05 - 19:10</t>
  </si>
  <si>
    <t>OS 792 + OS 355</t>
  </si>
  <si>
    <t>20:35-23:55</t>
  </si>
  <si>
    <t>FB 408</t>
  </si>
  <si>
    <t>MARIA FOTI</t>
  </si>
  <si>
    <t>mary_foti@yahoo.gr</t>
  </si>
  <si>
    <t>00306958452232</t>
  </si>
  <si>
    <t>Dimokratiki Newspaper (www.dimokratiki.gr)</t>
  </si>
  <si>
    <t>AY1605118</t>
  </si>
  <si>
    <t>Rhodes, Greece</t>
  </si>
  <si>
    <t>12</t>
  </si>
  <si>
    <t>after 9 am</t>
  </si>
  <si>
    <t>anytime</t>
  </si>
  <si>
    <t>Thank you very much for the kind invitation. Just a note that I’ll be travelling from Rhodes, and if there are any connecting flights or intermediate stops (as is usually the case), it would be good to take into account possible delays — the airport in Rhodes tends to be quite busy in October, as the tourist season is still ongoing.</t>
  </si>
  <si>
    <t>19:15-22:25</t>
  </si>
  <si>
    <t>TB 2342</t>
  </si>
  <si>
    <t>11:15-20:00</t>
  </si>
  <si>
    <t>Lucian Mihael Balanuta</t>
  </si>
  <si>
    <t>lucian.balanuta@yahoo.com</t>
  </si>
  <si>
    <t>0040743089633</t>
  </si>
  <si>
    <t>Radio Romania Iasi</t>
  </si>
  <si>
    <t>MZ755180</t>
  </si>
  <si>
    <t>in the morning</t>
  </si>
  <si>
    <t>in the afternoon</t>
  </si>
  <si>
    <t>16:00-19:10</t>
  </si>
  <si>
    <t>OS646 - OS355</t>
  </si>
  <si>
    <t>9:50-15:20</t>
  </si>
  <si>
    <t>OS352 - OS645</t>
  </si>
  <si>
    <t>Aleksandra Bełdowicz</t>
  </si>
  <si>
    <t>aleksandra.beldowicz@gmail.com</t>
  </si>
  <si>
    <t>+48692759473</t>
  </si>
  <si>
    <t>Rzeczpospolita</t>
  </si>
  <si>
    <t>Caw379834</t>
  </si>
  <si>
    <t>Seasonal vegetable parmentier with mushrooms</t>
  </si>
  <si>
    <t>Vegan: oriental oranges with spiced syrup</t>
  </si>
  <si>
    <t>I'm vegan</t>
  </si>
  <si>
    <t>LO 3838 - LO 233</t>
  </si>
  <si>
    <t>10:15-14:10</t>
  </si>
  <si>
    <t>LO 236 - LO 3837</t>
  </si>
  <si>
    <t>Hannu TAAVITSAINEN</t>
  </si>
  <si>
    <t>hannutaavitsainen27@gmail.com</t>
  </si>
  <si>
    <t>several, I am freelancer writing for a variety of national, regional and local media</t>
  </si>
  <si>
    <t>CP2251292</t>
  </si>
  <si>
    <t>Mikkeli/Helsinki</t>
  </si>
  <si>
    <t>Sunday 12th October</t>
  </si>
  <si>
    <t>in the afternoon/early evening</t>
  </si>
  <si>
    <t>Helsinki/Mikkeli</t>
  </si>
  <si>
    <t>Friday 17th October</t>
  </si>
  <si>
    <t>In the afternoon</t>
  </si>
  <si>
    <t>I am living in the countryside in Mikkeli/St Michel from were train connections to Helsinki and back are very limited so early departure for flight to Brussels is NOT possible as well as late return flight from there</t>
  </si>
  <si>
    <t>Andreas Hussak</t>
  </si>
  <si>
    <t>andreas.hussak@kommunal.at</t>
  </si>
  <si>
    <t>KOMMUNAL</t>
  </si>
  <si>
    <t>U2778334</t>
  </si>
  <si>
    <t>Dora Koretić</t>
  </si>
  <si>
    <t>dora.koretic@gmail.com</t>
  </si>
  <si>
    <t>Jutarnji list, Hanza media d.o.o</t>
  </si>
  <si>
    <t>Guillem Porcel Prohens</t>
  </si>
  <si>
    <t>guillemporpro@gmail.com</t>
  </si>
  <si>
    <t>+34 634548677</t>
  </si>
  <si>
    <t>Diario de Mallorca</t>
  </si>
  <si>
    <t>43218464S</t>
  </si>
  <si>
    <t>Palma de Mallorca</t>
  </si>
  <si>
    <t>08am to 10am</t>
  </si>
  <si>
    <t>10am to 2pm</t>
  </si>
  <si>
    <t>Participation cancelled</t>
  </si>
  <si>
    <t>Manuel Moguer Terol</t>
  </si>
  <si>
    <t>manuel.moguer@elespanol.com</t>
  </si>
  <si>
    <t>EL ESPAÑOL</t>
  </si>
  <si>
    <t>77809184T</t>
  </si>
  <si>
    <t>Sevilla</t>
  </si>
  <si>
    <t>11.10.25</t>
  </si>
  <si>
    <t>15.10.25</t>
  </si>
  <si>
    <t>15:20-21:35</t>
  </si>
  <si>
    <t>VY2215-VY8984</t>
  </si>
  <si>
    <t>18:05-22:50</t>
  </si>
  <si>
    <t>Henrik Perälä</t>
  </si>
  <si>
    <t>henrik@hpmedia.se</t>
  </si>
  <si>
    <t>Zero Magazine</t>
  </si>
  <si>
    <t>EA0111512</t>
  </si>
  <si>
    <t>Stockholm, Sweden</t>
  </si>
  <si>
    <t>17:30-19:50</t>
  </si>
  <si>
    <t>SN 2294</t>
  </si>
  <si>
    <t>14:30-16:40</t>
  </si>
  <si>
    <t>SN 2293</t>
  </si>
  <si>
    <t>Kieran Walsh</t>
  </si>
  <si>
    <t>kieran.munster@gmail.com</t>
  </si>
  <si>
    <t>Munster Express newspaper,  Waterford, Ireland</t>
  </si>
  <si>
    <t>PE9931533</t>
  </si>
  <si>
    <t>Dublin,</t>
  </si>
  <si>
    <t>15..00</t>
  </si>
  <si>
    <t>i plan to stay on extra days after 15/10 or 16/10 outside Brussels at my expense, is hotel covered for 4 nights? Ryanair have later flights on the Saturday ex Brussels  to Dublin, but Aer Lingus  have better time on outward flight. thanks  .  Kieran  Walsh</t>
  </si>
  <si>
    <t>17:55-20:40</t>
  </si>
  <si>
    <t>EI638</t>
  </si>
  <si>
    <t>22:05-22:45</t>
  </si>
  <si>
    <t>FR658</t>
  </si>
  <si>
    <t>Linas Jegelevicius</t>
  </si>
  <si>
    <t>linas@baltictimes.com</t>
  </si>
  <si>
    <t>The Baltic Times</t>
  </si>
  <si>
    <t>late night</t>
  </si>
  <si>
    <t>Lucia Benetinová</t>
  </si>
  <si>
    <t>Luciabenetin@gmail.com</t>
  </si>
  <si>
    <t>redactor- Slovak television</t>
  </si>
  <si>
    <t>NG605435</t>
  </si>
  <si>
    <t>Košice</t>
  </si>
  <si>
    <t>12 or 13 October 2025</t>
  </si>
  <si>
    <t>Nevermind</t>
  </si>
  <si>
    <t>I need to fly from Kosice - I will probably need to transfer in Vienna. The same applies on the way back. I need to fly to Kosice</t>
  </si>
  <si>
    <t>14:45-19:10</t>
  </si>
  <si>
    <t>OS 742 - OS 355</t>
  </si>
  <si>
    <t>9:50-14:00</t>
  </si>
  <si>
    <t>OS 352 - OS 741</t>
  </si>
  <si>
    <t>Thea karin</t>
  </si>
  <si>
    <t>Theakarin1@gmail.com</t>
  </si>
  <si>
    <t>Ekspressgroup</t>
  </si>
  <si>
    <t>AB0583736</t>
  </si>
  <si>
    <t>Tallinn ülemiste Airport</t>
  </si>
  <si>
    <t>6.00- 9.00</t>
  </si>
  <si>
    <t>Tallinn ülemiste</t>
  </si>
  <si>
    <t>Ginevra Falciani</t>
  </si>
  <si>
    <t>falciani@ilpost.it</t>
  </si>
  <si>
    <t>il Post</t>
  </si>
  <si>
    <t>AY8419352</t>
  </si>
  <si>
    <t>12th October 2025</t>
  </si>
  <si>
    <t>16th October 2025</t>
  </si>
  <si>
    <t>Giant profiterole 'Paris-Brussels' with spéculoos</t>
  </si>
  <si>
    <t xml:space="preserve">Milan </t>
  </si>
  <si>
    <t>17:40-19:15</t>
  </si>
  <si>
    <t>AZ154</t>
  </si>
  <si>
    <t>9:25-10:55</t>
  </si>
  <si>
    <t>AZ151</t>
  </si>
  <si>
    <t>Humberto del Horno </t>
  </si>
  <si>
    <t>humbertodelhorno@europapress.es</t>
  </si>
  <si>
    <t>Europa Press</t>
  </si>
  <si>
    <t>04616053E</t>
  </si>
  <si>
    <t>9:05-11:25</t>
  </si>
  <si>
    <t>VY5094</t>
  </si>
  <si>
    <t>17:40-20:05</t>
  </si>
  <si>
    <t>SN3729</t>
  </si>
  <si>
    <t>Diana Lorena Bogea</t>
  </si>
  <si>
    <t>bogeadiana@gmail.com</t>
  </si>
  <si>
    <t>Romanian Public TV, regional studio in Timisoara</t>
  </si>
  <si>
    <t>TZ606304</t>
  </si>
  <si>
    <t>Timișoara, RO</t>
  </si>
  <si>
    <t>12/13.10</t>
  </si>
  <si>
    <t>Timisoara</t>
  </si>
  <si>
    <t>6:05-10:20</t>
  </si>
  <si>
    <t>LH4095/LH5628</t>
  </si>
  <si>
    <t>8:55-13:25</t>
  </si>
  <si>
    <t>LH2283</t>
  </si>
  <si>
    <t>Ricardo Sousa</t>
  </si>
  <si>
    <t>ricardo.alexandre@tsf.pt</t>
  </si>
  <si>
    <t>TSF Radio News</t>
  </si>
  <si>
    <t>CE716758</t>
  </si>
  <si>
    <t>Lisboa</t>
  </si>
  <si>
    <t>06h30 am</t>
  </si>
  <si>
    <t>17h00</t>
  </si>
  <si>
    <t>STRIKE ON THE 14TH - He wants to travel to Brussels on 14/10/2025 early morning and leave on 15/10 at 17h. - Contacted to propose an alternative (23/07) - Reminder sent 28/07</t>
  </si>
  <si>
    <t>Påhl Ruin </t>
  </si>
  <si>
    <t>pahl.ruin@gmail.com</t>
  </si>
  <si>
    <t>Dagens Samhälle </t>
  </si>
  <si>
    <t>AA2041175</t>
  </si>
  <si>
    <t>18.35 (SAS)</t>
  </si>
  <si>
    <t>19.55 (SAS)</t>
  </si>
  <si>
    <t>18:35-20:40</t>
  </si>
  <si>
    <t>SK2591</t>
  </si>
  <si>
    <t>19:55-22:05</t>
  </si>
  <si>
    <t>Ville Miettinen</t>
  </si>
  <si>
    <t>miettinenvm@gmail.com</t>
  </si>
  <si>
    <t>Freelancer</t>
  </si>
  <si>
    <t>CP2664565</t>
  </si>
  <si>
    <t>noon-afternoon</t>
  </si>
  <si>
    <t>Afternoon/Evening</t>
  </si>
  <si>
    <t xml:space="preserve">Helsinki </t>
  </si>
  <si>
    <t>16:40-18:20</t>
  </si>
  <si>
    <t>8:52-9:57</t>
  </si>
  <si>
    <t>EUR9115</t>
  </si>
  <si>
    <t>Katerina Mahdalova</t>
  </si>
  <si>
    <t>datovazurnalistika@gmail.com</t>
  </si>
  <si>
    <t>DataTimes, DatovaZurnalistika.cz</t>
  </si>
  <si>
    <t>I'd like to travel and share accommodation with my colleague and partner Michal Skop.</t>
  </si>
  <si>
    <t>9:25-11:05</t>
  </si>
  <si>
    <t>SN2902</t>
  </si>
  <si>
    <t>9:50-11:30</t>
  </si>
  <si>
    <t>SN6001</t>
  </si>
  <si>
    <t>Double room - they will share a room - take in to account when adding the prices</t>
  </si>
  <si>
    <t>Michal Škop</t>
  </si>
  <si>
    <t>michal.skop@kohovolit.eu</t>
  </si>
  <si>
    <t>Data Times, DatovaZurnalistika.cz</t>
  </si>
  <si>
    <t>I'd like to travel and share accommodation with my colleague and partner Katerina Mahdalova.</t>
  </si>
  <si>
    <t>Sharer</t>
  </si>
  <si>
    <t>Ioanna Niaoti</t>
  </si>
  <si>
    <t>iniaoti@ert.gr</t>
  </si>
  <si>
    <t>ERT</t>
  </si>
  <si>
    <t>A01005961</t>
  </si>
  <si>
    <t>Sunday 12/10</t>
  </si>
  <si>
    <t>16.40 Aegean</t>
  </si>
  <si>
    <t>Thursday 16/10</t>
  </si>
  <si>
    <t>11.15 Aegean</t>
  </si>
  <si>
    <t>many thanks for the invite / regarding flights i would like to fly with Aegean/ regarding accomodation - walking distance please </t>
  </si>
  <si>
    <t>Gabriella Jeki</t>
  </si>
  <si>
    <t>jekigabriella@gmail.com</t>
  </si>
  <si>
    <t>Penzcentrum</t>
  </si>
  <si>
    <t>230555TE</t>
  </si>
  <si>
    <t>16 October 2026</t>
  </si>
  <si>
    <t>late afternoon (because of the 2025 EU Covenant of Mayors ceremony)</t>
  </si>
  <si>
    <t>I would like to stay until 16/10 afternoon ibecause there is the 2025 EU Covenant of Mayors ceremony</t>
  </si>
  <si>
    <t>18:00-20:05</t>
  </si>
  <si>
    <t>21:05-23:00</t>
  </si>
  <si>
    <t>Over budget: 595.69€</t>
  </si>
  <si>
    <t>Approved</t>
  </si>
  <si>
    <t>Received on 6 August via email</t>
  </si>
  <si>
    <t>Eugen-Adrian Cojocariu</t>
  </si>
  <si>
    <t>ecojocariu@rri.ro</t>
  </si>
  <si>
    <t>Radio Romania International</t>
  </si>
  <si>
    <t>RD 973988</t>
  </si>
  <si>
    <t>Bucharest</t>
  </si>
  <si>
    <t>15 October 2025</t>
  </si>
  <si>
    <t>afternoon/evening</t>
  </si>
  <si>
    <t>Please buy for me a plane ticket with TAROM, the Romanian national air carrier, thank you!</t>
  </si>
  <si>
    <t>SANTIAGO GARRIDO</t>
  </si>
  <si>
    <t>santiago.garrido@lavoz.es</t>
  </si>
  <si>
    <t>La Voz de Galicia</t>
  </si>
  <si>
    <t>PAM759516</t>
  </si>
  <si>
    <t>A CORUÑA</t>
  </si>
  <si>
    <t>ANYONE</t>
  </si>
  <si>
    <t>A Coruna</t>
  </si>
  <si>
    <t>12:35-17:40</t>
  </si>
  <si>
    <t>UX7234/UX1173</t>
  </si>
  <si>
    <t>10:45-16:20</t>
  </si>
  <si>
    <t>UX1172-UX7235</t>
  </si>
  <si>
    <t>Christoph Roman Josef Schwaiger</t>
  </si>
  <si>
    <t>christoph@cschwaiger.com; christoph@makeitinthenorth.nl</t>
  </si>
  <si>
    <t>The Northern Times</t>
  </si>
  <si>
    <t>MT017297</t>
  </si>
  <si>
    <t>Groningen, NL</t>
  </si>
  <si>
    <t>11.10.25 (presence required for training of Y4R participants, cc: Florin Rugina)</t>
  </si>
  <si>
    <t>Valletta, MT</t>
  </si>
  <si>
    <t>Arrival and accommodation will need to start from 11.10.25 since I will be delivering a workshop for the Youth4Regions participants (contact person: Florin Rugina - Media relations and project management)</t>
  </si>
  <si>
    <t>13:48-18:03</t>
  </si>
  <si>
    <t>EUR9552</t>
  </si>
  <si>
    <t>8:55-13:20</t>
  </si>
  <si>
    <t>THOMAS SIDERIS</t>
  </si>
  <si>
    <t>sideris.tom@gmail.com</t>
  </si>
  <si>
    <t>00306942078043</t>
  </si>
  <si>
    <t>EFSYN / CAMEO TV</t>
  </si>
  <si>
    <t>BA1374802</t>
  </si>
  <si>
    <t>11:05-13:25</t>
  </si>
  <si>
    <t>A33001</t>
  </si>
  <si>
    <t>20:00-23:59</t>
  </si>
  <si>
    <t>Francesca De Benedetti</t>
  </si>
  <si>
    <t>francesca.debenedetti@editorialedomani.it</t>
  </si>
  <si>
    <t>00393297351170</t>
  </si>
  <si>
    <t>Domani newspaper</t>
  </si>
  <si>
    <t>AY9230680</t>
  </si>
  <si>
    <t>Sunday 12 october</t>
  </si>
  <si>
    <t>Wednesday 15 october (or, if staying a third night is possible, 16 october)</t>
  </si>
  <si>
    <t>IMPORTANT given that I suffer from claustrophobia, for FLIGHTS it is crucial to me to have a reserved seat in the first rows and corridor, for the HOTEL no mansard please. If a third night is covered, I would like to arrive on sunday and leave on thursday so that I can work more on the field. If it’s not possible, from sunday to wednesday will work. Thanks</t>
  </si>
  <si>
    <t>8:25-10:40</t>
  </si>
  <si>
    <t>11:35-13:40</t>
  </si>
  <si>
    <t>AZ159</t>
  </si>
  <si>
    <t>Giuseppe Chiellino</t>
  </si>
  <si>
    <t>giuseppe.chiellino@ilsole24ore.com</t>
  </si>
  <si>
    <t>+393351418437</t>
  </si>
  <si>
    <t>Il Sole 24 Ore</t>
  </si>
  <si>
    <t>AX2982276</t>
  </si>
  <si>
    <t>16.10</t>
  </si>
  <si>
    <t>He doesn't want to attend the dinners</t>
  </si>
  <si>
    <t>9:25-11:00</t>
  </si>
  <si>
    <t>SN3146</t>
  </si>
  <si>
    <t>SN4133</t>
  </si>
  <si>
    <t>Ondrej Houska</t>
  </si>
  <si>
    <t>ondrej.houska@hn.cz</t>
  </si>
  <si>
    <t>00420724519702</t>
  </si>
  <si>
    <t>Hospodářské noviiny</t>
  </si>
  <si>
    <t>Prague</t>
  </si>
  <si>
    <t>After 13:00</t>
  </si>
  <si>
    <t>Before 19:00</t>
  </si>
  <si>
    <t>18:45-20:15</t>
  </si>
  <si>
    <t>SN2812</t>
  </si>
  <si>
    <t>16:30-17:55</t>
  </si>
  <si>
    <t>SN2811</t>
  </si>
  <si>
    <t>Szasz Tiberiu</t>
  </si>
  <si>
    <t>tiberiuszasz@yahoo.com</t>
  </si>
  <si>
    <t>METROPOLA TV</t>
  </si>
  <si>
    <t>ZS 379896</t>
  </si>
  <si>
    <t>8.00</t>
  </si>
  <si>
    <t>13..14</t>
  </si>
  <si>
    <t>6:30-12:11</t>
  </si>
  <si>
    <t>AF1089/AF7179</t>
  </si>
  <si>
    <t>12:45-18:35</t>
  </si>
  <si>
    <t>Shaima Almadboly</t>
  </si>
  <si>
    <t>shaima.madboly@gmail.com</t>
  </si>
  <si>
    <t>(+46)736697930</t>
  </si>
  <si>
    <t>Swedish Radio</t>
  </si>
  <si>
    <t>Passport: AA0395721</t>
  </si>
  <si>
    <t>Alicante, Spain</t>
  </si>
  <si>
    <t>Morning or Afternoon</t>
  </si>
  <si>
    <t>Maria Santos</t>
  </si>
  <si>
    <t>maria.santos@tsf.pt</t>
  </si>
  <si>
    <t>+351914212911</t>
  </si>
  <si>
    <t>TSF - Rádio Notícias</t>
  </si>
  <si>
    <t>7:15-11:00</t>
  </si>
  <si>
    <t>TP640</t>
  </si>
  <si>
    <t>17:05-19:00</t>
  </si>
  <si>
    <t>TP6767</t>
  </si>
  <si>
    <t>Lilith Grull</t>
  </si>
  <si>
    <t>lilith.grull@correctiv.org</t>
  </si>
  <si>
    <t>0049 151 26895829</t>
  </si>
  <si>
    <t>CORRECTIV.Europe</t>
  </si>
  <si>
    <t>LCPFV5K12</t>
  </si>
  <si>
    <t>Budapest by plane</t>
  </si>
  <si>
    <t>non</t>
  </si>
  <si>
    <t>Dresden Neustadt by train, I have a discount card Bancard 25 (7081411194337396)</t>
  </si>
  <si>
    <t>19.10.2025 (I will stay longer. I will book accommodation from the 16th by myself.)</t>
  </si>
  <si>
    <t>12:25 – 20:32 (with two changes) // alternative at 11:25 –21:00</t>
  </si>
  <si>
    <t>I am allergic to soy and ginger.</t>
  </si>
  <si>
    <t>Nicolas Dworak</t>
  </si>
  <si>
    <t>nicolas.dworak@derstandard.at</t>
  </si>
  <si>
    <t>+4369917329216</t>
  </si>
  <si>
    <t>DER STANDARD</t>
  </si>
  <si>
    <t>AP0026731</t>
  </si>
  <si>
    <t>12pm</t>
  </si>
  <si>
    <t>15th October 2025</t>
  </si>
  <si>
    <t>9pm</t>
  </si>
  <si>
    <t>12:20-14:05</t>
  </si>
  <si>
    <t>OS359</t>
  </si>
  <si>
    <t>OS352</t>
  </si>
  <si>
    <t>Jordi Sánchez</t>
  </si>
  <si>
    <t>jordisanfe@gmail.com</t>
  </si>
  <si>
    <t>+34 617 093 464</t>
  </si>
  <si>
    <t>43214668Z</t>
  </si>
  <si>
    <t>Palma</t>
  </si>
  <si>
    <t>Sunday,12 October</t>
  </si>
  <si>
    <t>Thursday, 16 October</t>
  </si>
  <si>
    <t>Morning / Noon</t>
  </si>
  <si>
    <t xml:space="preserve">Palma De Mallorca </t>
  </si>
  <si>
    <t>10:40-17:40</t>
  </si>
  <si>
    <t>UX6030-UX1173</t>
  </si>
  <si>
    <t>10:45-15:55</t>
  </si>
  <si>
    <t>UX1172-UX6067</t>
  </si>
  <si>
    <t>KALLIOPI ZARALI</t>
  </si>
  <si>
    <t>kzarali@gmail.com</t>
  </si>
  <si>
    <t>ERT SA</t>
  </si>
  <si>
    <t>AK988769</t>
  </si>
  <si>
    <t>Thessaloniki</t>
  </si>
  <si>
    <t>Dániel Szabó</t>
  </si>
  <si>
    <t>szabo.daniel@portfolio.hu</t>
  </si>
  <si>
    <t>Portfolio.hu</t>
  </si>
  <si>
    <t>894038ue</t>
  </si>
  <si>
    <t>martin philippe</t>
  </si>
  <si>
    <t>pmartin@regionsmagazine.com</t>
  </si>
  <si>
    <t>Régions Magazine</t>
  </si>
  <si>
    <t>23HKO1356</t>
  </si>
  <si>
    <t>13 octobre</t>
  </si>
  <si>
    <t>9 heures</t>
  </si>
  <si>
    <t>16 heures</t>
  </si>
  <si>
    <t>Je souhaite un hôtel à proximité du siège du Comité européen des régions pour la nuit du 13 au 14 octobre</t>
  </si>
  <si>
    <t>Asela Pintado Sanz</t>
  </si>
  <si>
    <t>asela.pintado@prestomedia.es</t>
  </si>
  <si>
    <t>+34 629505251</t>
  </si>
  <si>
    <t>Aquí Europa/Canal Europa</t>
  </si>
  <si>
    <t>08972159C</t>
  </si>
  <si>
    <t>Adrian Covaci</t>
  </si>
  <si>
    <t>adanco74@gmail.com</t>
  </si>
  <si>
    <t>TVR Timisoara</t>
  </si>
  <si>
    <t>TZ 552661</t>
  </si>
  <si>
    <t>Timișoara</t>
  </si>
  <si>
    <t>08,00</t>
  </si>
  <si>
    <t>21,00</t>
  </si>
  <si>
    <t>Extra rooms:</t>
  </si>
  <si>
    <t>Important note for VO:</t>
  </si>
  <si>
    <t>JURORS T&amp;A; 13-15 October in Brussels</t>
  </si>
  <si>
    <t>ACCOMMODATION DETAILS</t>
  </si>
  <si>
    <t>Columna1</t>
  </si>
  <si>
    <t>Name</t>
  </si>
  <si>
    <t>Surname</t>
  </si>
  <si>
    <t>Email</t>
  </si>
  <si>
    <t>University/City</t>
  </si>
  <si>
    <t>Country </t>
  </si>
  <si>
    <t>Notes</t>
  </si>
  <si>
    <t>Registered at EURW platform?</t>
  </si>
  <si>
    <t>Form sent 28/07</t>
  </si>
  <si>
    <t>Form completed</t>
  </si>
  <si>
    <t>Phone number</t>
  </si>
  <si>
    <t>City of departure (to Brussels)</t>
  </si>
  <si>
    <t>Return city (from Brussels)</t>
  </si>
  <si>
    <t>Please indicate means of transport (e.g. flight, train); preferred time and any additional comments on your travel arrangements</t>
  </si>
  <si>
    <t>Please provide any comments, should the reservation be modified.</t>
  </si>
  <si>
    <t>Soup: please make your choice</t>
  </si>
  <si>
    <t>Any additional comments or observations regarding the Welcome Dinner Please use this space to share any information we should be aware of (e.g. accessibility requirements, food restrictions)</t>
  </si>
  <si>
    <t>Accommodation  needed</t>
  </si>
  <si>
    <t>Patricia</t>
  </si>
  <si>
    <t>Kotnik</t>
  </si>
  <si>
    <t>patricia.kotnik@ef.uni-lj.si</t>
  </si>
  <si>
    <t>U Ljubljana</t>
  </si>
  <si>
    <t>Slovenia</t>
  </si>
  <si>
    <t>+386 41 449 052</t>
  </si>
  <si>
    <t>FLIGHT</t>
  </si>
  <si>
    <t>Fish soup</t>
  </si>
  <si>
    <t>Beef carpaccio with parmesan flakes</t>
  </si>
  <si>
    <t>Rolls of lemon sole with chicory and truffle oil</t>
  </si>
  <si>
    <t>18:35-20:20</t>
  </si>
  <si>
    <t>SN3344</t>
  </si>
  <si>
    <t>Bart</t>
  </si>
  <si>
    <t>Los</t>
  </si>
  <si>
    <t>b.los@rug.nl</t>
  </si>
  <si>
    <t>Uni Groningen</t>
  </si>
  <si>
    <t>+31 6 2790 7744</t>
  </si>
  <si>
    <t>Groningen (The Netherlands)</t>
  </si>
  <si>
    <t>Train; I would like to arrive in Brussels at around 5pm</t>
  </si>
  <si>
    <t>Vegetable soup</t>
  </si>
  <si>
    <t>Vege: toast with wild mushrooms</t>
  </si>
  <si>
    <t>Redfish fillet with red pesto and shallots</t>
  </si>
  <si>
    <t>Schiphol</t>
  </si>
  <si>
    <t>15:27-17:06</t>
  </si>
  <si>
    <t>EUR9364</t>
  </si>
  <si>
    <t>9:53-11:30</t>
  </si>
  <si>
    <t>EUR9315</t>
  </si>
  <si>
    <t>Raquel </t>
  </si>
  <si>
    <t>Ortega-Argiles</t>
  </si>
  <si>
    <t>raquel.ortega-argiles@manchester.ac.uk</t>
  </si>
  <si>
    <t>U Birmingham</t>
  </si>
  <si>
    <t>UK (but spanish)</t>
  </si>
  <si>
    <t>Manchester</t>
  </si>
  <si>
    <t>Crispy pastry of brick dough with scampi and garlic</t>
  </si>
  <si>
    <t>Ildikó Réka</t>
  </si>
  <si>
    <t>Báthoryné Nagy </t>
  </si>
  <si>
    <t>Bathoryne.Nagy.Ildiko.Reka@uni-mate.hu</t>
  </si>
  <si>
    <t>MATE U Gödöllö</t>
  </si>
  <si>
    <t xml:space="preserve">
Flight; departure on October 13th in the afternoon, return from Brussels on October 16th in the morning.</t>
  </si>
  <si>
    <t>1 piece shrimp croquette</t>
  </si>
  <si>
    <t>18:00 - 20:05</t>
  </si>
  <si>
    <t>15:10-17:10</t>
  </si>
  <si>
    <t>SN2825</t>
  </si>
  <si>
    <t>Tom </t>
  </si>
  <si>
    <t>Broekel</t>
  </si>
  <si>
    <t>tom.brokel@uis.no</t>
  </si>
  <si>
    <t>Uni Stavanger</t>
  </si>
  <si>
    <t>will register only on 28 July</t>
  </si>
  <si>
    <t>[004792349923]</t>
  </si>
  <si>
    <t>Stavanger (could be Goslar as well)</t>
  </si>
  <si>
    <t>Stavanger</t>
  </si>
  <si>
    <t>Return: Flight, To: probably plane or train</t>
  </si>
  <si>
    <t>Flemish stew with fries</t>
  </si>
  <si>
    <t>Chloe</t>
  </si>
  <si>
    <t>Le Coq</t>
  </si>
  <si>
    <t>Chloe.LE-COQ@assas-universite.fr</t>
  </si>
  <si>
    <t>U Paris</t>
  </si>
  <si>
    <t>Paris-Brussels: train (EUROSTAR EUROSTAR n° 9351, 14.18-15.44) and Brussels- Stockholm (9:50-12.00, Brusselss airlines SN2291) flight, please include a cabin bagage and seat choice.</t>
  </si>
  <si>
    <t>no garlic please!</t>
  </si>
  <si>
    <t>Train/Flight</t>
  </si>
  <si>
    <t>14:18-15:44</t>
  </si>
  <si>
    <t>9:50-12:00</t>
  </si>
  <si>
    <t>Benjamin </t>
  </si>
  <si>
    <t>Büttner</t>
  </si>
  <si>
    <t>benjamin.buettner@tum.de</t>
  </si>
  <si>
    <t>TU Munich</t>
  </si>
  <si>
    <t>Munich</t>
  </si>
  <si>
    <t>Séte</t>
  </si>
  <si>
    <t>Flight from MUC to BRU on 13 October and train from Brussels to Séte on 15 October</t>
  </si>
  <si>
    <t>13 -15 October</t>
  </si>
  <si>
    <t>Andreea Claudia</t>
  </si>
  <si>
    <t>Serban</t>
  </si>
  <si>
    <t>andreea.serban@economie.ase.ro</t>
  </si>
  <si>
    <t>U Bucharest</t>
  </si>
  <si>
    <t>[0040723515753]</t>
  </si>
  <si>
    <t>I would like to kindly ask you to arrange my flights so that I arrive in Brussels on the morning of October 13th and depart on the afternoon of Sunday, October 19th. Please note that I will personally cover the expenses for the additional days (Thursday to Sunday). Thank you very much in advance!</t>
  </si>
  <si>
    <t>7:55-9:45</t>
  </si>
  <si>
    <t>RO371</t>
  </si>
  <si>
    <t>19:20 - 23:00</t>
  </si>
  <si>
    <t>RO374</t>
  </si>
  <si>
    <t>Rafal</t>
  </si>
  <si>
    <t>Weron</t>
  </si>
  <si>
    <t>Rafal.Weron@pwr.edu.pl</t>
  </si>
  <si>
    <t>Politecnico Wroclawska</t>
  </si>
  <si>
    <t>Poland</t>
  </si>
  <si>
    <t>+48 607 821020</t>
  </si>
  <si>
    <t>Wroclaw (Poland)</t>
  </si>
  <si>
    <t>08:45-12:35</t>
  </si>
  <si>
    <t>LO3852/LO237</t>
  </si>
  <si>
    <t>16:50-20:55</t>
  </si>
  <si>
    <t>LO238/lo3859</t>
  </si>
  <si>
    <t>Simon </t>
  </si>
  <si>
    <t>Güntner</t>
  </si>
  <si>
    <t>Simon.Guentner@haw-hamburg.de</t>
  </si>
  <si>
    <t>Hamburg AW</t>
  </si>
  <si>
    <t>+49 17614482915</t>
  </si>
  <si>
    <t>Hamburg</t>
  </si>
  <si>
    <t xml:space="preserve">Train, preferred option: Monday: ICE 109 and 14 (10:46 - 17:35), Thursday: ICE 13 and 202 (08:25 - 15:14)_x000D_
</t>
  </si>
  <si>
    <t>Vege: vegetarian hamburger with vegetables lasagne</t>
  </si>
  <si>
    <t>10:46 - 17:35</t>
  </si>
  <si>
    <t>ICE109/ICE14</t>
  </si>
  <si>
    <t>08:25-15:14</t>
  </si>
  <si>
    <t>ICe13/ICE202</t>
  </si>
  <si>
    <t>Janine </t>
  </si>
  <si>
    <t>Leschke</t>
  </si>
  <si>
    <t>jle.msc@cbs.dk</t>
  </si>
  <si>
    <t>Copenhagen BS</t>
  </si>
  <si>
    <t>0045 60141878</t>
  </si>
  <si>
    <t>Copenhagen</t>
  </si>
  <si>
    <t>flight (please book a flight for me Sunday departing Copenhagen 12.45 SAS - I will stay with friends the first night), please book my return ticket for Thursday morning (9.30 departing BXL with BXL airlines).</t>
  </si>
  <si>
    <t>Fine with this reservation - I will stay with friends the first night (Sunday-Monday)</t>
  </si>
  <si>
    <t>12:45-14:15</t>
  </si>
  <si>
    <t>SK1593</t>
  </si>
  <si>
    <t>9:30-11:03</t>
  </si>
  <si>
    <t>SN2257</t>
  </si>
  <si>
    <t>Astrid </t>
  </si>
  <si>
    <t>Mattes-Zippenfenig</t>
  </si>
  <si>
    <t>astrid.mattes@univie.ac.at</t>
  </si>
  <si>
    <t>U Vienna</t>
  </si>
  <si>
    <t>+43 6767046973</t>
  </si>
  <si>
    <t>I have to take the last flight on Monday (13 October), as I have to teach until 20.00 h. I need to be back in Vienna Wednesday afternoon (15 October). I will not be able to participate at the dinners.</t>
  </si>
  <si>
    <t xml:space="preserve">Vienna </t>
  </si>
  <si>
    <t>21:40-23:25</t>
  </si>
  <si>
    <t>SN2908</t>
  </si>
  <si>
    <t>15:40-17:20</t>
  </si>
  <si>
    <t>SN2905</t>
  </si>
  <si>
    <t>Adrian</t>
  </si>
  <si>
    <t>Bua</t>
  </si>
  <si>
    <t>Adrian.Bua@uab.cat</t>
  </si>
  <si>
    <t>U Barcelona</t>
  </si>
  <si>
    <t>registered with: adrian.bua@googlemail.com </t>
  </si>
  <si>
    <t xml:space="preserve">Barcelona </t>
  </si>
  <si>
    <t>12:10-14:25</t>
  </si>
  <si>
    <t>15:05-17:10</t>
  </si>
  <si>
    <t>VY8987</t>
  </si>
  <si>
    <t>Helena</t>
  </si>
  <si>
    <t>Leino</t>
  </si>
  <si>
    <t>helena.leino@tuni.fi</t>
  </si>
  <si>
    <t>U Tampere</t>
  </si>
  <si>
    <t>registered to the session, not Ceremony</t>
  </si>
  <si>
    <t>+358 40 7245964</t>
  </si>
  <si>
    <t>Tampere, Finland</t>
  </si>
  <si>
    <t>The direct flights leave from Helsinki, where I would prefer: 13.10. flight leaving from 10:50 Helsinki, and 16.10. flight leaving from Brussels 12:15 and arriving Helsinki 15:50.</t>
  </si>
  <si>
    <t>I prefer quiet room.</t>
  </si>
  <si>
    <t>10:50-12:40</t>
  </si>
  <si>
    <t>FR9327</t>
  </si>
  <si>
    <t>12:15-15:50</t>
  </si>
  <si>
    <t>FR9328</t>
  </si>
  <si>
    <t>Flavia </t>
  </si>
  <si>
    <t>Martinelli</t>
  </si>
  <si>
    <t>fmartinelli@unirc.it</t>
  </si>
  <si>
    <t>U Calabria</t>
  </si>
  <si>
    <t>+39 3356328501</t>
  </si>
  <si>
    <t>Santa Maria del Cedro (87020 COSENZA) Italy</t>
  </si>
  <si>
    <t>MEANS OF TRANSPORT
1) Santa Maria del Cedro -Lamezia Terme Airport (SUF) and return: by CAR.
2) Lamezia Terme Airport - Brussels National Airport and return: by PLANE
 TRAVELLING SCHEDULE
If possible, I would like my plane tickets at dates different from the proposed ones (13th and 16th), with one stop-over on the way back, in order to accomodate personal programmes. It should not involve additional costs, since from Lamezia Terme to Brussels a change of plane  -- in either Rome or Milan -- is necessary.  
Here are my preferences:
11 Oct
11:15 Lamezia Terme (SUF) - 12:25 Rome (FCO) AZ 1168
15:45 Rome (FCO) - 18:00 Bruxelles (BRU) AZ 160
16 Oct
09:25Bruxelles-10:55 Milan (LIN) AZ 151
20 Oct
14:20 Milan (LIN) - 16:00 Lamezia Terme (SUF) AZ 1185
I am aware that only three nights of accomodation will be provided.</t>
  </si>
  <si>
    <t>15:45-18:00</t>
  </si>
  <si>
    <t>Az160</t>
  </si>
  <si>
    <t>09:25-10:55</t>
  </si>
  <si>
    <t>JURORS DINNER; 13 October at 19h00</t>
  </si>
  <si>
    <t>Role</t>
  </si>
  <si>
    <t>juror</t>
  </si>
  <si>
    <t>Andreea </t>
  </si>
  <si>
    <t>Franziska</t>
  </si>
  <si>
    <t>Sielker</t>
  </si>
  <si>
    <t>franziska.sielker@tuwien.ac.at</t>
  </si>
  <si>
    <t>expert</t>
  </si>
  <si>
    <t>Menu selection: Vegetable Soup, Crispy pastry of brick dough with scampi and garlic, Redfish fillet with red pesto and shallots</t>
  </si>
  <si>
    <t>Alois </t>
  </si>
  <si>
    <t>Humer</t>
  </si>
  <si>
    <t>Alois.Humer@oeaw.ac.at</t>
  </si>
  <si>
    <t xml:space="preserve">Menu selection: Vegetable Soup, 1 piece shrimp croquette, Redfish fillet with red pesto and shallots </t>
  </si>
  <si>
    <t>Ludmila</t>
  </si>
  <si>
    <t>Majlathova</t>
  </si>
  <si>
    <t>ludmila.majlathova@ec.europa.eu</t>
  </si>
  <si>
    <t>EC</t>
  </si>
  <si>
    <t>Michaela</t>
  </si>
  <si>
    <t>Dolezalova</t>
  </si>
  <si>
    <t>michaela.dolezalova@ext.ec.europa.eu</t>
  </si>
  <si>
    <t>Ferstl</t>
  </si>
  <si>
    <t>alexander.ferstl@ec.europa.eu</t>
  </si>
  <si>
    <t>REGIOSTARS FINALISTS: EURW participation</t>
  </si>
  <si>
    <t xml:space="preserve">Finalists preferences </t>
  </si>
  <si>
    <t>Cat.</t>
  </si>
  <si>
    <t>Project</t>
  </si>
  <si>
    <t>Participant</t>
  </si>
  <si>
    <t>Participant email</t>
  </si>
  <si>
    <t>Participant number</t>
  </si>
  <si>
    <t>Function</t>
  </si>
  <si>
    <t>Training date</t>
  </si>
  <si>
    <t>Registered at EURW Platform?</t>
  </si>
  <si>
    <t>Travel &amp; accomodation covered</t>
  </si>
  <si>
    <t>Flight / Train</t>
  </si>
  <si>
    <t>The hotel room is reserved for three nights (from 13 – 16 October). Please provide any comments, should the reservation be modified or you do not need the accommodation.</t>
  </si>
  <si>
    <t>VO Comments</t>
  </si>
  <si>
    <t>Will you attend the Finalists’ Dinner on 14 October?</t>
  </si>
  <si>
    <t>Travel ticket sent to guest</t>
  </si>
  <si>
    <t>TYPICALP</t>
  </si>
  <si>
    <t>Luca Vernetti-Prot</t>
  </si>
  <si>
    <t>l.vernetti@iaraosta.it</t>
  </si>
  <si>
    <t>16/9 09:30-12:30</t>
  </si>
  <si>
    <t>Aosta</t>
  </si>
  <si>
    <t>Grey shrimp croquette</t>
  </si>
  <si>
    <t>Flemish Carbonnade with fries</t>
  </si>
  <si>
    <t>Sabina Valentini</t>
  </si>
  <si>
    <t>s.valentini@iaraosta.it</t>
  </si>
  <si>
    <t>DigiTVC</t>
  </si>
  <si>
    <t>Montse Ibañez</t>
  </si>
  <si>
    <t>montse@texfor.es</t>
  </si>
  <si>
    <t>00 34 666 72 03 50</t>
  </si>
  <si>
    <t>João Nuno Oliveira</t>
  </si>
  <si>
    <t>joliveira@citeve.pt</t>
  </si>
  <si>
    <t>00 351 915 29 93 44</t>
  </si>
  <si>
    <t>PLANTASYST</t>
  </si>
  <si>
    <t>Tsanko Gechev</t>
  </si>
  <si>
    <t>gechev@cpsbb.eu</t>
  </si>
  <si>
    <t>00 359 89 228 6911</t>
  </si>
  <si>
    <t>18/9 14:00-17:00</t>
  </si>
  <si>
    <t>Milen Georgiev</t>
  </si>
  <si>
    <t>georgiev@cpsbb.eu</t>
  </si>
  <si>
    <t>00 359 89 855 6356</t>
  </si>
  <si>
    <t>Marina Mircheva - Topalova</t>
  </si>
  <si>
    <t>secretary@cpsbb.eu</t>
  </si>
  <si>
    <t>00 359 89 837 1512 </t>
  </si>
  <si>
    <t>additional team member</t>
  </si>
  <si>
    <t>Satellite radar-based fertilisation maps</t>
  </si>
  <si>
    <t>Bartosz Buszke</t>
  </si>
  <si>
    <t>bartosz.buszke@wasat.pl</t>
  </si>
  <si>
    <t>00 48 600 253 700</t>
  </si>
  <si>
    <t xml:space="preserve">13.10.2025: 16:55 WAW-&gt;BRU LO 233; 16.10.2025:10:15 BRU-&gt;WAW LO 236 </t>
  </si>
  <si>
    <t>Vegan vegetable tartare</t>
  </si>
  <si>
    <t>Mateusz Stankiewicz</t>
  </si>
  <si>
    <t>mateusz.stankiewicz@wasat.pl</t>
  </si>
  <si>
    <t>00 48 509 407 495</t>
  </si>
  <si>
    <t>Smart Marina</t>
  </si>
  <si>
    <t>Kairi Jõesalu </t>
  </si>
  <si>
    <t>kairi.joesalu@ha.ax</t>
  </si>
  <si>
    <t>00 358 457 3444282</t>
  </si>
  <si>
    <t>KAIRI JOESALU</t>
  </si>
  <si>
    <t>MARIEHAMN</t>
  </si>
  <si>
    <t>TALLINN</t>
  </si>
  <si>
    <t xml:space="preserve">Flight, morning </t>
  </si>
  <si>
    <t>800g of Moules Marinières</t>
  </si>
  <si>
    <t>½ Brussels waffle with whipped cream</t>
  </si>
  <si>
    <t>Lennart Joelsson</t>
  </si>
  <si>
    <t>lennart.joelsson@joan.ax</t>
  </si>
  <si>
    <t>00 358 457 5244030</t>
  </si>
  <si>
    <t>Mariehamn (MHQ)</t>
  </si>
  <si>
    <t>Flight Mariehamn-Stockholm-Brussels and return same way</t>
  </si>
  <si>
    <t>It depends on the connecting fligts</t>
  </si>
  <si>
    <t>NAWAMED</t>
  </si>
  <si>
    <t>Barbara Sarnari </t>
  </si>
  <si>
    <t>b.sarnari@svimed.eu</t>
  </si>
  <si>
    <t>00 39 389 187 7681</t>
  </si>
  <si>
    <t>Barbara Sarnari</t>
  </si>
  <si>
    <t xml:space="preserve">Catania </t>
  </si>
  <si>
    <t xml:space="preserve">Pantelleria </t>
  </si>
  <si>
    <t xml:space="preserve">Flights. Departure morning or early in the afternoon- return in the morning </t>
  </si>
  <si>
    <t>Ilaria Principi </t>
  </si>
  <si>
    <t>principi@iridra.com</t>
  </si>
  <si>
    <t>00 39 338 112 5502</t>
  </si>
  <si>
    <t xml:space="preserve">Ilaria Principi </t>
  </si>
  <si>
    <t>Florence (Italy)</t>
  </si>
  <si>
    <t>AGEO Atlantic Geohazard Risk Management</t>
  </si>
  <si>
    <t>Levent Görgü</t>
  </si>
  <si>
    <t>levent.gorgu@ucd.ie</t>
  </si>
  <si>
    <t>00353 87 753 45 00</t>
  </si>
  <si>
    <t>LEVENT GÖRGÜ</t>
  </si>
  <si>
    <t>Larnaca, Cyprus</t>
  </si>
  <si>
    <t>Dublin, Ireland</t>
  </si>
  <si>
    <t>Vegetable Wellington</t>
  </si>
  <si>
    <t>Rui Carrilho Gomes</t>
  </si>
  <si>
    <t>rui.carrilho.gomes@tecnico.ulisboa.pt</t>
  </si>
  <si>
    <t>00351 96 28 38 842</t>
  </si>
  <si>
    <t>Rui Gomes</t>
  </si>
  <si>
    <t>flight, 13 october at lunch time or early afternoon, return 16 october morning</t>
  </si>
  <si>
    <t>I want a room for the 3 nights</t>
  </si>
  <si>
    <t>Care-Peat</t>
  </si>
  <si>
    <t>Katrien Wijns</t>
  </si>
  <si>
    <t>katrien.wijns@natuurpunt.be</t>
  </si>
  <si>
    <t>00 32 497 05 29 21  </t>
  </si>
  <si>
    <t>Herentals, Belgium</t>
  </si>
  <si>
    <t>Travel by train, tickets within Belgium can be used throughout the day</t>
  </si>
  <si>
    <t>Stefan Versweyveld</t>
  </si>
  <si>
    <t>stefan.versweyveld@natuurpunt.be</t>
  </si>
  <si>
    <t>00 32 485 65 78 74</t>
  </si>
  <si>
    <t>EcoX - Recycling of Food Oil Used through Green Chemistry</t>
  </si>
  <si>
    <t>César Henriques </t>
  </si>
  <si>
    <t>cesar.henriques@ecox.pt</t>
  </si>
  <si>
    <t>00 351 912 452 106</t>
  </si>
  <si>
    <t>Only session, not ceremony</t>
  </si>
  <si>
    <t>Eduardo Bizarro </t>
  </si>
  <si>
    <t>comercial@ecox.pt</t>
  </si>
  <si>
    <t>00 351 914 735 092</t>
  </si>
  <si>
    <t>Re-water</t>
  </si>
  <si>
    <t>Maristella Mantuano</t>
  </si>
  <si>
    <t>m.mantuano@greece-italy.eu</t>
  </si>
  <si>
    <t>00 39 331 221 6119</t>
  </si>
  <si>
    <t>Representative of Regione Puglia </t>
  </si>
  <si>
    <t>maristella mantuano</t>
  </si>
  <si>
    <t>Bari</t>
  </si>
  <si>
    <t xml:space="preserve">I would  like to fly by the earliest flights combination on the oct. 14th. If not availablel, by the latest on oct. 13th evening. I would like to fly back with the latest flights combination on oct. 15th evening. If not available, in the morning of oct. 16th. </t>
  </si>
  <si>
    <t>no smoking room. please book only for the nights of my stay, depending on the flights combination.</t>
  </si>
  <si>
    <t>The start of the dinner at 19 would be perfect. Please do not start later. Thanks</t>
  </si>
  <si>
    <t>Fabrizio Dell’Anna</t>
  </si>
  <si>
    <t>f.dellanna@aqp.it</t>
  </si>
  <si>
    <t>00 39 335 616 4083</t>
  </si>
  <si>
    <t>Representative of Acquedotto Pugliese </t>
  </si>
  <si>
    <t>Construction of a tunnel under Swina </t>
  </si>
  <si>
    <t>Arkadiusz Mazepa</t>
  </si>
  <si>
    <t>amazepa@um.swinoujscie.pl</t>
  </si>
  <si>
    <t>00 48 721 448 876</t>
  </si>
  <si>
    <t>Deputy Mayor</t>
  </si>
  <si>
    <t> Paweł Zimecki</t>
  </si>
  <si>
    <t> zimecki@inet.pl</t>
  </si>
  <si>
    <t> +48 602 624 156</t>
  </si>
  <si>
    <t>Pawel Zimecki</t>
  </si>
  <si>
    <t>Connected Lithuania</t>
  </si>
  <si>
    <t>Tomas Misevičius</t>
  </si>
  <si>
    <t>tomas.misevicius@vssa.lt</t>
  </si>
  <si>
    <t>00 370 669 78035</t>
  </si>
  <si>
    <t>director of the State Digital Solutions Agency</t>
  </si>
  <si>
    <t>Rita Šukytė</t>
  </si>
  <si>
    <t>rita.sukyte@langasiateiti.lt</t>
  </si>
  <si>
    <t>00 370 615 51954</t>
  </si>
  <si>
    <t>director of the Association „Langas į ateitį“</t>
  </si>
  <si>
    <t>Rita Sukyte</t>
  </si>
  <si>
    <t xml:space="preserve">Flight, preferred airport Zaventem, also there is a possibility for direct flight </t>
  </si>
  <si>
    <t>MONOCAB OWL</t>
  </si>
  <si>
    <t>Feried Al-Hamdawi</t>
  </si>
  <si>
    <t>feried.al-hamdawi@th-owl.de </t>
  </si>
  <si>
    <t>00 49 5261 7025558</t>
  </si>
  <si>
    <t>Hannover</t>
  </si>
  <si>
    <t>Means of transport: Flight; Preferred start betwenn 9:00 and 16:00</t>
  </si>
  <si>
    <t>No Alcohol in the food please</t>
  </si>
  <si>
    <t>Thorsten Försterling</t>
  </si>
  <si>
    <t>tf@monocab-system.com</t>
  </si>
  <si>
    <t>00 49 173 6208045</t>
  </si>
  <si>
    <t>Transport: Flight; Preferred time between 9:00 and 16:00</t>
  </si>
  <si>
    <t>Martin Griese</t>
  </si>
  <si>
    <t>martin.griese@th-owl.de</t>
  </si>
  <si>
    <t>0049 5261 702 5106</t>
  </si>
  <si>
    <t>will only participate in the training</t>
  </si>
  <si>
    <t>Construction of multimodal terminal </t>
  </si>
  <si>
    <t>Cezary Klimont </t>
  </si>
  <si>
    <t>cezary.klimont@pkpcargoterminale.com</t>
  </si>
  <si>
    <t>+48 501 306 394</t>
  </si>
  <si>
    <t>Anna Bawoł</t>
  </si>
  <si>
    <t>anna.bawol@pkpcargoterminale.com</t>
  </si>
  <si>
    <t>+48 727 440 273</t>
  </si>
  <si>
    <t>Zheleznitsa Modern Tunnel Systems</t>
  </si>
  <si>
    <t>Ventsislav Atanasov </t>
  </si>
  <si>
    <t>v.atanasov@api.bg</t>
  </si>
  <si>
    <t>00 359 2 91 73 254</t>
  </si>
  <si>
    <t>Member of the Management Board </t>
  </si>
  <si>
    <t>Zlatka Peteva </t>
  </si>
  <si>
    <t>z.peteva@api.bg</t>
  </si>
  <si>
    <t>00 359 2 91 73 333</t>
  </si>
  <si>
    <t>Director of the "European Projects for Transport Connectivity" Directorate </t>
  </si>
  <si>
    <t xml:space="preserve">Natalia Lambreva </t>
  </si>
  <si>
    <t>n.peeva@api.bg</t>
  </si>
  <si>
    <t>00 359 2 91 73 236</t>
  </si>
  <si>
    <t>Department for Preparation of European Projects for Transport Connectivity at the "European Projects for Transport Connectivity" Directorate</t>
  </si>
  <si>
    <t xml:space="preserve">additional member of the team </t>
  </si>
  <si>
    <t>The sharing factory: new urban hotspot for social inclusion &amp; circular economy</t>
  </si>
  <si>
    <t>Barbara Deman</t>
  </si>
  <si>
    <t>barbara.deman@kortrijk.be</t>
  </si>
  <si>
    <t>Ruben Bruyneel</t>
  </si>
  <si>
    <t>ruben.bruyneel@kortrijk.be</t>
  </si>
  <si>
    <t>Kortrijk</t>
  </si>
  <si>
    <t>Accomodation is only needed for October 14th</t>
  </si>
  <si>
    <t>Early support for families at risk</t>
  </si>
  <si>
    <t>Anna Horáková</t>
  </si>
  <si>
    <t>anna.horakova@nudz.cz</t>
  </si>
  <si>
    <t>00 420 739 757 295</t>
  </si>
  <si>
    <t>Anna Horakova</t>
  </si>
  <si>
    <t>flights</t>
  </si>
  <si>
    <t>Antonín Šebela</t>
  </si>
  <si>
    <t>antonin.sebela@nudz.cz</t>
  </si>
  <si>
    <t>00 728 214 113</t>
  </si>
  <si>
    <t>Social Inclusion Incubator</t>
  </si>
  <si>
    <t>Jolanta Perek-Białas</t>
  </si>
  <si>
    <t>jolanta.perek-bialas@uj.edu.pl</t>
  </si>
  <si>
    <t>00 48 601 460 613</t>
  </si>
  <si>
    <t>Professor at the Jagiellonian University </t>
  </si>
  <si>
    <t>Kraków</t>
  </si>
  <si>
    <t>Balice Kraków airport, i.e.12.20 Brussels Airlines on 13th of Oct, or via i.e. Munich, Warsaw, Vienna, on the way back at Thursday 16th please arrange flight early, from 9.00 am, with sufficient time for transfer if needed</t>
  </si>
  <si>
    <t>Katarzyna Ociepka-Miąsik </t>
  </si>
  <si>
    <t>ociepkamiasik@gmail.com</t>
  </si>
  <si>
    <t>00 48 692 092 914</t>
  </si>
  <si>
    <t xml:space="preserve">Katarzyna Ociepka-Miąsik </t>
  </si>
  <si>
    <t xml:space="preserve">Kraków </t>
  </si>
  <si>
    <t xml:space="preserve">flight </t>
  </si>
  <si>
    <t>Oyapock Health Cooperation Phase 1</t>
  </si>
  <si>
    <t>Mathilde Boutrou</t>
  </si>
  <si>
    <t>mathilde.boutrou@ch-cayenne.fr</t>
  </si>
  <si>
    <t>00 33 6 84 43 78 99</t>
  </si>
  <si>
    <t>Cayenne hospital </t>
  </si>
  <si>
    <t>Cayenne</t>
  </si>
  <si>
    <t xml:space="preserve">If possible I wish to travel from Cayenne to Paris the 10th october by flight
and from Paris to Bruxelles by train the 13th october afternoon
for the way back, I wish to come back to paris the 20th  and flight to Cayenne the 22th.
If it's not possible to book that way, would it be possible for me to change the tickets at my charge?
I Will provide all the extra accomodations. </t>
  </si>
  <si>
    <t>Oyapock Health Cooperation Phase 2</t>
  </si>
  <si>
    <t>Sophie Rhodes</t>
  </si>
  <si>
    <t>rhodes.sophie@idsante.eu </t>
  </si>
  <si>
    <t>00 594 6 94 38 84 24</t>
  </si>
  <si>
    <t>director of the NGO IDsanté</t>
  </si>
  <si>
    <t xml:space="preserve">Rhodes Sophie </t>
  </si>
  <si>
    <t xml:space="preserve">Toulouse </t>
  </si>
  <si>
    <t>Toulouse</t>
  </si>
  <si>
    <t>Flight 12h10 brussels airlines</t>
  </si>
  <si>
    <t>P.I.U. Su.Pr.Eme </t>
  </si>
  <si>
    <t>Roberto Venneri</t>
  </si>
  <si>
    <t>r.venneri@regione.puglia.it</t>
  </si>
  <si>
    <t>00 39 348 1404396</t>
  </si>
  <si>
    <t>Secretary General of the Presidency of the Puglia Region</t>
  </si>
  <si>
    <t>Maria Letizia Di Liberti </t>
  </si>
  <si>
    <t>marialetizia.diliberti@regione.sicilia.it</t>
  </si>
  <si>
    <t>00 39 379 1109195</t>
  </si>
  <si>
    <t>Director General for Welfare and Family, Sicily Region</t>
  </si>
  <si>
    <t>Gianpietro Losapio</t>
  </si>
  <si>
    <t>g.losapio@consorzionova.it</t>
  </si>
  <si>
    <t>00 39 348 7969733</t>
  </si>
  <si>
    <t>Director-General, NOVA National Consortium</t>
  </si>
  <si>
    <t>additional team member; email with information on the rules/costs of third member sent in email</t>
  </si>
  <si>
    <t>Preserving and showcasing the cultural and natural heritage of North Courland</t>
  </si>
  <si>
    <t>Solvita Ūdre </t>
  </si>
  <si>
    <t>solvita.udre@ventspils.lv</t>
  </si>
  <si>
    <t>Director of Ventspils museum </t>
  </si>
  <si>
    <t>Solvita Udre</t>
  </si>
  <si>
    <t>Flight 13/10/25 and 16/10/25</t>
  </si>
  <si>
    <t>Ieva Gaigala</t>
  </si>
  <si>
    <t>ieva.gaigala@fm.gov.lv</t>
  </si>
  <si>
    <t>Ministry of Finance, EU funds national communication coordinator </t>
  </si>
  <si>
    <t>Flight. Please provide evening flights for both days. Thank you!</t>
  </si>
  <si>
    <t>Metropolitan Heritage Days</t>
  </si>
  <si>
    <t>Jorge Vultos Sequeira</t>
  </si>
  <si>
    <t>jorgesequeira@cm-sjm.pt</t>
  </si>
  <si>
    <t>00 351 966 506 474</t>
  </si>
  <si>
    <t>President of the Porto Metropolitan Council (CMP)</t>
  </si>
  <si>
    <t>additional information on training required</t>
  </si>
  <si>
    <t>departure Porto-Brussels (Zavatem) 13 octobre -fligth 08h15
returned Brussels (Zavatem) - Porto 16 octobre - flight 13h30</t>
  </si>
  <si>
    <t>its ok</t>
  </si>
  <si>
    <t>José Carlos Marques Moreira</t>
  </si>
  <si>
    <t>jmoreira@amp.pt</t>
  </si>
  <si>
    <t>00 351 917 831 179</t>
  </si>
  <si>
    <t>Cultural Management Officer – Department of General Administration, AMP</t>
  </si>
  <si>
    <t>José Marques Moreira</t>
  </si>
  <si>
    <t>Flight; preferred time: 13/10 at 8:15 and 16/10 at 13:30 (same as collegues participating in other Regions Week activities)</t>
  </si>
  <si>
    <t>Ana Cláudia Alves</t>
  </si>
  <si>
    <t>claudia.alves@magellancircle.eu</t>
  </si>
  <si>
    <t>00 351 913 087 342</t>
  </si>
  <si>
    <t>AMP Liaison Office - Magellan Circle</t>
  </si>
  <si>
    <t>Ana Paula Abreu</t>
  </si>
  <si>
    <t>00 351 961 526 866</t>
  </si>
  <si>
    <t>Director of the Department of General Administration, AMP</t>
  </si>
  <si>
    <t>Ana Paula Mesquita</t>
  </si>
  <si>
    <t>anapaula.mesquita@magellancircle.eu</t>
  </si>
  <si>
    <t>00 351 919 183 121</t>
  </si>
  <si>
    <t>MoBiLait</t>
  </si>
  <si>
    <t>Justinas Kilčiauskas</t>
  </si>
  <si>
    <t>j.kilciauskas@labiblioteka.lt</t>
  </si>
  <si>
    <t>library's IT accessibility expert</t>
  </si>
  <si>
    <t>additional information on training required; registered only at ceremony, not session</t>
  </si>
  <si>
    <t>Direct flight with Brussels Airlines on October 13th, at 18:40; return on October 16th, at 14:30</t>
  </si>
  <si>
    <t>Blind</t>
  </si>
  <si>
    <t>Erika Buivydienė</t>
  </si>
  <si>
    <t>e.buivydiene@labiblioteka.lt</t>
  </si>
  <si>
    <t>MoBiLait project manager</t>
  </si>
  <si>
    <t>If possible, it would be preferable to fly direct with Brussels Airlines, departing on October 13 at 18:40 and returning on October 16 at 14:30.</t>
  </si>
  <si>
    <t>Shankill Shared Women's Centre</t>
  </si>
  <si>
    <t>Elizabeth (Betty) Carlisle</t>
  </si>
  <si>
    <t>betty@shankillwomenscentre.org</t>
  </si>
  <si>
    <t>0 7810568298</t>
  </si>
  <si>
    <t xml:space="preserve">ELIZABETH CARLISLE </t>
  </si>
  <si>
    <t>BELFAST (EVENING FLIGHT)</t>
  </si>
  <si>
    <t>BELFAST 18TH OCTOBER  (AFTERNOON/ EVENING  FLIGHT)</t>
  </si>
  <si>
    <t>I intend to stay on until the 18th October 2025</t>
  </si>
  <si>
    <t>please extend my room until Saturday 18th October (I will cover the cost of this)</t>
  </si>
  <si>
    <t>Lesley-Anne Kinnon</t>
  </si>
  <si>
    <t>Lesley-anne@shankillwomenscentre.org</t>
  </si>
  <si>
    <t>0 7795258344</t>
  </si>
  <si>
    <t>Lesley Anne Kinnon</t>
  </si>
  <si>
    <t>Belfast (evening flight if possible)</t>
  </si>
  <si>
    <t xml:space="preserve">Belfast (afternoon/evening if possible) I am intending to stay in Brussels until Saturday18th so would need the return flight on Saturday18th Oct 25 please. </t>
  </si>
  <si>
    <t xml:space="preserve">Flight.
I am intending to stay in Brussels until Saturday18th Oct 25 so would need the return flight on Saturday18th Oct 25 please. </t>
  </si>
  <si>
    <t>I am intending to stay in Brussels until Saturday18th so would need the hotel until Saturday18th Oct 25 (I will cover any additional cost). Please extend booking.</t>
  </si>
  <si>
    <t>Gina McIntyre</t>
  </si>
  <si>
    <t>SEUPB</t>
  </si>
  <si>
    <t>Will participate independently to support the project</t>
  </si>
  <si>
    <t>Toldi Reborn: A Story of Unity &amp; Culture</t>
  </si>
  <si>
    <t>Patricia Ivanciuc</t>
  </si>
  <si>
    <t>pati.sophie@gmail.com</t>
  </si>
  <si>
    <t>00 40 721 083 137</t>
  </si>
  <si>
    <t xml:space="preserve">IVANCIUC PATRICIA EDITH </t>
  </si>
  <si>
    <t>ORADEA</t>
  </si>
  <si>
    <t xml:space="preserve">ORADEA </t>
  </si>
  <si>
    <t xml:space="preserve">morning flight </t>
  </si>
  <si>
    <t>Andrea Berce</t>
  </si>
  <si>
    <t>co.cultured280@gmail.com</t>
  </si>
  <si>
    <t>00 40740080346</t>
  </si>
  <si>
    <t>Andrea Diana Berce</t>
  </si>
  <si>
    <t>Oradea</t>
  </si>
  <si>
    <t>TOTAL NUMBER OF NIGHTS BOOKED</t>
  </si>
  <si>
    <t>Nights confirmed according to their travel itinerary</t>
  </si>
  <si>
    <t>Without HLE</t>
  </si>
  <si>
    <t>SESSIONS</t>
  </si>
  <si>
    <t>STANDS</t>
  </si>
  <si>
    <t>ESTIMATIONS BASED ON THE SC FORM BEFORE 7 AUGUST</t>
  </si>
  <si>
    <t>TASTINGS</t>
  </si>
  <si>
    <t>DATES CONFIRMED BY THE SPEAKERS ON THEIR FORM</t>
  </si>
  <si>
    <t>Have not filled in the form</t>
  </si>
  <si>
    <t>Only need accommodation</t>
  </si>
  <si>
    <t xml:space="preserve">Travel needs </t>
  </si>
  <si>
    <t>Accomodation needs</t>
  </si>
  <si>
    <t xml:space="preserve">Answers received </t>
  </si>
  <si>
    <t xml:space="preserve">Estimated number of speakers for travel </t>
  </si>
  <si>
    <t>Estimated number of speakers for accommodation</t>
  </si>
  <si>
    <t>Arrival</t>
  </si>
  <si>
    <t>Session</t>
  </si>
  <si>
    <t>Stands</t>
  </si>
  <si>
    <t>Tastings</t>
  </si>
  <si>
    <t>Number of rooms booked at Plaza</t>
  </si>
  <si>
    <t xml:space="preserve">Rooms left </t>
  </si>
  <si>
    <t>Total budget (rate: 138€/night VAT incl)</t>
  </si>
  <si>
    <t>Avoid travels on the 14th, 2 nights/speaker</t>
  </si>
  <si>
    <t>Rooms needed if 2 nights/speaker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</si>
</sst>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quot;€&quot;_);[Red]\(#,##0\ &quot;€&quot;\)"/>
    <numFmt numFmtId="165" formatCode="&quot;€&quot;#,##0.00;[Red]\-&quot;€&quot;#,##0.00"/>
    <numFmt numFmtId="166" formatCode="_-&quot;€&quot;* #,##0.00_-;\-&quot;€&quot;* #,##0.00_-;_-&quot;€&quot;* &quot;-&quot;??_-;_-@_-"/>
    <numFmt numFmtId="167" formatCode="#,##0.00\ &quot;€&quot;"/>
    <numFmt numFmtId="168" formatCode="[$-80C]dd\-mmm\-yy;@"/>
    <numFmt numFmtId="169" formatCode="_-[$€-2]\ * #,##0.00_-;\-[$€-2]\ * #,##0.00_-;_-[$€-2]\ * &quot;-&quot;??_-;_-@_-"/>
    <numFmt numFmtId="170" formatCode="&quot;€&quot;#,##0.00"/>
  </numFmts>
  <fonts count="96">
    <font>
      <sz val="11"/>
      <color theme="1"/>
      <name val="Aptos Narrow"/>
      <family val="2"/>
      <scheme val="minor"/>
    </font>
    <font>
      <sz val="11"/>
      <color theme="1"/>
      <name val="Aptos Narrow"/>
      <scheme val="minor"/>
    </font>
    <font>
      <sz val="10"/>
      <color rgb="FF000000"/>
      <name val="Calibri"/>
      <family val="2"/>
    </font>
    <font>
      <u/>
      <sz val="11"/>
      <color theme="10"/>
      <name val="Aptos Narrow"/>
      <family val="2"/>
      <scheme val="minor"/>
    </font>
    <font>
      <sz val="14"/>
      <color theme="1"/>
      <name val="Aptos Narrow"/>
      <family val="2"/>
      <scheme val="minor"/>
    </font>
    <font>
      <b/>
      <sz val="11"/>
      <color theme="1"/>
      <name val="Aptos Narrow"/>
      <scheme val="minor"/>
    </font>
    <font>
      <sz val="8"/>
      <name val="Aptos Narrow"/>
      <family val="2"/>
      <scheme val="minor"/>
    </font>
    <font>
      <b/>
      <sz val="10"/>
      <color rgb="FF000000"/>
      <name val="Calibri"/>
      <family val="2"/>
    </font>
    <font>
      <b/>
      <sz val="11"/>
      <color theme="1"/>
      <name val="Aptos Narrow"/>
      <family val="2"/>
      <scheme val="minor"/>
    </font>
    <font>
      <sz val="11"/>
      <color rgb="FF242424"/>
      <name val="Aptos Narrow"/>
    </font>
    <font>
      <b/>
      <sz val="14"/>
      <color rgb="FFFFFFFF"/>
      <name val="Calibri (Body)�"/>
      <charset val="1"/>
    </font>
    <font>
      <b/>
      <sz val="12"/>
      <color rgb="FFFFFFFF"/>
      <name val="Calibri (Body)�"/>
      <charset val="1"/>
    </font>
    <font>
      <u/>
      <sz val="12"/>
      <color rgb="FF0563C1"/>
      <name val="Calibri"/>
      <family val="2"/>
    </font>
    <font>
      <sz val="12"/>
      <color rgb="FF000000"/>
      <name val="Calibri"/>
      <family val="2"/>
    </font>
    <font>
      <sz val="10"/>
      <color rgb="FF000000"/>
      <name val="Calibri (Body)�"/>
      <charset val="1"/>
    </font>
    <font>
      <sz val="10"/>
      <name val="Calibri"/>
      <family val="2"/>
    </font>
    <font>
      <u/>
      <sz val="10"/>
      <color rgb="FF0563C1"/>
      <name val="Calibri"/>
      <family val="2"/>
    </font>
    <font>
      <i/>
      <sz val="10"/>
      <color rgb="FF000000"/>
      <name val="Calibri (Body)�"/>
      <charset val="1"/>
    </font>
    <font>
      <sz val="11"/>
      <color theme="1"/>
      <name val="Aptos Narrow"/>
      <family val="2"/>
      <scheme val="minor"/>
    </font>
    <font>
      <b/>
      <sz val="24"/>
      <name val="Arial"/>
      <family val="2"/>
    </font>
    <font>
      <b/>
      <sz val="10"/>
      <name val="Arial"/>
      <family val="2"/>
    </font>
    <font>
      <sz val="10"/>
      <name val="Arial"/>
      <family val="2"/>
    </font>
    <font>
      <sz val="11"/>
      <color rgb="FF000000"/>
      <name val="Aptos Narrow"/>
      <family val="2"/>
      <charset val="1"/>
    </font>
    <font>
      <sz val="11"/>
      <color rgb="FF212121"/>
      <name val="Aptos"/>
      <family val="2"/>
      <charset val="1"/>
    </font>
    <font>
      <u/>
      <sz val="10"/>
      <color rgb="FF0563C1"/>
      <name val="Calibri"/>
      <family val="2"/>
    </font>
    <font>
      <b/>
      <sz val="10"/>
      <name val="Calibri"/>
      <family val="2"/>
    </font>
    <font>
      <b/>
      <sz val="24"/>
      <color rgb="FF000000"/>
      <name val="Calibri"/>
      <family val="2"/>
    </font>
    <font>
      <b/>
      <sz val="24"/>
      <name val="Calibri"/>
      <family val="2"/>
    </font>
    <font>
      <b/>
      <sz val="24"/>
      <name val="Arial"/>
      <family val="2"/>
    </font>
    <font>
      <b/>
      <sz val="24"/>
      <color rgb="FFFFFFFF"/>
      <name val="Calibri"/>
      <family val="2"/>
    </font>
    <font>
      <sz val="10"/>
      <color rgb="FF000000"/>
      <name val="Calibri"/>
      <family val="2"/>
    </font>
    <font>
      <sz val="11"/>
      <color rgb="FF000000"/>
      <name val="Aptos Narrow"/>
    </font>
    <font>
      <b/>
      <sz val="11"/>
      <name val="Calibri"/>
      <family val="2"/>
    </font>
    <font>
      <b/>
      <sz val="12"/>
      <name val="Calibri"/>
      <family val="2"/>
    </font>
    <font>
      <b/>
      <sz val="10"/>
      <name val="Arial"/>
      <family val="2"/>
    </font>
    <font>
      <b/>
      <sz val="12"/>
      <color rgb="FFFFFFFF"/>
      <name val="Calibri"/>
      <family val="2"/>
    </font>
    <font>
      <sz val="10"/>
      <color rgb="FF000000"/>
      <name val="Aptos Narrow"/>
    </font>
    <font>
      <u/>
      <sz val="11"/>
      <color rgb="FF467886"/>
      <name val="Aptos Narrow"/>
    </font>
    <font>
      <sz val="10"/>
      <color rgb="FF333333"/>
      <name val="Aptos Narrow"/>
    </font>
    <font>
      <b/>
      <sz val="10"/>
      <color rgb="FF000000"/>
      <name val="Calibri"/>
      <family val="2"/>
    </font>
    <font>
      <b/>
      <sz val="11"/>
      <color rgb="FF000000"/>
      <name val="Aptos Narrow"/>
    </font>
    <font>
      <b/>
      <sz val="24"/>
      <color rgb="FF000000"/>
      <name val="Aptos Narrow"/>
    </font>
    <font>
      <sz val="14"/>
      <color rgb="FF183247"/>
      <name val="Helvetica Neue"/>
      <family val="2"/>
    </font>
    <font>
      <sz val="10"/>
      <color rgb="FF333333"/>
      <name val="Calibri"/>
      <family val="2"/>
    </font>
    <font>
      <sz val="11"/>
      <color rgb="FF000000"/>
      <name val="Calibri"/>
      <family val="2"/>
    </font>
    <font>
      <sz val="11"/>
      <color rgb="FF000000"/>
      <name val="Aptos Narrow"/>
      <family val="2"/>
      <scheme val="minor"/>
    </font>
    <font>
      <sz val="10"/>
      <color rgb="FF000000"/>
      <name val="Aptos Narrow"/>
      <family val="2"/>
    </font>
    <font>
      <sz val="11"/>
      <color rgb="FF000000"/>
      <name val="Aptos Narrow"/>
      <family val="2"/>
    </font>
    <font>
      <strike/>
      <sz val="11"/>
      <color theme="1"/>
      <name val="Aptos Narrow"/>
      <family val="2"/>
      <scheme val="minor"/>
    </font>
    <font>
      <strike/>
      <sz val="11"/>
      <color rgb="FF000000"/>
      <name val="Aptos Narrow"/>
      <family val="2"/>
      <charset val="1"/>
    </font>
    <font>
      <strike/>
      <sz val="10"/>
      <name val="Arial"/>
      <family val="2"/>
    </font>
    <font>
      <strike/>
      <sz val="11"/>
      <color rgb="FF242424"/>
      <name val="Aptos Narrow"/>
    </font>
    <font>
      <strike/>
      <u/>
      <sz val="11"/>
      <color theme="10"/>
      <name val="Aptos Narrow"/>
      <family val="2"/>
      <scheme val="minor"/>
    </font>
    <font>
      <sz val="11"/>
      <color rgb="FF242424"/>
      <name val="Aptos Narrow"/>
    </font>
    <font>
      <b/>
      <sz val="11"/>
      <color rgb="FF000000"/>
      <name val="Aptos Narrow"/>
      <family val="2"/>
    </font>
    <font>
      <sz val="11"/>
      <color rgb="FF000000"/>
      <name val="Calibri"/>
      <family val="2"/>
    </font>
    <font>
      <sz val="10"/>
      <color rgb="FFFF0000"/>
      <name val="Calibri"/>
      <family val="2"/>
    </font>
    <font>
      <u/>
      <sz val="11"/>
      <color rgb="FFFF0000"/>
      <name val="Aptos Narrow"/>
      <family val="2"/>
      <scheme val="minor"/>
    </font>
    <font>
      <sz val="11"/>
      <color rgb="FF000000"/>
      <name val="Aptos"/>
    </font>
    <font>
      <sz val="11"/>
      <color rgb="FF212121"/>
      <name val="Aptos"/>
    </font>
    <font>
      <sz val="10"/>
      <color theme="1"/>
      <name val="Arial"/>
      <family val="2"/>
    </font>
    <font>
      <sz val="10"/>
      <name val="Arial"/>
      <family val="2"/>
    </font>
    <font>
      <b/>
      <sz val="11"/>
      <color rgb="FF000000"/>
      <name val="Calibri"/>
      <family val="2"/>
    </font>
    <font>
      <sz val="11"/>
      <color rgb="FF000000"/>
      <name val="Aptos Narrow"/>
    </font>
    <font>
      <b/>
      <sz val="11"/>
      <color rgb="FF000000"/>
      <name val="Aptos Narrow"/>
    </font>
    <font>
      <strike/>
      <sz val="11"/>
      <color rgb="FFFF0000"/>
      <name val="Aptos Narrow"/>
      <family val="2"/>
      <scheme val="minor"/>
    </font>
    <font>
      <strike/>
      <sz val="11"/>
      <color rgb="FF000000"/>
      <name val="Aptos Narrow"/>
      <family val="2"/>
      <scheme val="minor"/>
    </font>
    <font>
      <sz val="11"/>
      <color rgb="FF000000"/>
      <name val="Aptos Narrow"/>
      <scheme val="minor"/>
    </font>
    <font>
      <b/>
      <sz val="10"/>
      <name val="Aptos Narrow"/>
      <scheme val="minor"/>
    </font>
    <font>
      <sz val="10"/>
      <name val="Aptos Narrow"/>
      <scheme val="minor"/>
    </font>
    <font>
      <sz val="11"/>
      <color rgb="FF333333"/>
      <name val="Helvetica Neue"/>
      <family val="2"/>
    </font>
    <font>
      <sz val="11"/>
      <color rgb="FF000000"/>
      <name val="Arial Narrow"/>
      <family val="2"/>
    </font>
    <font>
      <b/>
      <sz val="11"/>
      <name val="Arial Narrow"/>
      <family val="2"/>
    </font>
    <font>
      <b/>
      <sz val="11"/>
      <color rgb="FF000000"/>
      <name val="Arial Narrow"/>
      <family val="2"/>
    </font>
    <font>
      <sz val="12"/>
      <color rgb="FF000000"/>
      <name val="Aptos Narrow"/>
    </font>
    <font>
      <b/>
      <sz val="12"/>
      <color rgb="FF000000"/>
      <name val="Aptos Narrow"/>
    </font>
    <font>
      <sz val="11"/>
      <color rgb="FF000000"/>
      <name val="Arial Narrow"/>
      <family val="2"/>
    </font>
    <font>
      <b/>
      <sz val="11"/>
      <color rgb="FF000000"/>
      <name val="Arial Narrow"/>
      <family val="2"/>
    </font>
    <font>
      <b/>
      <sz val="11"/>
      <name val="Arial Narrow"/>
      <family val="2"/>
    </font>
    <font>
      <b/>
      <sz val="11"/>
      <color rgb="FF000000"/>
      <name val="Calibri"/>
      <family val="2"/>
      <charset val="1"/>
    </font>
    <font>
      <sz val="11"/>
      <color rgb="FF000000"/>
      <name val="Calibri"/>
      <family val="2"/>
      <charset val="1"/>
    </font>
    <font>
      <sz val="11"/>
      <name val="Calibri"/>
      <family val="2"/>
      <charset val="1"/>
    </font>
    <font>
      <u/>
      <sz val="11"/>
      <color rgb="FF0563C1"/>
      <name val="Calibri"/>
      <family val="2"/>
      <charset val="1"/>
    </font>
    <font>
      <sz val="11"/>
      <color rgb="FF000000"/>
      <name val="Aptos"/>
      <family val="2"/>
      <charset val="1"/>
    </font>
    <font>
      <strike/>
      <sz val="10"/>
      <color rgb="FF000000"/>
      <name val="Aptos Narrow"/>
    </font>
    <font>
      <strike/>
      <sz val="10"/>
      <color rgb="FF000000"/>
      <name val="Aptos Narrow"/>
      <family val="2"/>
    </font>
    <font>
      <strike/>
      <sz val="11"/>
      <color rgb="FF000000"/>
      <name val="Aptos Narrow"/>
    </font>
    <font>
      <b/>
      <sz val="11"/>
      <color rgb="FF000000"/>
      <name val="Arial Narrow"/>
      <family val="2"/>
      <charset val="1"/>
    </font>
    <font>
      <b/>
      <sz val="11"/>
      <name val="Arial Narrow"/>
      <family val="2"/>
      <charset val="1"/>
    </font>
    <font>
      <sz val="11"/>
      <color rgb="FF000000"/>
      <name val="Arial Narrow"/>
      <family val="2"/>
      <charset val="1"/>
    </font>
    <font>
      <sz val="11"/>
      <color rgb="FFFF0000"/>
      <name val="Arial Narrow"/>
      <family val="2"/>
      <charset val="1"/>
    </font>
    <font>
      <b/>
      <sz val="11"/>
      <color rgb="FF000000"/>
      <name val="Aptos Narrow"/>
      <family val="2"/>
      <charset val="1"/>
    </font>
    <font>
      <sz val="11"/>
      <color rgb="FF000000"/>
      <name val="Calibri"/>
      <family val="2"/>
    </font>
    <font>
      <sz val="12"/>
      <color rgb="FF212121"/>
      <name val="Aptos"/>
      <family val="2"/>
      <charset val="1"/>
    </font>
    <font>
      <sz val="11"/>
      <color rgb="FF212121"/>
      <name val="Aptos"/>
    </font>
    <font>
      <b/>
      <sz val="12"/>
      <color rgb="FF212121"/>
      <name val="Aptos"/>
    </font>
  </fonts>
  <fills count="6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rgb="FF70AD47"/>
        <bgColor indexed="64"/>
      </patternFill>
    </fill>
    <fill>
      <patternFill patternType="solid">
        <fgColor rgb="FFE2EFDA"/>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3" tint="0.89999084444715716"/>
        <bgColor indexed="64"/>
      </patternFill>
    </fill>
    <fill>
      <patternFill patternType="solid">
        <fgColor rgb="FFF0D584"/>
        <bgColor indexed="64"/>
      </patternFill>
    </fill>
    <fill>
      <patternFill patternType="solid">
        <fgColor theme="8" tint="0.79998168889431442"/>
        <bgColor indexed="64"/>
      </patternFill>
    </fill>
    <fill>
      <patternFill patternType="solid">
        <fgColor rgb="FFFCFCC5"/>
        <bgColor indexed="64"/>
      </patternFill>
    </fill>
    <fill>
      <patternFill patternType="solid">
        <fgColor rgb="FFA6A6A6"/>
        <bgColor rgb="FF000000"/>
      </patternFill>
    </fill>
    <fill>
      <patternFill patternType="solid">
        <fgColor rgb="FF8ED973"/>
        <bgColor rgb="FF000000"/>
      </patternFill>
    </fill>
    <fill>
      <patternFill patternType="solid">
        <fgColor rgb="FFE49EDD"/>
        <bgColor rgb="FF000000"/>
      </patternFill>
    </fill>
    <fill>
      <patternFill patternType="solid">
        <fgColor rgb="FFA6C9EC"/>
        <bgColor rgb="FF000000"/>
      </patternFill>
    </fill>
    <fill>
      <patternFill patternType="solid">
        <fgColor rgb="FFFFCC99"/>
        <bgColor rgb="FF000000"/>
      </patternFill>
    </fill>
    <fill>
      <patternFill patternType="solid">
        <fgColor rgb="FFF1A983"/>
        <bgColor rgb="FF000000"/>
      </patternFill>
    </fill>
    <fill>
      <patternFill patternType="solid">
        <fgColor rgb="FFD9D9D9"/>
        <bgColor rgb="FF000000"/>
      </patternFill>
    </fill>
    <fill>
      <patternFill patternType="solid">
        <fgColor rgb="FFDAF2D0"/>
        <bgColor rgb="FF000000"/>
      </patternFill>
    </fill>
    <fill>
      <patternFill patternType="solid">
        <fgColor rgb="FFF2CEEF"/>
        <bgColor rgb="FF000000"/>
      </patternFill>
    </fill>
    <fill>
      <patternFill patternType="solid">
        <fgColor rgb="FFDAE9F8"/>
        <bgColor rgb="FF000000"/>
      </patternFill>
    </fill>
    <fill>
      <patternFill patternType="solid">
        <fgColor rgb="FFF59393"/>
        <bgColor rgb="FF000000"/>
      </patternFill>
    </fill>
    <fill>
      <patternFill patternType="solid">
        <fgColor rgb="FFCAEDFB"/>
        <bgColor rgb="FF000000"/>
      </patternFill>
    </fill>
    <fill>
      <patternFill patternType="solid">
        <fgColor rgb="FFFFFF00"/>
        <bgColor rgb="FF000000"/>
      </patternFill>
    </fill>
    <fill>
      <patternFill patternType="solid">
        <fgColor rgb="FF92D050"/>
        <bgColor rgb="FF000000"/>
      </patternFill>
    </fill>
    <fill>
      <patternFill patternType="solid">
        <fgColor rgb="FFFF0000"/>
        <bgColor rgb="FF000000"/>
      </patternFill>
    </fill>
    <fill>
      <patternFill patternType="solid">
        <fgColor rgb="FFFBE2D5"/>
        <bgColor rgb="FF000000"/>
      </patternFill>
    </fill>
    <fill>
      <patternFill patternType="solid">
        <fgColor theme="4" tint="0.39997558519241921"/>
        <bgColor indexed="64"/>
      </patternFill>
    </fill>
    <fill>
      <patternFill patternType="solid">
        <fgColor rgb="FFDAF2D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3" tint="0.499984740745262"/>
        <bgColor indexed="64"/>
      </patternFill>
    </fill>
    <fill>
      <patternFill patternType="solid">
        <fgColor theme="6" tint="0.79998168889431442"/>
        <bgColor indexed="64"/>
      </patternFill>
    </fill>
    <fill>
      <patternFill patternType="solid">
        <fgColor rgb="FFFFFFFF"/>
        <bgColor indexed="64"/>
      </patternFill>
    </fill>
    <fill>
      <patternFill patternType="solid">
        <fgColor rgb="FFE7E6E6"/>
        <bgColor indexed="64"/>
      </patternFill>
    </fill>
    <fill>
      <patternFill patternType="solid">
        <fgColor rgb="FFDDEBF7"/>
        <bgColor indexed="64"/>
      </patternFill>
    </fill>
    <fill>
      <patternFill patternType="solid">
        <fgColor rgb="FFEDF5FC"/>
        <bgColor indexed="64"/>
      </patternFill>
    </fill>
    <fill>
      <patternFill patternType="solid">
        <fgColor rgb="FFFCE4D6"/>
        <bgColor indexed="64"/>
      </patternFill>
    </fill>
    <fill>
      <patternFill patternType="solid">
        <fgColor rgb="FFFFF2CC"/>
        <bgColor indexed="64"/>
      </patternFill>
    </fill>
    <fill>
      <patternFill patternType="solid">
        <fgColor rgb="FFFFF8E5"/>
        <bgColor indexed="64"/>
      </patternFill>
    </fill>
    <fill>
      <patternFill patternType="solid">
        <fgColor rgb="FFFFE1FF"/>
        <bgColor indexed="64"/>
      </patternFill>
    </fill>
    <fill>
      <patternFill patternType="solid">
        <fgColor rgb="FFFFF7FF"/>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E6B8B7"/>
        <bgColor indexed="64"/>
      </patternFill>
    </fill>
    <fill>
      <patternFill patternType="solid">
        <fgColor rgb="FF58F650"/>
        <bgColor indexed="64"/>
      </patternFill>
    </fill>
    <fill>
      <patternFill patternType="solid">
        <fgColor rgb="FF61CBF3"/>
        <bgColor indexed="64"/>
      </patternFill>
    </fill>
    <fill>
      <patternFill patternType="solid">
        <fgColor theme="9" tint="-0.249977111117893"/>
        <bgColor indexed="64"/>
      </patternFill>
    </fill>
    <fill>
      <patternFill patternType="solid">
        <fgColor theme="0" tint="-0.249977111117893"/>
        <bgColor indexed="64"/>
      </patternFill>
    </fill>
    <fill>
      <patternFill patternType="solid">
        <fgColor rgb="FFFFF0E8"/>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A6A6A6"/>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bottom/>
      <diagonal/>
    </border>
    <border>
      <left/>
      <right style="thin">
        <color rgb="FF000000"/>
      </right>
      <top/>
      <bottom style="thin">
        <color indexed="64"/>
      </bottom>
      <diagonal/>
    </border>
    <border>
      <left style="thin">
        <color rgb="FF000000"/>
      </left>
      <right/>
      <top/>
      <bottom/>
      <diagonal/>
    </border>
    <border>
      <left/>
      <right style="thin">
        <color indexed="64"/>
      </right>
      <top/>
      <bottom/>
      <diagonal/>
    </border>
    <border>
      <left style="thin">
        <color indexed="64"/>
      </left>
      <right style="thin">
        <color indexed="64"/>
      </right>
      <top/>
      <bottom style="thin">
        <color rgb="FF000000"/>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right style="thin">
        <color rgb="FF000000"/>
      </right>
      <top style="thin">
        <color rgb="FF000000"/>
      </top>
      <bottom/>
      <diagonal/>
    </border>
    <border>
      <left style="thin">
        <color indexed="64"/>
      </left>
      <right/>
      <top/>
      <bottom style="thin">
        <color indexed="64"/>
      </bottom>
      <diagonal/>
    </border>
    <border>
      <left/>
      <right/>
      <top style="thin">
        <color rgb="FF000000"/>
      </top>
      <bottom/>
      <diagonal/>
    </border>
    <border>
      <left style="thin">
        <color rgb="FF000000"/>
      </left>
      <right/>
      <top/>
      <bottom style="thin">
        <color rgb="FF000000"/>
      </bottom>
      <diagonal/>
    </border>
    <border>
      <left/>
      <right style="thin">
        <color rgb="FF000000"/>
      </right>
      <top/>
      <bottom/>
      <diagonal/>
    </border>
    <border>
      <left style="thin">
        <color rgb="FFD0CECE"/>
      </left>
      <right/>
      <top style="thin">
        <color rgb="FFD0CECE"/>
      </top>
      <bottom style="thin">
        <color rgb="FFD0CECE"/>
      </bottom>
      <diagonal/>
    </border>
    <border>
      <left/>
      <right/>
      <top style="thin">
        <color rgb="FFD0CECE"/>
      </top>
      <bottom style="thin">
        <color rgb="FFD0CECE"/>
      </bottom>
      <diagonal/>
    </border>
    <border>
      <left/>
      <right style="thin">
        <color rgb="FFD0CECE"/>
      </right>
      <top style="thin">
        <color rgb="FFD0CECE"/>
      </top>
      <bottom style="thin">
        <color rgb="FFD0CECE"/>
      </bottom>
      <diagonal/>
    </border>
    <border>
      <left/>
      <right style="thin">
        <color rgb="FF0563C1"/>
      </right>
      <top/>
      <bottom style="thin">
        <color rgb="FF0563C1"/>
      </bottom>
      <diagonal/>
    </border>
    <border>
      <left/>
      <right/>
      <top/>
      <bottom style="thin">
        <color rgb="FF0563C1"/>
      </bottom>
      <diagonal/>
    </border>
    <border>
      <left/>
      <right style="thin">
        <color rgb="FF0563C1"/>
      </right>
      <top/>
      <bottom/>
      <diagonal/>
    </border>
    <border>
      <left style="thin">
        <color rgb="FFFF0000"/>
      </left>
      <right style="thin">
        <color rgb="FFFF0000"/>
      </right>
      <top/>
      <bottom style="thin">
        <color rgb="FFFF0000"/>
      </bottom>
      <diagonal/>
    </border>
    <border>
      <left/>
      <right style="thin">
        <color rgb="FFFF0000"/>
      </right>
      <top/>
      <bottom style="thin">
        <color rgb="FF000000"/>
      </bottom>
      <diagonal/>
    </border>
    <border>
      <left style="thin">
        <color rgb="FFD0CECE"/>
      </left>
      <right/>
      <top style="thin">
        <color rgb="FFD0CECE"/>
      </top>
      <bottom/>
      <diagonal/>
    </border>
  </borders>
  <cellStyleXfs count="3">
    <xf numFmtId="0" fontId="0" fillId="0" borderId="0"/>
    <xf numFmtId="166" fontId="18" fillId="0" borderId="0" applyFont="0" applyFill="0" applyBorder="0" applyAlignment="0" applyProtection="0"/>
    <xf numFmtId="0" fontId="3" fillId="0" borderId="0" applyNumberFormat="0" applyFill="0" applyBorder="0" applyAlignment="0" applyProtection="0"/>
  </cellStyleXfs>
  <cellXfs count="1247">
    <xf numFmtId="0" fontId="0" fillId="0" borderId="0" xfId="0"/>
    <xf numFmtId="0" fontId="0" fillId="0" borderId="0" xfId="0" applyAlignment="1">
      <alignment wrapText="1"/>
    </xf>
    <xf numFmtId="0" fontId="4" fillId="0" borderId="0" xfId="0" applyFont="1"/>
    <xf numFmtId="0" fontId="0" fillId="0" borderId="1" xfId="0" applyBorder="1"/>
    <xf numFmtId="0" fontId="5" fillId="0" borderId="1" xfId="0" applyFont="1" applyBorder="1"/>
    <xf numFmtId="0" fontId="5" fillId="0" borderId="0" xfId="0" applyFont="1"/>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0" xfId="0" applyFont="1" applyAlignment="1">
      <alignment horizontal="center" vertical="center"/>
    </xf>
    <xf numFmtId="0" fontId="5" fillId="5" borderId="1" xfId="0" applyFont="1" applyFill="1" applyBorder="1"/>
    <xf numFmtId="0" fontId="0" fillId="0" borderId="5" xfId="0" applyBorder="1"/>
    <xf numFmtId="0" fontId="0" fillId="0" borderId="6" xfId="0" applyBorder="1"/>
    <xf numFmtId="0" fontId="0" fillId="0" borderId="2" xfId="0" applyBorder="1"/>
    <xf numFmtId="0" fontId="0" fillId="0" borderId="7" xfId="0" applyBorder="1"/>
    <xf numFmtId="0" fontId="5" fillId="5" borderId="2" xfId="0" applyFont="1" applyFill="1" applyBorder="1"/>
    <xf numFmtId="0" fontId="0" fillId="0" borderId="1" xfId="0" applyBorder="1" applyAlignment="1">
      <alignment vertical="center"/>
    </xf>
    <xf numFmtId="0" fontId="2" fillId="0" borderId="0" xfId="0" applyFont="1" applyAlignment="1">
      <alignment horizontal="left" vertical="center" wrapText="1"/>
    </xf>
    <xf numFmtId="0" fontId="2" fillId="0" borderId="0" xfId="0" applyFont="1" applyAlignment="1">
      <alignment horizontal="center" vertical="center" wrapText="1"/>
    </xf>
    <xf numFmtId="0" fontId="7" fillId="0" borderId="1" xfId="0" applyFont="1" applyBorder="1" applyAlignment="1">
      <alignment horizontal="center" vertical="center" wrapText="1"/>
    </xf>
    <xf numFmtId="0" fontId="2" fillId="0" borderId="1" xfId="0" applyFont="1" applyBorder="1" applyAlignment="1">
      <alignment horizontal="right" vertical="center" wrapText="1"/>
    </xf>
    <xf numFmtId="0" fontId="5" fillId="5" borderId="1" xfId="0" applyFont="1" applyFill="1" applyBorder="1" applyAlignment="1">
      <alignment vertical="center"/>
    </xf>
    <xf numFmtId="0" fontId="5" fillId="6" borderId="1" xfId="0" applyFont="1" applyFill="1" applyBorder="1"/>
    <xf numFmtId="164" fontId="0" fillId="0" borderId="0" xfId="0" applyNumberFormat="1"/>
    <xf numFmtId="0" fontId="8" fillId="0" borderId="0" xfId="0" applyFont="1"/>
    <xf numFmtId="0" fontId="0" fillId="6" borderId="2" xfId="0" applyFill="1" applyBorder="1"/>
    <xf numFmtId="0" fontId="5" fillId="5" borderId="5" xfId="0" applyFont="1" applyFill="1" applyBorder="1" applyAlignment="1">
      <alignment vertical="center"/>
    </xf>
    <xf numFmtId="0" fontId="5" fillId="6" borderId="3" xfId="0" applyFont="1" applyFill="1" applyBorder="1"/>
    <xf numFmtId="167" fontId="0" fillId="0" borderId="1" xfId="0" applyNumberFormat="1" applyBorder="1"/>
    <xf numFmtId="0" fontId="5" fillId="0" borderId="8" xfId="0" applyFont="1" applyBorder="1" applyAlignment="1">
      <alignment vertical="center"/>
    </xf>
    <xf numFmtId="0" fontId="0" fillId="0" borderId="9" xfId="0" applyBorder="1" applyAlignment="1">
      <alignment wrapText="1"/>
    </xf>
    <xf numFmtId="0" fontId="0" fillId="3" borderId="9" xfId="0" applyFill="1" applyBorder="1" applyAlignment="1">
      <alignment wrapText="1"/>
    </xf>
    <xf numFmtId="0" fontId="0" fillId="0" borderId="0" xfId="0" applyAlignment="1">
      <alignment horizontal="center" vertical="center" wrapText="1"/>
    </xf>
    <xf numFmtId="0" fontId="0" fillId="9" borderId="9" xfId="0" applyFill="1" applyBorder="1" applyAlignment="1">
      <alignment wrapText="1"/>
    </xf>
    <xf numFmtId="0" fontId="19" fillId="0" borderId="0" xfId="0" applyFont="1" applyAlignment="1">
      <alignment vertical="center" wrapText="1"/>
    </xf>
    <xf numFmtId="0" fontId="19" fillId="12" borderId="0" xfId="0" applyFont="1" applyFill="1" applyAlignment="1">
      <alignment horizontal="center" vertical="center"/>
    </xf>
    <xf numFmtId="0" fontId="20" fillId="15"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20" fillId="16" borderId="5" xfId="0" applyFont="1" applyFill="1" applyBorder="1" applyAlignment="1">
      <alignment horizontal="center" vertical="center" wrapText="1"/>
    </xf>
    <xf numFmtId="0" fontId="20" fillId="16" borderId="10" xfId="0" applyFont="1" applyFill="1" applyBorder="1" applyAlignment="1">
      <alignment horizontal="center" vertical="center" wrapText="1"/>
    </xf>
    <xf numFmtId="0" fontId="20" fillId="17" borderId="10" xfId="0" applyFont="1" applyFill="1" applyBorder="1" applyAlignment="1">
      <alignment horizontal="center" vertical="center" wrapText="1"/>
    </xf>
    <xf numFmtId="0" fontId="20" fillId="15" borderId="10" xfId="0" applyFont="1" applyFill="1" applyBorder="1" applyAlignment="1">
      <alignment horizontal="center" vertical="center" wrapText="1"/>
    </xf>
    <xf numFmtId="0" fontId="20" fillId="2" borderId="10" xfId="0" applyFont="1" applyFill="1" applyBorder="1" applyAlignment="1">
      <alignment horizontal="center" vertical="center" wrapText="1"/>
    </xf>
    <xf numFmtId="16" fontId="20" fillId="2" borderId="10" xfId="0" applyNumberFormat="1" applyFont="1" applyFill="1" applyBorder="1" applyAlignment="1">
      <alignment horizontal="center" vertical="center" wrapText="1"/>
    </xf>
    <xf numFmtId="0" fontId="0" fillId="0" borderId="0" xfId="0" applyAlignment="1">
      <alignment horizontal="center" wrapText="1"/>
    </xf>
    <xf numFmtId="0" fontId="0" fillId="0" borderId="1" xfId="0" applyBorder="1" applyAlignment="1">
      <alignment wrapText="1"/>
    </xf>
    <xf numFmtId="0" fontId="0" fillId="0" borderId="4" xfId="0" applyBorder="1" applyAlignment="1">
      <alignment wrapText="1"/>
    </xf>
    <xf numFmtId="0" fontId="0" fillId="0" borderId="15" xfId="0" applyBorder="1" applyAlignment="1">
      <alignment wrapText="1"/>
    </xf>
    <xf numFmtId="0" fontId="0" fillId="0" borderId="9" xfId="0" applyBorder="1"/>
    <xf numFmtId="0" fontId="21" fillId="0" borderId="9" xfId="0" applyFont="1" applyBorder="1"/>
    <xf numFmtId="14" fontId="0" fillId="0" borderId="9" xfId="0" applyNumberFormat="1" applyBorder="1"/>
    <xf numFmtId="166" fontId="0" fillId="0" borderId="9" xfId="1" applyFont="1" applyBorder="1"/>
    <xf numFmtId="1" fontId="0" fillId="0" borderId="9" xfId="0" applyNumberFormat="1" applyBorder="1"/>
    <xf numFmtId="0" fontId="0" fillId="0" borderId="5" xfId="0" applyBorder="1" applyAlignment="1">
      <alignment wrapText="1"/>
    </xf>
    <xf numFmtId="0" fontId="21" fillId="0" borderId="9" xfId="0" applyFont="1" applyBorder="1" applyAlignment="1">
      <alignment wrapText="1"/>
    </xf>
    <xf numFmtId="0" fontId="0" fillId="3" borderId="1" xfId="0" applyFill="1" applyBorder="1" applyAlignment="1">
      <alignment wrapText="1"/>
    </xf>
    <xf numFmtId="0" fontId="21" fillId="3" borderId="9" xfId="0" applyFont="1" applyFill="1" applyBorder="1" applyAlignment="1">
      <alignment wrapText="1"/>
    </xf>
    <xf numFmtId="20" fontId="0" fillId="0" borderId="9" xfId="0" applyNumberFormat="1" applyBorder="1"/>
    <xf numFmtId="0" fontId="3" fillId="0" borderId="1" xfId="2" applyBorder="1" applyAlignment="1">
      <alignment wrapText="1"/>
    </xf>
    <xf numFmtId="0" fontId="0" fillId="0" borderId="10" xfId="0" applyBorder="1" applyAlignment="1">
      <alignment wrapText="1"/>
    </xf>
    <xf numFmtId="0" fontId="0" fillId="0" borderId="17" xfId="0" applyBorder="1" applyAlignment="1">
      <alignment wrapText="1"/>
    </xf>
    <xf numFmtId="0" fontId="0" fillId="0" borderId="18" xfId="0" applyBorder="1" applyAlignment="1">
      <alignment wrapText="1"/>
    </xf>
    <xf numFmtId="14" fontId="21" fillId="0" borderId="9" xfId="0" applyNumberFormat="1" applyFont="1" applyBorder="1" applyAlignment="1">
      <alignment wrapText="1"/>
    </xf>
    <xf numFmtId="20" fontId="21" fillId="0" borderId="9" xfId="0" applyNumberFormat="1" applyFont="1" applyBorder="1"/>
    <xf numFmtId="16" fontId="21" fillId="0" borderId="9" xfId="0" applyNumberFormat="1" applyFont="1" applyBorder="1" applyAlignment="1">
      <alignment wrapText="1"/>
    </xf>
    <xf numFmtId="14" fontId="21" fillId="3" borderId="9" xfId="0" applyNumberFormat="1" applyFont="1" applyFill="1" applyBorder="1" applyAlignment="1">
      <alignment wrapText="1"/>
    </xf>
    <xf numFmtId="15" fontId="21" fillId="0" borderId="9" xfId="0" applyNumberFormat="1" applyFont="1" applyBorder="1" applyAlignment="1">
      <alignment wrapText="1"/>
    </xf>
    <xf numFmtId="0" fontId="21" fillId="0" borderId="17" xfId="0" applyFont="1" applyBorder="1" applyAlignment="1">
      <alignment wrapText="1"/>
    </xf>
    <xf numFmtId="0" fontId="20" fillId="0" borderId="0" xfId="0" applyFont="1" applyAlignment="1">
      <alignment wrapText="1"/>
    </xf>
    <xf numFmtId="0" fontId="15" fillId="0" borderId="9" xfId="0" applyFont="1" applyBorder="1" applyAlignment="1">
      <alignment wrapText="1"/>
    </xf>
    <xf numFmtId="0" fontId="15" fillId="11" borderId="9" xfId="0" applyFont="1" applyFill="1" applyBorder="1" applyAlignment="1">
      <alignment wrapText="1"/>
    </xf>
    <xf numFmtId="0" fontId="14" fillId="11" borderId="9" xfId="0" applyFont="1" applyFill="1" applyBorder="1" applyAlignment="1">
      <alignment wrapText="1"/>
    </xf>
    <xf numFmtId="0" fontId="16" fillId="11" borderId="9" xfId="0" applyFont="1" applyFill="1" applyBorder="1" applyAlignment="1">
      <alignment wrapText="1"/>
    </xf>
    <xf numFmtId="0" fontId="14" fillId="11" borderId="9" xfId="0" applyFont="1" applyFill="1" applyBorder="1" applyAlignment="1">
      <alignment horizontal="center" vertical="center" wrapText="1"/>
    </xf>
    <xf numFmtId="0" fontId="14" fillId="0" borderId="9" xfId="0" applyFont="1" applyBorder="1" applyAlignment="1">
      <alignment wrapText="1"/>
    </xf>
    <xf numFmtId="0" fontId="14" fillId="0" borderId="9" xfId="0" applyFont="1" applyBorder="1" applyAlignment="1">
      <alignment horizontal="center" vertical="center" wrapText="1"/>
    </xf>
    <xf numFmtId="0" fontId="16" fillId="0" borderId="9" xfId="0" applyFont="1" applyBorder="1" applyAlignment="1">
      <alignment wrapText="1"/>
    </xf>
    <xf numFmtId="0" fontId="3" fillId="11" borderId="9" xfId="2" applyFill="1" applyBorder="1" applyAlignment="1">
      <alignment wrapText="1"/>
    </xf>
    <xf numFmtId="0" fontId="17" fillId="11" borderId="9" xfId="0" applyFont="1" applyFill="1" applyBorder="1" applyAlignment="1">
      <alignment wrapText="1"/>
    </xf>
    <xf numFmtId="0" fontId="17" fillId="0" borderId="9" xfId="0" applyFont="1" applyBorder="1" applyAlignment="1">
      <alignment wrapText="1"/>
    </xf>
    <xf numFmtId="0" fontId="11" fillId="10" borderId="9" xfId="0" applyFont="1" applyFill="1" applyBorder="1" applyAlignment="1">
      <alignment wrapText="1"/>
    </xf>
    <xf numFmtId="0" fontId="2" fillId="0" borderId="9" xfId="0" applyFont="1" applyBorder="1" applyAlignment="1">
      <alignment wrapText="1"/>
    </xf>
    <xf numFmtId="0" fontId="2" fillId="11" borderId="9" xfId="0" applyFont="1" applyFill="1" applyBorder="1" applyAlignment="1">
      <alignment wrapText="1"/>
    </xf>
    <xf numFmtId="0" fontId="13" fillId="11" borderId="9" xfId="0" applyFont="1" applyFill="1" applyBorder="1" applyAlignment="1">
      <alignment wrapText="1"/>
    </xf>
    <xf numFmtId="0" fontId="12" fillId="11" borderId="9" xfId="0" applyFont="1" applyFill="1" applyBorder="1" applyAlignment="1">
      <alignment wrapText="1"/>
    </xf>
    <xf numFmtId="0" fontId="13" fillId="0" borderId="9" xfId="0" applyFont="1" applyBorder="1" applyAlignment="1">
      <alignment wrapText="1"/>
    </xf>
    <xf numFmtId="0" fontId="24" fillId="11" borderId="9" xfId="0" applyFont="1" applyFill="1" applyBorder="1" applyAlignment="1">
      <alignment wrapText="1"/>
    </xf>
    <xf numFmtId="0" fontId="24" fillId="0" borderId="9" xfId="0" applyFont="1" applyBorder="1" applyAlignment="1">
      <alignment wrapText="1"/>
    </xf>
    <xf numFmtId="0" fontId="25" fillId="11" borderId="9" xfId="0" applyFont="1" applyFill="1" applyBorder="1" applyAlignment="1">
      <alignment wrapText="1"/>
    </xf>
    <xf numFmtId="0" fontId="25" fillId="0" borderId="9" xfId="0" applyFont="1" applyBorder="1" applyAlignment="1">
      <alignment wrapText="1"/>
    </xf>
    <xf numFmtId="0" fontId="31" fillId="0" borderId="0" xfId="0" applyFont="1" applyAlignment="1">
      <alignment wrapText="1"/>
    </xf>
    <xf numFmtId="0" fontId="30" fillId="0" borderId="0" xfId="0" applyFont="1" applyAlignment="1">
      <alignment wrapText="1"/>
    </xf>
    <xf numFmtId="0" fontId="30" fillId="25" borderId="6" xfId="0" applyFont="1" applyFill="1" applyBorder="1" applyAlignment="1">
      <alignment wrapText="1"/>
    </xf>
    <xf numFmtId="16" fontId="30" fillId="0" borderId="1" xfId="0" applyNumberFormat="1" applyFont="1" applyBorder="1" applyAlignment="1">
      <alignment wrapText="1"/>
    </xf>
    <xf numFmtId="0" fontId="30" fillId="0" borderId="7" xfId="0" applyFont="1" applyBorder="1" applyAlignment="1">
      <alignment wrapText="1"/>
    </xf>
    <xf numFmtId="0" fontId="39" fillId="0" borderId="0" xfId="0" applyFont="1" applyAlignment="1">
      <alignment wrapText="1"/>
    </xf>
    <xf numFmtId="0" fontId="40" fillId="0" borderId="0" xfId="0" applyFont="1"/>
    <xf numFmtId="0" fontId="39" fillId="0" borderId="11" xfId="0" applyFont="1" applyBorder="1" applyAlignment="1">
      <alignment wrapText="1"/>
    </xf>
    <xf numFmtId="0" fontId="39" fillId="0" borderId="13" xfId="0" applyFont="1" applyBorder="1" applyAlignment="1">
      <alignment wrapText="1"/>
    </xf>
    <xf numFmtId="0" fontId="30" fillId="0" borderId="13" xfId="0" applyFont="1" applyBorder="1" applyAlignment="1">
      <alignment wrapText="1"/>
    </xf>
    <xf numFmtId="16" fontId="30" fillId="0" borderId="11" xfId="0" applyNumberFormat="1" applyFont="1" applyBorder="1" applyAlignment="1">
      <alignment wrapText="1"/>
    </xf>
    <xf numFmtId="0" fontId="31" fillId="25" borderId="6" xfId="0" applyFont="1" applyFill="1" applyBorder="1" applyAlignment="1">
      <alignment wrapText="1"/>
    </xf>
    <xf numFmtId="0" fontId="31" fillId="25" borderId="7" xfId="0" applyFont="1" applyFill="1" applyBorder="1" applyAlignment="1">
      <alignment wrapText="1"/>
    </xf>
    <xf numFmtId="0" fontId="31" fillId="25" borderId="0" xfId="0" applyFont="1" applyFill="1" applyAlignment="1">
      <alignment wrapText="1"/>
    </xf>
    <xf numFmtId="0" fontId="30" fillId="25" borderId="8" xfId="0" applyFont="1" applyFill="1" applyBorder="1" applyAlignment="1">
      <alignment horizontal="center" vertical="center" wrapText="1"/>
    </xf>
    <xf numFmtId="0" fontId="30" fillId="25" borderId="23" xfId="0" applyFont="1" applyFill="1" applyBorder="1" applyAlignment="1">
      <alignment horizontal="center" vertical="center" wrapText="1"/>
    </xf>
    <xf numFmtId="0" fontId="30" fillId="25" borderId="0" xfId="0" applyFont="1" applyFill="1" applyAlignment="1">
      <alignment horizontal="center" vertical="center" wrapText="1"/>
    </xf>
    <xf numFmtId="0" fontId="31" fillId="25" borderId="23" xfId="0" applyFont="1" applyFill="1" applyBorder="1" applyAlignment="1">
      <alignment horizontal="center" vertical="center" wrapText="1"/>
    </xf>
    <xf numFmtId="16" fontId="31" fillId="0" borderId="9" xfId="0" applyNumberFormat="1" applyFont="1" applyBorder="1" applyAlignment="1">
      <alignment wrapText="1"/>
    </xf>
    <xf numFmtId="0" fontId="30" fillId="26" borderId="9" xfId="0" applyFont="1" applyFill="1" applyBorder="1" applyAlignment="1">
      <alignment wrapText="1"/>
    </xf>
    <xf numFmtId="0" fontId="30" fillId="0" borderId="9" xfId="0" applyFont="1" applyBorder="1" applyAlignment="1">
      <alignment wrapText="1"/>
    </xf>
    <xf numFmtId="0" fontId="31" fillId="0" borderId="9" xfId="0" applyFont="1" applyBorder="1" applyAlignment="1">
      <alignment wrapText="1"/>
    </xf>
    <xf numFmtId="0" fontId="31" fillId="30" borderId="9" xfId="0" applyFont="1" applyFill="1" applyBorder="1" applyAlignment="1">
      <alignment wrapText="1"/>
    </xf>
    <xf numFmtId="0" fontId="31" fillId="0" borderId="9" xfId="0" applyFont="1" applyBorder="1"/>
    <xf numFmtId="0" fontId="3" fillId="26" borderId="9" xfId="2" applyFill="1" applyBorder="1" applyAlignment="1">
      <alignment wrapText="1"/>
    </xf>
    <xf numFmtId="0" fontId="37" fillId="0" borderId="9" xfId="0" applyFont="1" applyBorder="1" applyAlignment="1">
      <alignment wrapText="1"/>
    </xf>
    <xf numFmtId="0" fontId="30" fillId="31" borderId="9" xfId="0" applyFont="1" applyFill="1" applyBorder="1" applyAlignment="1">
      <alignment wrapText="1"/>
    </xf>
    <xf numFmtId="0" fontId="36" fillId="33" borderId="9" xfId="0" applyFont="1" applyFill="1" applyBorder="1" applyAlignment="1">
      <alignment wrapText="1"/>
    </xf>
    <xf numFmtId="0" fontId="34" fillId="28" borderId="9" xfId="0" applyFont="1" applyFill="1" applyBorder="1" applyAlignment="1">
      <alignment horizontal="center" vertical="center" wrapText="1"/>
    </xf>
    <xf numFmtId="0" fontId="35" fillId="23" borderId="9" xfId="0" applyFont="1" applyFill="1" applyBorder="1" applyAlignment="1">
      <alignment horizontal="center" vertical="center" wrapText="1"/>
    </xf>
    <xf numFmtId="16" fontId="35" fillId="23" borderId="9" xfId="0" applyNumberFormat="1" applyFont="1" applyFill="1" applyBorder="1" applyAlignment="1">
      <alignment horizontal="center" vertical="center" wrapText="1"/>
    </xf>
    <xf numFmtId="0" fontId="35" fillId="24" borderId="9" xfId="0" applyFont="1" applyFill="1" applyBorder="1" applyAlignment="1">
      <alignment horizontal="center" vertical="center" wrapText="1"/>
    </xf>
    <xf numFmtId="0" fontId="30" fillId="25" borderId="6" xfId="0" applyFont="1" applyFill="1" applyBorder="1" applyAlignment="1">
      <alignment horizontal="center" vertical="center" wrapText="1"/>
    </xf>
    <xf numFmtId="0" fontId="30" fillId="25" borderId="7" xfId="0" applyFont="1" applyFill="1" applyBorder="1" applyAlignment="1">
      <alignment horizontal="center" vertical="center" wrapText="1"/>
    </xf>
    <xf numFmtId="0" fontId="31" fillId="25" borderId="0" xfId="0" applyFont="1" applyFill="1" applyAlignment="1">
      <alignment horizontal="center" vertical="center" wrapText="1"/>
    </xf>
    <xf numFmtId="0" fontId="32" fillId="26" borderId="6" xfId="0" applyFont="1" applyFill="1" applyBorder="1" applyAlignment="1">
      <alignment horizontal="center" vertical="center" wrapText="1"/>
    </xf>
    <xf numFmtId="0" fontId="32" fillId="26" borderId="7" xfId="0" applyFont="1" applyFill="1" applyBorder="1" applyAlignment="1">
      <alignment horizontal="center" vertical="center" wrapText="1"/>
    </xf>
    <xf numFmtId="0" fontId="33" fillId="27" borderId="7" xfId="0" applyFont="1" applyFill="1" applyBorder="1" applyAlignment="1">
      <alignment horizontal="center" vertical="center" wrapText="1"/>
    </xf>
    <xf numFmtId="0" fontId="34" fillId="28" borderId="7" xfId="0" applyFont="1" applyFill="1" applyBorder="1" applyAlignment="1">
      <alignment horizontal="center" vertical="center" wrapText="1"/>
    </xf>
    <xf numFmtId="0" fontId="35" fillId="23" borderId="7" xfId="0" applyFont="1" applyFill="1" applyBorder="1" applyAlignment="1">
      <alignment horizontal="center" vertical="center" wrapText="1"/>
    </xf>
    <xf numFmtId="16" fontId="35" fillId="23" borderId="7" xfId="0" applyNumberFormat="1" applyFont="1" applyFill="1" applyBorder="1" applyAlignment="1">
      <alignment horizontal="center" vertical="center" wrapText="1"/>
    </xf>
    <xf numFmtId="0" fontId="35" fillId="24" borderId="7" xfId="0" applyFont="1" applyFill="1" applyBorder="1" applyAlignment="1">
      <alignment horizontal="center" vertical="center" wrapText="1"/>
    </xf>
    <xf numFmtId="0" fontId="31" fillId="2" borderId="9" xfId="0" applyFont="1" applyFill="1" applyBorder="1" applyAlignment="1">
      <alignment wrapText="1"/>
    </xf>
    <xf numFmtId="49" fontId="21" fillId="0" borderId="9" xfId="0" applyNumberFormat="1" applyFont="1" applyBorder="1" applyAlignment="1">
      <alignment wrapText="1"/>
    </xf>
    <xf numFmtId="49" fontId="21" fillId="0" borderId="17" xfId="0" applyNumberFormat="1" applyFont="1" applyBorder="1" applyAlignment="1">
      <alignment wrapText="1"/>
    </xf>
    <xf numFmtId="0" fontId="11" fillId="35" borderId="9"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22" fillId="0" borderId="9" xfId="0" applyFont="1" applyBorder="1" applyAlignment="1">
      <alignment wrapText="1"/>
    </xf>
    <xf numFmtId="49" fontId="22" fillId="0" borderId="9" xfId="0" applyNumberFormat="1" applyFont="1" applyBorder="1" applyAlignment="1">
      <alignment wrapText="1"/>
    </xf>
    <xf numFmtId="0" fontId="0" fillId="0" borderId="14" xfId="0" applyBorder="1" applyAlignment="1">
      <alignment wrapText="1"/>
    </xf>
    <xf numFmtId="166" fontId="0" fillId="0" borderId="9" xfId="1" applyFont="1" applyFill="1" applyBorder="1"/>
    <xf numFmtId="16" fontId="22" fillId="0" borderId="9" xfId="0" applyNumberFormat="1" applyFont="1" applyBorder="1" applyAlignment="1">
      <alignment wrapText="1"/>
    </xf>
    <xf numFmtId="17" fontId="22" fillId="0" borderId="9" xfId="0" applyNumberFormat="1" applyFont="1" applyBorder="1" applyAlignment="1">
      <alignment wrapText="1"/>
    </xf>
    <xf numFmtId="0" fontId="20" fillId="0" borderId="9" xfId="0" applyFont="1" applyBorder="1" applyAlignment="1">
      <alignment wrapText="1"/>
    </xf>
    <xf numFmtId="0" fontId="0" fillId="0" borderId="17" xfId="0" applyBorder="1"/>
    <xf numFmtId="15" fontId="22" fillId="0" borderId="9" xfId="0" applyNumberFormat="1" applyFont="1" applyBorder="1" applyAlignment="1">
      <alignment wrapText="1"/>
    </xf>
    <xf numFmtId="20" fontId="22" fillId="0" borderId="9" xfId="0" applyNumberFormat="1" applyFont="1" applyBorder="1" applyAlignment="1">
      <alignment wrapText="1"/>
    </xf>
    <xf numFmtId="0" fontId="22" fillId="0" borderId="17" xfId="0" applyFont="1" applyBorder="1" applyAlignment="1">
      <alignment wrapText="1"/>
    </xf>
    <xf numFmtId="49" fontId="22" fillId="0" borderId="17" xfId="0" applyNumberFormat="1" applyFont="1" applyBorder="1" applyAlignment="1">
      <alignment wrapText="1"/>
    </xf>
    <xf numFmtId="0" fontId="20" fillId="0" borderId="17" xfId="0" applyFont="1" applyBorder="1" applyAlignment="1">
      <alignment wrapText="1"/>
    </xf>
    <xf numFmtId="16" fontId="0" fillId="0" borderId="9" xfId="0" applyNumberFormat="1" applyBorder="1"/>
    <xf numFmtId="0" fontId="0" fillId="0" borderId="9" xfId="0" applyBorder="1" applyAlignment="1">
      <alignment horizontal="center" vertical="center"/>
    </xf>
    <xf numFmtId="0" fontId="31" fillId="0" borderId="1" xfId="0" applyFont="1" applyBorder="1" applyAlignment="1">
      <alignment vertical="center" wrapText="1"/>
    </xf>
    <xf numFmtId="1" fontId="30" fillId="0" borderId="9" xfId="0" applyNumberFormat="1" applyFont="1" applyBorder="1" applyAlignment="1">
      <alignment wrapText="1"/>
    </xf>
    <xf numFmtId="49" fontId="31" fillId="0" borderId="9" xfId="0" applyNumberFormat="1" applyFont="1" applyBorder="1" applyAlignment="1">
      <alignment wrapText="1"/>
    </xf>
    <xf numFmtId="0" fontId="48" fillId="4" borderId="0" xfId="0" applyFont="1" applyFill="1" applyAlignment="1">
      <alignment horizontal="center" wrapText="1"/>
    </xf>
    <xf numFmtId="0" fontId="49" fillId="4" borderId="9" xfId="0" applyFont="1" applyFill="1" applyBorder="1" applyAlignment="1">
      <alignment wrapText="1"/>
    </xf>
    <xf numFmtId="49" fontId="49" fillId="4" borderId="9" xfId="0" applyNumberFormat="1" applyFont="1" applyFill="1" applyBorder="1" applyAlignment="1">
      <alignment wrapText="1"/>
    </xf>
    <xf numFmtId="14" fontId="49" fillId="4" borderId="9" xfId="0" applyNumberFormat="1" applyFont="1" applyFill="1" applyBorder="1" applyAlignment="1">
      <alignment wrapText="1"/>
    </xf>
    <xf numFmtId="0" fontId="50" fillId="4" borderId="9" xfId="0" applyFont="1" applyFill="1" applyBorder="1" applyAlignment="1">
      <alignment wrapText="1"/>
    </xf>
    <xf numFmtId="0" fontId="48" fillId="4" borderId="14" xfId="0" applyFont="1" applyFill="1" applyBorder="1" applyAlignment="1">
      <alignment wrapText="1"/>
    </xf>
    <xf numFmtId="0" fontId="48" fillId="4" borderId="9" xfId="0" applyFont="1" applyFill="1" applyBorder="1"/>
    <xf numFmtId="166" fontId="48" fillId="4" borderId="9" xfId="1" applyFont="1" applyFill="1" applyBorder="1"/>
    <xf numFmtId="1" fontId="48" fillId="4" borderId="9" xfId="0" applyNumberFormat="1" applyFont="1" applyFill="1" applyBorder="1"/>
    <xf numFmtId="0" fontId="51" fillId="4" borderId="0" xfId="0" applyFont="1" applyFill="1" applyAlignment="1">
      <alignment wrapText="1"/>
    </xf>
    <xf numFmtId="0" fontId="48" fillId="4" borderId="9" xfId="0" applyFont="1" applyFill="1" applyBorder="1" applyAlignment="1">
      <alignment wrapText="1"/>
    </xf>
    <xf numFmtId="0" fontId="48" fillId="4" borderId="0" xfId="0" applyFont="1" applyFill="1" applyAlignment="1">
      <alignment wrapText="1"/>
    </xf>
    <xf numFmtId="0" fontId="52" fillId="4" borderId="9" xfId="2" applyFont="1" applyFill="1" applyBorder="1" applyAlignment="1">
      <alignment wrapText="1"/>
    </xf>
    <xf numFmtId="49" fontId="50" fillId="4" borderId="9" xfId="0" quotePrefix="1" applyNumberFormat="1" applyFont="1" applyFill="1" applyBorder="1" applyAlignment="1">
      <alignment wrapText="1"/>
    </xf>
    <xf numFmtId="14" fontId="50" fillId="4" borderId="9" xfId="0" applyNumberFormat="1" applyFont="1" applyFill="1" applyBorder="1" applyAlignment="1">
      <alignment wrapText="1"/>
    </xf>
    <xf numFmtId="0" fontId="30" fillId="17" borderId="9" xfId="0" applyFont="1" applyFill="1" applyBorder="1" applyAlignment="1">
      <alignment wrapText="1"/>
    </xf>
    <xf numFmtId="0" fontId="30" fillId="8" borderId="9" xfId="0" applyFont="1" applyFill="1" applyBorder="1" applyAlignment="1">
      <alignment wrapText="1"/>
    </xf>
    <xf numFmtId="0" fontId="21" fillId="0" borderId="15" xfId="0" applyFont="1" applyBorder="1" applyAlignment="1">
      <alignment wrapText="1"/>
    </xf>
    <xf numFmtId="0" fontId="21" fillId="3" borderId="15" xfId="0" applyFont="1" applyFill="1" applyBorder="1" applyAlignment="1">
      <alignment wrapText="1"/>
    </xf>
    <xf numFmtId="0" fontId="0" fillId="3" borderId="15" xfId="0" applyFill="1" applyBorder="1" applyAlignment="1">
      <alignment wrapText="1"/>
    </xf>
    <xf numFmtId="0" fontId="50" fillId="4" borderId="15" xfId="0" applyFont="1" applyFill="1" applyBorder="1" applyAlignment="1">
      <alignment wrapText="1"/>
    </xf>
    <xf numFmtId="0" fontId="21" fillId="0" borderId="18" xfId="0" applyFont="1" applyBorder="1" applyAlignment="1">
      <alignment wrapText="1"/>
    </xf>
    <xf numFmtId="0" fontId="21" fillId="0" borderId="14" xfId="0" applyFont="1" applyBorder="1" applyAlignment="1">
      <alignment wrapText="1"/>
    </xf>
    <xf numFmtId="0" fontId="50" fillId="4" borderId="14" xfId="0" applyFont="1" applyFill="1" applyBorder="1" applyAlignment="1">
      <alignment wrapText="1"/>
    </xf>
    <xf numFmtId="0" fontId="14" fillId="2" borderId="9" xfId="0" applyFont="1" applyFill="1" applyBorder="1" applyAlignment="1">
      <alignment wrapText="1"/>
    </xf>
    <xf numFmtId="0" fontId="25" fillId="2" borderId="9" xfId="0" applyFont="1" applyFill="1" applyBorder="1" applyAlignment="1">
      <alignment wrapText="1"/>
    </xf>
    <xf numFmtId="0" fontId="15" fillId="2" borderId="9" xfId="0" applyFont="1" applyFill="1" applyBorder="1" applyAlignment="1">
      <alignment wrapText="1"/>
    </xf>
    <xf numFmtId="0" fontId="14" fillId="2" borderId="9" xfId="0" applyFont="1" applyFill="1" applyBorder="1" applyAlignment="1">
      <alignment horizontal="center" vertical="center" wrapText="1"/>
    </xf>
    <xf numFmtId="0" fontId="0" fillId="2" borderId="9" xfId="0" applyFill="1" applyBorder="1"/>
    <xf numFmtId="0" fontId="0" fillId="2" borderId="9" xfId="0" applyFill="1" applyBorder="1" applyAlignment="1">
      <alignment horizontal="center" vertical="center"/>
    </xf>
    <xf numFmtId="0" fontId="0" fillId="2" borderId="0" xfId="0" applyFill="1"/>
    <xf numFmtId="0" fontId="17" fillId="2" borderId="9" xfId="0" applyFont="1" applyFill="1" applyBorder="1" applyAlignment="1">
      <alignment wrapText="1"/>
    </xf>
    <xf numFmtId="0" fontId="14" fillId="11" borderId="27" xfId="0" applyFont="1" applyFill="1" applyBorder="1" applyAlignment="1">
      <alignment wrapText="1"/>
    </xf>
    <xf numFmtId="0" fontId="25" fillId="11" borderId="17" xfId="0" applyFont="1" applyFill="1" applyBorder="1" applyAlignment="1">
      <alignment wrapText="1"/>
    </xf>
    <xf numFmtId="0" fontId="8" fillId="0" borderId="17" xfId="0" applyFont="1" applyBorder="1" applyAlignment="1">
      <alignment wrapText="1"/>
    </xf>
    <xf numFmtId="0" fontId="14" fillId="11" borderId="17" xfId="0" applyFont="1" applyFill="1" applyBorder="1" applyAlignment="1">
      <alignment wrapText="1"/>
    </xf>
    <xf numFmtId="0" fontId="8" fillId="0" borderId="17" xfId="0" applyFont="1" applyBorder="1"/>
    <xf numFmtId="0" fontId="8" fillId="0" borderId="18" xfId="0" applyFont="1" applyBorder="1"/>
    <xf numFmtId="0" fontId="27" fillId="20" borderId="9" xfId="0" applyFont="1" applyFill="1" applyBorder="1" applyAlignment="1">
      <alignment horizontal="center" vertical="center" wrapText="1"/>
    </xf>
    <xf numFmtId="1" fontId="31" fillId="0" borderId="9" xfId="0" applyNumberFormat="1" applyFont="1" applyBorder="1" applyAlignment="1">
      <alignment wrapText="1"/>
    </xf>
    <xf numFmtId="0" fontId="47" fillId="0" borderId="9" xfId="0" applyFont="1" applyBorder="1" applyAlignment="1">
      <alignment wrapText="1"/>
    </xf>
    <xf numFmtId="0" fontId="40" fillId="0" borderId="0" xfId="0" applyFont="1" applyAlignment="1">
      <alignment wrapText="1"/>
    </xf>
    <xf numFmtId="0" fontId="47" fillId="32" borderId="9" xfId="0" applyFont="1" applyFill="1" applyBorder="1" applyAlignment="1">
      <alignment wrapText="1"/>
    </xf>
    <xf numFmtId="0" fontId="30" fillId="25" borderId="17" xfId="0" applyFont="1" applyFill="1" applyBorder="1" applyAlignment="1">
      <alignment horizontal="center" vertical="center" wrapText="1"/>
    </xf>
    <xf numFmtId="0" fontId="31" fillId="25" borderId="17" xfId="0" applyFont="1" applyFill="1" applyBorder="1" applyAlignment="1">
      <alignment horizontal="center" vertical="center" wrapText="1"/>
    </xf>
    <xf numFmtId="0" fontId="32" fillId="26" borderId="17" xfId="0" applyFont="1" applyFill="1" applyBorder="1" applyAlignment="1">
      <alignment horizontal="center" vertical="center" wrapText="1"/>
    </xf>
    <xf numFmtId="0" fontId="33" fillId="27" borderId="17" xfId="0" applyFont="1" applyFill="1" applyBorder="1" applyAlignment="1">
      <alignment horizontal="center" vertical="center" wrapText="1"/>
    </xf>
    <xf numFmtId="0" fontId="34" fillId="28" borderId="17" xfId="0" applyFont="1" applyFill="1" applyBorder="1" applyAlignment="1">
      <alignment horizontal="center" vertical="center" wrapText="1"/>
    </xf>
    <xf numFmtId="0" fontId="35" fillId="23" borderId="17" xfId="0" applyFont="1" applyFill="1" applyBorder="1" applyAlignment="1">
      <alignment horizontal="center" vertical="center" wrapText="1"/>
    </xf>
    <xf numFmtId="16" fontId="35" fillId="23" borderId="17" xfId="0" applyNumberFormat="1" applyFont="1" applyFill="1" applyBorder="1" applyAlignment="1">
      <alignment horizontal="center" vertical="center" wrapText="1"/>
    </xf>
    <xf numFmtId="0" fontId="35" fillId="24" borderId="17" xfId="0" applyFont="1" applyFill="1" applyBorder="1" applyAlignment="1">
      <alignment horizontal="center" vertical="center" wrapText="1"/>
    </xf>
    <xf numFmtId="0" fontId="31" fillId="0" borderId="7" xfId="0" applyFont="1" applyBorder="1" applyAlignment="1">
      <alignment vertical="center" wrapText="1"/>
    </xf>
    <xf numFmtId="0" fontId="44" fillId="0" borderId="1" xfId="0" applyFont="1" applyBorder="1" applyAlignment="1">
      <alignment vertical="center" wrapText="1"/>
    </xf>
    <xf numFmtId="0" fontId="0" fillId="0" borderId="0" xfId="0" applyAlignment="1">
      <alignment vertical="center" wrapText="1"/>
    </xf>
    <xf numFmtId="1" fontId="31" fillId="0" borderId="1" xfId="0" applyNumberFormat="1" applyFont="1" applyBorder="1" applyAlignment="1">
      <alignment vertical="center" wrapText="1"/>
    </xf>
    <xf numFmtId="0" fontId="0" fillId="0" borderId="16" xfId="0" applyBorder="1" applyAlignment="1">
      <alignment vertical="center" wrapText="1"/>
    </xf>
    <xf numFmtId="0" fontId="8" fillId="0" borderId="0" xfId="0" applyFont="1" applyAlignment="1">
      <alignment vertical="center" wrapText="1"/>
    </xf>
    <xf numFmtId="0" fontId="20" fillId="18" borderId="0" xfId="0" applyFont="1" applyFill="1" applyAlignment="1">
      <alignment wrapText="1"/>
    </xf>
    <xf numFmtId="0" fontId="31" fillId="0" borderId="0" xfId="0" applyFont="1"/>
    <xf numFmtId="168" fontId="31" fillId="0" borderId="9" xfId="0" applyNumberFormat="1" applyFont="1" applyBorder="1" applyAlignment="1">
      <alignment wrapText="1"/>
    </xf>
    <xf numFmtId="168" fontId="31" fillId="0" borderId="1" xfId="0" applyNumberFormat="1" applyFont="1" applyBorder="1" applyAlignment="1">
      <alignment vertical="center" wrapText="1"/>
    </xf>
    <xf numFmtId="166" fontId="21" fillId="0" borderId="9" xfId="1" applyFont="1" applyFill="1" applyBorder="1" applyAlignment="1">
      <alignment wrapText="1"/>
    </xf>
    <xf numFmtId="1" fontId="0" fillId="0" borderId="17" xfId="0" applyNumberFormat="1" applyBorder="1" applyAlignment="1">
      <alignment wrapText="1"/>
    </xf>
    <xf numFmtId="166" fontId="21" fillId="0" borderId="17" xfId="1" applyFont="1" applyFill="1" applyBorder="1" applyAlignment="1">
      <alignment wrapText="1"/>
    </xf>
    <xf numFmtId="0" fontId="31" fillId="0" borderId="15" xfId="0" applyFont="1" applyBorder="1" applyAlignment="1">
      <alignment wrapText="1"/>
    </xf>
    <xf numFmtId="0" fontId="31" fillId="0" borderId="12" xfId="0" applyFont="1" applyBorder="1" applyAlignment="1">
      <alignment wrapText="1"/>
    </xf>
    <xf numFmtId="0" fontId="31" fillId="0" borderId="17" xfId="0" applyFont="1" applyBorder="1" applyAlignment="1">
      <alignment wrapText="1"/>
    </xf>
    <xf numFmtId="0" fontId="31" fillId="0" borderId="11" xfId="0" applyFont="1" applyBorder="1" applyAlignment="1">
      <alignment wrapText="1"/>
    </xf>
    <xf numFmtId="0" fontId="31" fillId="0" borderId="9" xfId="0" applyFont="1" applyBorder="1" applyAlignment="1">
      <alignment vertical="center" wrapText="1"/>
    </xf>
    <xf numFmtId="0" fontId="31" fillId="0" borderId="23" xfId="0" applyFont="1" applyBorder="1" applyAlignment="1">
      <alignment vertical="center" wrapText="1"/>
    </xf>
    <xf numFmtId="0" fontId="47" fillId="0" borderId="0" xfId="0" applyFont="1"/>
    <xf numFmtId="0" fontId="8" fillId="0" borderId="0" xfId="0" applyFont="1" applyAlignment="1">
      <alignment wrapText="1"/>
    </xf>
    <xf numFmtId="0" fontId="30" fillId="0" borderId="0" xfId="0" applyFont="1" applyAlignment="1">
      <alignment vertical="center" wrapText="1"/>
    </xf>
    <xf numFmtId="0" fontId="39" fillId="0" borderId="0" xfId="0" applyFont="1" applyAlignment="1">
      <alignment vertical="center" wrapText="1"/>
    </xf>
    <xf numFmtId="0" fontId="2" fillId="0" borderId="0" xfId="0" applyFont="1" applyAlignment="1">
      <alignment horizontal="left" vertical="top" wrapText="1"/>
    </xf>
    <xf numFmtId="0" fontId="2" fillId="0" borderId="0" xfId="0" applyFont="1" applyAlignment="1">
      <alignment vertical="center" wrapText="1"/>
    </xf>
    <xf numFmtId="0" fontId="30" fillId="25" borderId="9" xfId="0" applyFont="1" applyFill="1" applyBorder="1" applyAlignment="1">
      <alignment horizontal="center" vertical="center" wrapText="1"/>
    </xf>
    <xf numFmtId="0" fontId="30" fillId="25" borderId="9" xfId="0" applyFont="1" applyFill="1" applyBorder="1" applyAlignment="1">
      <alignment vertical="center" wrapText="1"/>
    </xf>
    <xf numFmtId="0" fontId="31" fillId="25" borderId="9" xfId="0" applyFont="1" applyFill="1" applyBorder="1" applyAlignment="1">
      <alignment horizontal="center" vertical="center" wrapText="1"/>
    </xf>
    <xf numFmtId="0" fontId="32" fillId="26" borderId="9" xfId="0" applyFont="1" applyFill="1" applyBorder="1" applyAlignment="1">
      <alignment horizontal="center" vertical="center" wrapText="1"/>
    </xf>
    <xf numFmtId="0" fontId="33" fillId="27" borderId="9" xfId="0" applyFont="1" applyFill="1" applyBorder="1" applyAlignment="1">
      <alignment horizontal="center" vertical="center" wrapText="1"/>
    </xf>
    <xf numFmtId="16" fontId="36" fillId="21" borderId="9" xfId="0" applyNumberFormat="1" applyFont="1" applyFill="1" applyBorder="1" applyAlignment="1">
      <alignment wrapText="1"/>
    </xf>
    <xf numFmtId="0" fontId="36" fillId="0" borderId="9" xfId="0" applyFont="1" applyBorder="1" applyAlignment="1">
      <alignment wrapText="1"/>
    </xf>
    <xf numFmtId="16" fontId="36" fillId="0" borderId="9" xfId="0" applyNumberFormat="1" applyFont="1" applyBorder="1" applyAlignment="1">
      <alignment wrapText="1"/>
    </xf>
    <xf numFmtId="0" fontId="36" fillId="26" borderId="9" xfId="0" applyFont="1" applyFill="1" applyBorder="1" applyAlignment="1">
      <alignment vertical="center" wrapText="1"/>
    </xf>
    <xf numFmtId="0" fontId="36" fillId="17" borderId="9" xfId="0" applyFont="1" applyFill="1" applyBorder="1" applyAlignment="1">
      <alignment wrapText="1"/>
    </xf>
    <xf numFmtId="1" fontId="36" fillId="0" borderId="9" xfId="0" applyNumberFormat="1" applyFont="1" applyBorder="1" applyAlignment="1">
      <alignment wrapText="1"/>
    </xf>
    <xf numFmtId="0" fontId="36" fillId="29" borderId="9" xfId="0" applyFont="1" applyFill="1" applyBorder="1" applyAlignment="1">
      <alignment wrapText="1"/>
    </xf>
    <xf numFmtId="1" fontId="36" fillId="0" borderId="9" xfId="0" applyNumberFormat="1" applyFont="1" applyBorder="1" applyAlignment="1">
      <alignment horizontal="center" vertical="center" wrapText="1"/>
    </xf>
    <xf numFmtId="1" fontId="31" fillId="0" borderId="9" xfId="0" applyNumberFormat="1" applyFont="1" applyBorder="1" applyAlignment="1">
      <alignment horizontal="center" vertical="center" wrapText="1"/>
    </xf>
    <xf numFmtId="0" fontId="36" fillId="26" borderId="9" xfId="0" applyFont="1" applyFill="1" applyBorder="1" applyAlignment="1">
      <alignment wrapText="1"/>
    </xf>
    <xf numFmtId="16" fontId="36" fillId="32" borderId="9" xfId="0" applyNumberFormat="1" applyFont="1" applyFill="1" applyBorder="1" applyAlignment="1">
      <alignment wrapText="1"/>
    </xf>
    <xf numFmtId="0" fontId="38" fillId="0" borderId="9" xfId="0" applyFont="1" applyBorder="1" applyAlignment="1">
      <alignment wrapText="1"/>
    </xf>
    <xf numFmtId="0" fontId="38" fillId="26" borderId="9" xfId="0" applyFont="1" applyFill="1" applyBorder="1" applyAlignment="1">
      <alignment wrapText="1"/>
    </xf>
    <xf numFmtId="0" fontId="38" fillId="0" borderId="9" xfId="0" quotePrefix="1" applyFont="1" applyBorder="1" applyAlignment="1">
      <alignment wrapText="1"/>
    </xf>
    <xf numFmtId="0" fontId="31" fillId="0" borderId="9" xfId="0" quotePrefix="1" applyFont="1" applyBorder="1" applyAlignment="1">
      <alignment wrapText="1"/>
    </xf>
    <xf numFmtId="0" fontId="46" fillId="26" borderId="9" xfId="0" applyFont="1" applyFill="1" applyBorder="1" applyAlignment="1">
      <alignment vertical="center" wrapText="1"/>
    </xf>
    <xf numFmtId="0" fontId="46" fillId="17" borderId="9" xfId="0" applyFont="1" applyFill="1" applyBorder="1" applyAlignment="1">
      <alignment wrapText="1"/>
    </xf>
    <xf numFmtId="0" fontId="36" fillId="31" borderId="9" xfId="0" applyFont="1" applyFill="1" applyBorder="1" applyAlignment="1">
      <alignment wrapText="1"/>
    </xf>
    <xf numFmtId="0" fontId="3" fillId="33" borderId="9" xfId="2" applyFill="1" applyBorder="1" applyAlignment="1">
      <alignment wrapText="1"/>
    </xf>
    <xf numFmtId="0" fontId="36" fillId="0" borderId="9" xfId="0" quotePrefix="1" applyFont="1" applyBorder="1" applyAlignment="1">
      <alignment wrapText="1"/>
    </xf>
    <xf numFmtId="0" fontId="3" fillId="36" borderId="9" xfId="2" applyFill="1" applyBorder="1" applyAlignment="1">
      <alignment wrapText="1"/>
    </xf>
    <xf numFmtId="0" fontId="36" fillId="26" borderId="17" xfId="0" applyFont="1" applyFill="1" applyBorder="1" applyAlignment="1">
      <alignment vertical="center" wrapText="1"/>
    </xf>
    <xf numFmtId="0" fontId="30" fillId="9" borderId="0" xfId="0" applyFont="1" applyFill="1" applyAlignment="1">
      <alignment vertical="center" wrapText="1"/>
    </xf>
    <xf numFmtId="0" fontId="30" fillId="25" borderId="29" xfId="0" applyFont="1" applyFill="1" applyBorder="1" applyAlignment="1">
      <alignment wrapText="1"/>
    </xf>
    <xf numFmtId="0" fontId="31" fillId="25" borderId="29" xfId="0" applyFont="1" applyFill="1" applyBorder="1" applyAlignment="1">
      <alignment wrapText="1"/>
    </xf>
    <xf numFmtId="0" fontId="31" fillId="25" borderId="9" xfId="0" applyFont="1" applyFill="1" applyBorder="1" applyAlignment="1">
      <alignment wrapText="1"/>
    </xf>
    <xf numFmtId="0" fontId="30" fillId="25" borderId="17" xfId="0" applyFont="1" applyFill="1" applyBorder="1" applyAlignment="1">
      <alignment wrapText="1"/>
    </xf>
    <xf numFmtId="0" fontId="31" fillId="25" borderId="17" xfId="0" applyFont="1" applyFill="1" applyBorder="1" applyAlignment="1">
      <alignment wrapText="1"/>
    </xf>
    <xf numFmtId="0" fontId="31" fillId="9" borderId="0" xfId="0" applyFont="1" applyFill="1" applyAlignment="1">
      <alignment wrapText="1"/>
    </xf>
    <xf numFmtId="0" fontId="39" fillId="0" borderId="9" xfId="0" applyFont="1" applyBorder="1" applyAlignment="1">
      <alignment wrapText="1"/>
    </xf>
    <xf numFmtId="0" fontId="39" fillId="0" borderId="9" xfId="0" applyFont="1" applyBorder="1" applyAlignment="1">
      <alignment vertical="center" wrapText="1"/>
    </xf>
    <xf numFmtId="16" fontId="30" fillId="0" borderId="9" xfId="0" applyNumberFormat="1" applyFont="1" applyBorder="1" applyAlignment="1">
      <alignment wrapText="1"/>
    </xf>
    <xf numFmtId="0" fontId="30" fillId="0" borderId="12" xfId="0" applyFont="1" applyBorder="1" applyAlignment="1">
      <alignment wrapText="1"/>
    </xf>
    <xf numFmtId="0" fontId="3" fillId="0" borderId="9" xfId="2" applyFill="1" applyBorder="1" applyAlignment="1">
      <alignment wrapText="1"/>
    </xf>
    <xf numFmtId="0" fontId="31" fillId="37" borderId="0" xfId="0" applyFont="1" applyFill="1" applyAlignment="1">
      <alignment wrapText="1"/>
    </xf>
    <xf numFmtId="0" fontId="31" fillId="38" borderId="0" xfId="0" applyFont="1" applyFill="1" applyAlignment="1">
      <alignment wrapText="1"/>
    </xf>
    <xf numFmtId="1" fontId="36" fillId="0" borderId="17" xfId="0" applyNumberFormat="1" applyFont="1" applyBorder="1" applyAlignment="1">
      <alignment wrapText="1"/>
    </xf>
    <xf numFmtId="1" fontId="31" fillId="25" borderId="9" xfId="0" applyNumberFormat="1" applyFont="1" applyFill="1" applyBorder="1" applyAlignment="1">
      <alignment wrapText="1"/>
    </xf>
    <xf numFmtId="0" fontId="31" fillId="25" borderId="18" xfId="0" applyFont="1" applyFill="1" applyBorder="1" applyAlignment="1">
      <alignment horizontal="center" vertical="center" wrapText="1"/>
    </xf>
    <xf numFmtId="0" fontId="31" fillId="26" borderId="15" xfId="0" applyFont="1" applyFill="1" applyBorder="1" applyAlignment="1">
      <alignment wrapText="1"/>
    </xf>
    <xf numFmtId="0" fontId="36" fillId="33" borderId="15" xfId="0" applyFont="1" applyFill="1" applyBorder="1" applyAlignment="1">
      <alignment wrapText="1"/>
    </xf>
    <xf numFmtId="0" fontId="31" fillId="25" borderId="16" xfId="0" applyFont="1" applyFill="1" applyBorder="1" applyAlignment="1">
      <alignment wrapText="1"/>
    </xf>
    <xf numFmtId="0" fontId="31" fillId="25" borderId="27" xfId="0" applyFont="1" applyFill="1" applyBorder="1" applyAlignment="1">
      <alignment horizontal="center" vertical="center" wrapText="1"/>
    </xf>
    <xf numFmtId="49" fontId="31" fillId="0" borderId="9" xfId="0" applyNumberFormat="1" applyFont="1" applyBorder="1" applyAlignment="1">
      <alignment horizontal="center" vertical="center" wrapText="1"/>
    </xf>
    <xf numFmtId="0" fontId="31" fillId="25" borderId="9" xfId="0" applyFont="1" applyFill="1" applyBorder="1" applyAlignment="1">
      <alignment vertical="center" wrapText="1"/>
    </xf>
    <xf numFmtId="0" fontId="31" fillId="0" borderId="0" xfId="0" applyFont="1" applyAlignment="1">
      <alignment vertical="center" wrapText="1"/>
    </xf>
    <xf numFmtId="0" fontId="40" fillId="0" borderId="0" xfId="0" applyFont="1" applyAlignment="1">
      <alignment vertical="center" wrapText="1"/>
    </xf>
    <xf numFmtId="0" fontId="31" fillId="25" borderId="17" xfId="0" applyFont="1" applyFill="1" applyBorder="1" applyAlignment="1">
      <alignment vertical="center" wrapText="1"/>
    </xf>
    <xf numFmtId="0" fontId="3" fillId="2" borderId="9" xfId="2" applyFill="1" applyBorder="1"/>
    <xf numFmtId="0" fontId="3" fillId="2" borderId="9" xfId="2" applyFill="1" applyBorder="1" applyAlignment="1">
      <alignment wrapText="1"/>
    </xf>
    <xf numFmtId="0" fontId="3" fillId="0" borderId="9" xfId="2" applyBorder="1" applyAlignment="1">
      <alignment wrapText="1"/>
    </xf>
    <xf numFmtId="0" fontId="65" fillId="4" borderId="15" xfId="0" applyFont="1" applyFill="1" applyBorder="1" applyAlignment="1">
      <alignment wrapText="1"/>
    </xf>
    <xf numFmtId="0" fontId="65" fillId="4" borderId="9" xfId="0" applyFont="1" applyFill="1" applyBorder="1"/>
    <xf numFmtId="0" fontId="66" fillId="4" borderId="9" xfId="0" applyFont="1" applyFill="1" applyBorder="1"/>
    <xf numFmtId="0" fontId="0" fillId="9" borderId="0" xfId="0" applyFill="1" applyAlignment="1">
      <alignment horizontal="center" wrapText="1"/>
    </xf>
    <xf numFmtId="0" fontId="1" fillId="9" borderId="5" xfId="0" applyFont="1" applyFill="1" applyBorder="1"/>
    <xf numFmtId="49" fontId="1" fillId="9" borderId="5" xfId="0" applyNumberFormat="1" applyFont="1" applyFill="1" applyBorder="1"/>
    <xf numFmtId="0" fontId="1" fillId="9" borderId="5" xfId="0" applyFont="1" applyFill="1" applyBorder="1" applyAlignment="1">
      <alignment wrapText="1"/>
    </xf>
    <xf numFmtId="0" fontId="5" fillId="9" borderId="5" xfId="0" applyFont="1" applyFill="1" applyBorder="1" applyAlignment="1">
      <alignment wrapText="1"/>
    </xf>
    <xf numFmtId="0" fontId="0" fillId="9" borderId="17" xfId="0" applyFill="1" applyBorder="1"/>
    <xf numFmtId="0" fontId="60" fillId="9" borderId="5" xfId="0" applyFont="1" applyFill="1" applyBorder="1" applyAlignment="1">
      <alignment wrapText="1"/>
    </xf>
    <xf numFmtId="166" fontId="60" fillId="9" borderId="5" xfId="1" applyFont="1" applyFill="1" applyBorder="1" applyAlignment="1">
      <alignment wrapText="1"/>
    </xf>
    <xf numFmtId="1" fontId="0" fillId="9" borderId="5" xfId="0" applyNumberFormat="1" applyFill="1" applyBorder="1" applyAlignment="1">
      <alignment wrapText="1"/>
    </xf>
    <xf numFmtId="0" fontId="20" fillId="9" borderId="0" xfId="0" applyFont="1" applyFill="1" applyAlignment="1">
      <alignment wrapText="1"/>
    </xf>
    <xf numFmtId="49" fontId="1" fillId="9" borderId="5" xfId="0" applyNumberFormat="1" applyFont="1" applyFill="1" applyBorder="1" applyAlignment="1">
      <alignment wrapText="1"/>
    </xf>
    <xf numFmtId="0" fontId="20" fillId="9" borderId="5" xfId="0" applyFont="1" applyFill="1" applyBorder="1" applyAlignment="1">
      <alignment wrapText="1"/>
    </xf>
    <xf numFmtId="0" fontId="21" fillId="9" borderId="1" xfId="0" applyFont="1" applyFill="1" applyBorder="1" applyAlignment="1">
      <alignment wrapText="1"/>
    </xf>
    <xf numFmtId="166" fontId="21" fillId="9" borderId="1" xfId="1" applyFont="1" applyFill="1" applyBorder="1" applyAlignment="1">
      <alignment wrapText="1"/>
    </xf>
    <xf numFmtId="1" fontId="0" fillId="9" borderId="1" xfId="0" applyNumberFormat="1" applyFill="1" applyBorder="1" applyAlignment="1">
      <alignment wrapText="1"/>
    </xf>
    <xf numFmtId="0" fontId="1" fillId="9" borderId="1" xfId="0" applyFont="1" applyFill="1" applyBorder="1" applyAlignment="1">
      <alignment wrapText="1"/>
    </xf>
    <xf numFmtId="49" fontId="1" fillId="9" borderId="1" xfId="0" applyNumberFormat="1" applyFont="1" applyFill="1" applyBorder="1" applyAlignment="1">
      <alignment wrapText="1"/>
    </xf>
    <xf numFmtId="14" fontId="1" fillId="9" borderId="1" xfId="0" applyNumberFormat="1" applyFont="1" applyFill="1" applyBorder="1" applyAlignment="1">
      <alignment wrapText="1"/>
    </xf>
    <xf numFmtId="0" fontId="22" fillId="9" borderId="1" xfId="0" applyFont="1" applyFill="1" applyBorder="1" applyAlignment="1">
      <alignment wrapText="1"/>
    </xf>
    <xf numFmtId="0" fontId="20" fillId="9" borderId="1" xfId="0" applyFont="1" applyFill="1" applyBorder="1" applyAlignment="1">
      <alignment wrapText="1"/>
    </xf>
    <xf numFmtId="14" fontId="21" fillId="9" borderId="1" xfId="0" applyNumberFormat="1" applyFont="1" applyFill="1" applyBorder="1" applyAlignment="1">
      <alignment wrapText="1"/>
    </xf>
    <xf numFmtId="169" fontId="21" fillId="9" borderId="1" xfId="1" applyNumberFormat="1" applyFont="1" applyFill="1" applyBorder="1" applyAlignment="1">
      <alignment wrapText="1"/>
    </xf>
    <xf numFmtId="0" fontId="3" fillId="9" borderId="1" xfId="2" applyFill="1" applyBorder="1" applyAlignment="1">
      <alignment wrapText="1"/>
    </xf>
    <xf numFmtId="20" fontId="1" fillId="9" borderId="1" xfId="0" applyNumberFormat="1" applyFont="1" applyFill="1" applyBorder="1" applyAlignment="1">
      <alignment wrapText="1"/>
    </xf>
    <xf numFmtId="0" fontId="21" fillId="9" borderId="1" xfId="0" applyFont="1" applyFill="1" applyBorder="1"/>
    <xf numFmtId="14" fontId="0" fillId="9" borderId="0" xfId="0" applyNumberFormat="1" applyFill="1"/>
    <xf numFmtId="20" fontId="0" fillId="9" borderId="0" xfId="0" applyNumberFormat="1" applyFill="1"/>
    <xf numFmtId="0" fontId="0" fillId="9" borderId="0" xfId="0" applyFill="1"/>
    <xf numFmtId="20" fontId="21" fillId="9" borderId="1" xfId="0" applyNumberFormat="1" applyFont="1" applyFill="1" applyBorder="1" applyAlignment="1">
      <alignment wrapText="1"/>
    </xf>
    <xf numFmtId="0" fontId="1" fillId="9" borderId="6" xfId="0" applyFont="1" applyFill="1" applyBorder="1" applyAlignment="1">
      <alignment wrapText="1"/>
    </xf>
    <xf numFmtId="49" fontId="1" fillId="9" borderId="6" xfId="0" applyNumberFormat="1" applyFont="1" applyFill="1" applyBorder="1" applyAlignment="1">
      <alignment wrapText="1"/>
    </xf>
    <xf numFmtId="18" fontId="1" fillId="9" borderId="6" xfId="0" applyNumberFormat="1" applyFont="1" applyFill="1" applyBorder="1" applyAlignment="1">
      <alignment wrapText="1"/>
    </xf>
    <xf numFmtId="0" fontId="1" fillId="9" borderId="7" xfId="0" applyFont="1" applyFill="1" applyBorder="1" applyAlignment="1">
      <alignment wrapText="1"/>
    </xf>
    <xf numFmtId="0" fontId="20" fillId="9" borderId="7" xfId="0" applyFont="1" applyFill="1" applyBorder="1" applyAlignment="1">
      <alignment wrapText="1"/>
    </xf>
    <xf numFmtId="49" fontId="0" fillId="9" borderId="1" xfId="0" applyNumberFormat="1" applyFill="1" applyBorder="1" applyAlignment="1">
      <alignment wrapText="1"/>
    </xf>
    <xf numFmtId="0" fontId="0" fillId="9" borderId="1" xfId="0" applyFill="1" applyBorder="1" applyAlignment="1">
      <alignment wrapText="1"/>
    </xf>
    <xf numFmtId="0" fontId="22" fillId="9" borderId="6" xfId="0" applyFont="1" applyFill="1" applyBorder="1" applyAlignment="1">
      <alignment wrapText="1"/>
    </xf>
    <xf numFmtId="0" fontId="22" fillId="9" borderId="5" xfId="0" applyFont="1" applyFill="1" applyBorder="1" applyAlignment="1">
      <alignment wrapText="1"/>
    </xf>
    <xf numFmtId="0" fontId="21" fillId="9" borderId="5" xfId="0" applyFont="1" applyFill="1" applyBorder="1" applyAlignment="1">
      <alignment wrapText="1"/>
    </xf>
    <xf numFmtId="14" fontId="21" fillId="9" borderId="5" xfId="0" applyNumberFormat="1" applyFont="1" applyFill="1" applyBorder="1" applyAlignment="1">
      <alignment wrapText="1"/>
    </xf>
    <xf numFmtId="166" fontId="21" fillId="9" borderId="5" xfId="1" applyFont="1" applyFill="1" applyBorder="1" applyAlignment="1">
      <alignment wrapText="1"/>
    </xf>
    <xf numFmtId="0" fontId="31" fillId="38" borderId="9" xfId="0" applyFont="1" applyFill="1" applyBorder="1" applyAlignment="1">
      <alignment wrapText="1"/>
    </xf>
    <xf numFmtId="1" fontId="31" fillId="38" borderId="9" xfId="0" applyNumberFormat="1" applyFont="1" applyFill="1" applyBorder="1" applyAlignment="1">
      <alignment wrapText="1"/>
    </xf>
    <xf numFmtId="16" fontId="31" fillId="38" borderId="9" xfId="0" applyNumberFormat="1" applyFont="1" applyFill="1" applyBorder="1" applyAlignment="1">
      <alignment wrapText="1"/>
    </xf>
    <xf numFmtId="0" fontId="0" fillId="38" borderId="9" xfId="0" applyFill="1" applyBorder="1"/>
    <xf numFmtId="1" fontId="0" fillId="38" borderId="9" xfId="0" applyNumberFormat="1" applyFill="1" applyBorder="1" applyAlignment="1">
      <alignment wrapText="1"/>
    </xf>
    <xf numFmtId="1" fontId="44" fillId="38" borderId="9" xfId="0" applyNumberFormat="1" applyFont="1" applyFill="1" applyBorder="1" applyAlignment="1">
      <alignment wrapText="1"/>
    </xf>
    <xf numFmtId="0" fontId="44" fillId="38" borderId="9" xfId="0" applyFont="1" applyFill="1" applyBorder="1" applyAlignment="1">
      <alignment wrapText="1"/>
    </xf>
    <xf numFmtId="18" fontId="44" fillId="38" borderId="9" xfId="0" applyNumberFormat="1" applyFont="1" applyFill="1" applyBorder="1" applyAlignment="1">
      <alignment wrapText="1"/>
    </xf>
    <xf numFmtId="20" fontId="44" fillId="38" borderId="9" xfId="0" applyNumberFormat="1" applyFont="1" applyFill="1" applyBorder="1" applyAlignment="1">
      <alignment wrapText="1"/>
    </xf>
    <xf numFmtId="0" fontId="0" fillId="38" borderId="9" xfId="0" applyFill="1" applyBorder="1" applyAlignment="1">
      <alignment wrapText="1"/>
    </xf>
    <xf numFmtId="0" fontId="38" fillId="38" borderId="9" xfId="0" applyFont="1" applyFill="1" applyBorder="1" applyAlignment="1">
      <alignment wrapText="1"/>
    </xf>
    <xf numFmtId="20" fontId="31" fillId="38" borderId="9" xfId="0" applyNumberFormat="1" applyFont="1" applyFill="1" applyBorder="1" applyAlignment="1">
      <alignment wrapText="1"/>
    </xf>
    <xf numFmtId="0" fontId="3" fillId="38" borderId="9" xfId="2" applyFill="1" applyBorder="1" applyAlignment="1">
      <alignment wrapText="1"/>
    </xf>
    <xf numFmtId="0" fontId="47" fillId="38" borderId="9" xfId="0" applyFont="1" applyFill="1" applyBorder="1" applyAlignment="1">
      <alignment wrapText="1"/>
    </xf>
    <xf numFmtId="0" fontId="53" fillId="38" borderId="9" xfId="0" applyFont="1" applyFill="1" applyBorder="1" applyAlignment="1">
      <alignment wrapText="1"/>
    </xf>
    <xf numFmtId="0" fontId="31" fillId="38" borderId="15" xfId="0" applyFont="1" applyFill="1" applyBorder="1" applyAlignment="1">
      <alignment wrapText="1"/>
    </xf>
    <xf numFmtId="0" fontId="31" fillId="38" borderId="12" xfId="0" applyFont="1" applyFill="1" applyBorder="1" applyAlignment="1">
      <alignment wrapText="1"/>
    </xf>
    <xf numFmtId="16" fontId="55" fillId="38" borderId="9" xfId="0" applyNumberFormat="1" applyFont="1" applyFill="1" applyBorder="1"/>
    <xf numFmtId="0" fontId="47" fillId="38" borderId="0" xfId="0" applyFont="1" applyFill="1"/>
    <xf numFmtId="0" fontId="44" fillId="38" borderId="9" xfId="0" applyFont="1" applyFill="1" applyBorder="1"/>
    <xf numFmtId="16" fontId="31" fillId="38" borderId="1" xfId="0" applyNumberFormat="1" applyFont="1" applyFill="1" applyBorder="1" applyAlignment="1">
      <alignment wrapText="1"/>
    </xf>
    <xf numFmtId="1" fontId="44" fillId="38" borderId="9" xfId="0" applyNumberFormat="1" applyFont="1" applyFill="1" applyBorder="1"/>
    <xf numFmtId="16" fontId="44" fillId="38" borderId="9" xfId="0" applyNumberFormat="1" applyFont="1" applyFill="1" applyBorder="1"/>
    <xf numFmtId="0" fontId="31" fillId="38" borderId="9" xfId="0" applyFont="1" applyFill="1" applyBorder="1"/>
    <xf numFmtId="20" fontId="44" fillId="38" borderId="9" xfId="0" applyNumberFormat="1" applyFont="1" applyFill="1" applyBorder="1"/>
    <xf numFmtId="16" fontId="55" fillId="38" borderId="12" xfId="0" applyNumberFormat="1" applyFont="1" applyFill="1" applyBorder="1"/>
    <xf numFmtId="16" fontId="44" fillId="38" borderId="9" xfId="0" applyNumberFormat="1" applyFont="1" applyFill="1" applyBorder="1" applyAlignment="1">
      <alignment wrapText="1"/>
    </xf>
    <xf numFmtId="20" fontId="31" fillId="38" borderId="9" xfId="0" applyNumberFormat="1" applyFont="1" applyFill="1" applyBorder="1"/>
    <xf numFmtId="1" fontId="44" fillId="38" borderId="17" xfId="0" applyNumberFormat="1" applyFont="1" applyFill="1" applyBorder="1"/>
    <xf numFmtId="0" fontId="31" fillId="38" borderId="17" xfId="0" applyFont="1" applyFill="1" applyBorder="1"/>
    <xf numFmtId="0" fontId="31" fillId="38" borderId="17" xfId="0" applyFont="1" applyFill="1" applyBorder="1" applyAlignment="1">
      <alignment wrapText="1"/>
    </xf>
    <xf numFmtId="16" fontId="31" fillId="38" borderId="5" xfId="0" applyNumberFormat="1" applyFont="1" applyFill="1" applyBorder="1" applyAlignment="1">
      <alignment wrapText="1"/>
    </xf>
    <xf numFmtId="20" fontId="31" fillId="38" borderId="17" xfId="0" applyNumberFormat="1" applyFont="1" applyFill="1" applyBorder="1"/>
    <xf numFmtId="16" fontId="55" fillId="38" borderId="17" xfId="0" applyNumberFormat="1" applyFont="1" applyFill="1" applyBorder="1"/>
    <xf numFmtId="0" fontId="3" fillId="38" borderId="15" xfId="2" applyFill="1" applyBorder="1" applyAlignment="1">
      <alignment wrapText="1"/>
    </xf>
    <xf numFmtId="0" fontId="0" fillId="38" borderId="0" xfId="0" applyFill="1"/>
    <xf numFmtId="0" fontId="31" fillId="38" borderId="28" xfId="0" applyFont="1" applyFill="1" applyBorder="1" applyAlignment="1">
      <alignment vertical="center" wrapText="1"/>
    </xf>
    <xf numFmtId="0" fontId="31" fillId="38" borderId="9" xfId="0" applyFont="1" applyFill="1" applyBorder="1" applyAlignment="1">
      <alignment vertical="center" wrapText="1"/>
    </xf>
    <xf numFmtId="0" fontId="44" fillId="38" borderId="1" xfId="0" applyFont="1" applyFill="1" applyBorder="1" applyAlignment="1">
      <alignment vertical="center" wrapText="1"/>
    </xf>
    <xf numFmtId="0" fontId="31" fillId="38" borderId="6" xfId="0" applyFont="1" applyFill="1" applyBorder="1" applyAlignment="1">
      <alignment vertical="center" wrapText="1"/>
    </xf>
    <xf numFmtId="0" fontId="31" fillId="38" borderId="7" xfId="0" applyFont="1" applyFill="1" applyBorder="1" applyAlignment="1">
      <alignment vertical="center" wrapText="1"/>
    </xf>
    <xf numFmtId="0" fontId="0" fillId="38" borderId="0" xfId="0" applyFill="1" applyAlignment="1">
      <alignment wrapText="1"/>
    </xf>
    <xf numFmtId="1" fontId="44" fillId="38" borderId="1" xfId="0" applyNumberFormat="1" applyFont="1" applyFill="1" applyBorder="1" applyAlignment="1">
      <alignment vertical="center" wrapText="1"/>
    </xf>
    <xf numFmtId="0" fontId="47" fillId="38" borderId="6" xfId="0" applyFont="1" applyFill="1" applyBorder="1" applyAlignment="1">
      <alignment vertical="center" wrapText="1"/>
    </xf>
    <xf numFmtId="0" fontId="47" fillId="38" borderId="7" xfId="0" applyFont="1" applyFill="1" applyBorder="1" applyAlignment="1">
      <alignment vertical="center" wrapText="1"/>
    </xf>
    <xf numFmtId="1" fontId="0" fillId="38" borderId="0" xfId="0" applyNumberFormat="1" applyFill="1" applyAlignment="1">
      <alignment wrapText="1"/>
    </xf>
    <xf numFmtId="16" fontId="36" fillId="7" borderId="9" xfId="0" applyNumberFormat="1" applyFont="1" applyFill="1" applyBorder="1" applyAlignment="1">
      <alignment wrapText="1"/>
    </xf>
    <xf numFmtId="0" fontId="3" fillId="38" borderId="9" xfId="2" applyFill="1" applyBorder="1"/>
    <xf numFmtId="20" fontId="47" fillId="38" borderId="0" xfId="0" applyNumberFormat="1" applyFont="1" applyFill="1"/>
    <xf numFmtId="0" fontId="53" fillId="38" borderId="9" xfId="0" applyFont="1" applyFill="1" applyBorder="1"/>
    <xf numFmtId="0" fontId="47" fillId="38" borderId="9" xfId="0" applyFont="1" applyFill="1" applyBorder="1"/>
    <xf numFmtId="16" fontId="47" fillId="38" borderId="9" xfId="0" applyNumberFormat="1" applyFont="1" applyFill="1" applyBorder="1"/>
    <xf numFmtId="20" fontId="47" fillId="38" borderId="9" xfId="0" applyNumberFormat="1" applyFont="1" applyFill="1" applyBorder="1"/>
    <xf numFmtId="0" fontId="53" fillId="38" borderId="0" xfId="0" applyFont="1" applyFill="1" applyAlignment="1">
      <alignment wrapText="1"/>
    </xf>
    <xf numFmtId="16" fontId="31" fillId="38" borderId="6" xfId="0" applyNumberFormat="1" applyFont="1" applyFill="1" applyBorder="1" applyAlignment="1">
      <alignment wrapText="1"/>
    </xf>
    <xf numFmtId="16" fontId="39" fillId="0" borderId="9" xfId="0" applyNumberFormat="1" applyFont="1" applyBorder="1" applyAlignment="1">
      <alignment wrapText="1"/>
    </xf>
    <xf numFmtId="0" fontId="30" fillId="0" borderId="0" xfId="0" applyFont="1" applyAlignment="1">
      <alignment horizontal="left" vertical="center" wrapText="1"/>
    </xf>
    <xf numFmtId="0" fontId="30" fillId="0" borderId="0" xfId="0" applyFont="1" applyAlignment="1">
      <alignment horizontal="center" vertical="center" wrapText="1"/>
    </xf>
    <xf numFmtId="16" fontId="30" fillId="0" borderId="4" xfId="0" applyNumberFormat="1" applyFont="1" applyBorder="1" applyAlignment="1">
      <alignment wrapText="1"/>
    </xf>
    <xf numFmtId="16" fontId="30" fillId="0" borderId="28" xfId="0" applyNumberFormat="1" applyFont="1" applyBorder="1" applyAlignment="1">
      <alignment wrapText="1"/>
    </xf>
    <xf numFmtId="0" fontId="40" fillId="0" borderId="9" xfId="0" applyFont="1" applyBorder="1" applyAlignment="1">
      <alignment wrapText="1"/>
    </xf>
    <xf numFmtId="49" fontId="31" fillId="25" borderId="7" xfId="0" applyNumberFormat="1" applyFont="1" applyFill="1" applyBorder="1" applyAlignment="1">
      <alignment wrapText="1"/>
    </xf>
    <xf numFmtId="0" fontId="39" fillId="0" borderId="19" xfId="0" applyFont="1" applyBorder="1" applyAlignment="1">
      <alignment wrapText="1"/>
    </xf>
    <xf numFmtId="0" fontId="8" fillId="0" borderId="9" xfId="0" applyFont="1" applyBorder="1" applyAlignment="1">
      <alignment wrapText="1"/>
    </xf>
    <xf numFmtId="16" fontId="39" fillId="0" borderId="17" xfId="0" applyNumberFormat="1" applyFont="1" applyBorder="1" applyAlignment="1">
      <alignment wrapText="1"/>
    </xf>
    <xf numFmtId="0" fontId="22" fillId="9" borderId="9" xfId="0" applyFont="1" applyFill="1" applyBorder="1" applyAlignment="1">
      <alignment wrapText="1"/>
    </xf>
    <xf numFmtId="0" fontId="20" fillId="9" borderId="9" xfId="0" applyFont="1" applyFill="1" applyBorder="1" applyAlignment="1">
      <alignment wrapText="1"/>
    </xf>
    <xf numFmtId="0" fontId="0" fillId="9" borderId="9" xfId="0" applyFill="1" applyBorder="1"/>
    <xf numFmtId="0" fontId="21" fillId="9" borderId="9" xfId="0" applyFont="1" applyFill="1" applyBorder="1" applyAlignment="1">
      <alignment wrapText="1"/>
    </xf>
    <xf numFmtId="0" fontId="20" fillId="15" borderId="0" xfId="0" applyFont="1" applyFill="1" applyAlignment="1">
      <alignment wrapText="1"/>
    </xf>
    <xf numFmtId="0" fontId="0" fillId="15" borderId="9" xfId="0" applyFill="1" applyBorder="1" applyAlignment="1">
      <alignment wrapText="1"/>
    </xf>
    <xf numFmtId="0" fontId="0" fillId="15" borderId="0" xfId="0" applyFill="1" applyAlignment="1">
      <alignment wrapText="1"/>
    </xf>
    <xf numFmtId="0" fontId="67" fillId="9" borderId="9" xfId="0" applyFont="1" applyFill="1" applyBorder="1" applyAlignment="1">
      <alignment wrapText="1"/>
    </xf>
    <xf numFmtId="0" fontId="68" fillId="9" borderId="9" xfId="0" applyFont="1" applyFill="1" applyBorder="1" applyAlignment="1">
      <alignment wrapText="1"/>
    </xf>
    <xf numFmtId="0" fontId="69" fillId="9" borderId="9" xfId="0" applyFont="1" applyFill="1" applyBorder="1" applyAlignment="1">
      <alignment wrapText="1"/>
    </xf>
    <xf numFmtId="166" fontId="69" fillId="9" borderId="9" xfId="1" applyFont="1" applyFill="1" applyBorder="1" applyAlignment="1">
      <alignment wrapText="1"/>
    </xf>
    <xf numFmtId="1" fontId="1" fillId="9" borderId="9" xfId="0" applyNumberFormat="1" applyFont="1" applyFill="1" applyBorder="1" applyAlignment="1">
      <alignment wrapText="1"/>
    </xf>
    <xf numFmtId="0" fontId="20" fillId="9" borderId="9" xfId="0" applyFont="1" applyFill="1" applyBorder="1"/>
    <xf numFmtId="166" fontId="20" fillId="9" borderId="9" xfId="0" applyNumberFormat="1" applyFont="1" applyFill="1" applyBorder="1"/>
    <xf numFmtId="1" fontId="20" fillId="9" borderId="9" xfId="0" applyNumberFormat="1" applyFont="1" applyFill="1" applyBorder="1"/>
    <xf numFmtId="0" fontId="0" fillId="9" borderId="0" xfId="0" applyFill="1" applyAlignment="1">
      <alignment wrapText="1"/>
    </xf>
    <xf numFmtId="0" fontId="39" fillId="0" borderId="0" xfId="0" applyFont="1"/>
    <xf numFmtId="16" fontId="39" fillId="0" borderId="17" xfId="0" applyNumberFormat="1" applyFont="1" applyBorder="1" applyAlignment="1">
      <alignment horizontal="center" vertical="center" wrapText="1"/>
    </xf>
    <xf numFmtId="16" fontId="39" fillId="0" borderId="0" xfId="0" applyNumberFormat="1" applyFont="1" applyAlignment="1">
      <alignment horizontal="center" vertical="center" wrapText="1"/>
    </xf>
    <xf numFmtId="0" fontId="30" fillId="0" borderId="22" xfId="0" applyFont="1" applyBorder="1" applyAlignment="1">
      <alignment vertical="center" wrapText="1"/>
    </xf>
    <xf numFmtId="0" fontId="2" fillId="0" borderId="9" xfId="0" applyFont="1" applyBorder="1" applyAlignment="1">
      <alignment horizontal="left" vertical="top" wrapText="1"/>
    </xf>
    <xf numFmtId="0" fontId="7" fillId="0" borderId="17" xfId="0" applyFont="1" applyBorder="1" applyAlignment="1">
      <alignment horizontal="left" vertical="top" wrapText="1"/>
    </xf>
    <xf numFmtId="0" fontId="30" fillId="0" borderId="17" xfId="0" applyFont="1" applyBorder="1" applyAlignment="1">
      <alignment wrapText="1"/>
    </xf>
    <xf numFmtId="0" fontId="39" fillId="0" borderId="30" xfId="0" applyFont="1" applyBorder="1" applyAlignment="1">
      <alignment wrapText="1"/>
    </xf>
    <xf numFmtId="0" fontId="8" fillId="0" borderId="9"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9" xfId="0" applyFont="1" applyBorder="1" applyAlignment="1">
      <alignment horizontal="center" vertical="center" wrapText="1"/>
    </xf>
    <xf numFmtId="16" fontId="36" fillId="17" borderId="9" xfId="0" applyNumberFormat="1" applyFont="1" applyFill="1" applyBorder="1" applyAlignment="1">
      <alignment wrapText="1"/>
    </xf>
    <xf numFmtId="16" fontId="3" fillId="0" borderId="9" xfId="2" applyNumberFormat="1" applyBorder="1" applyAlignment="1">
      <alignment wrapText="1"/>
    </xf>
    <xf numFmtId="0" fontId="36" fillId="2" borderId="9" xfId="0" applyFont="1" applyFill="1" applyBorder="1" applyAlignment="1">
      <alignment horizontal="center" wrapText="1"/>
    </xf>
    <xf numFmtId="16" fontId="3" fillId="2" borderId="9" xfId="2" applyNumberFormat="1" applyFill="1" applyBorder="1" applyAlignment="1">
      <alignment wrapText="1"/>
    </xf>
    <xf numFmtId="16" fontId="23" fillId="0" borderId="9" xfId="0" applyNumberFormat="1" applyFont="1" applyBorder="1" applyAlignment="1">
      <alignment wrapText="1"/>
    </xf>
    <xf numFmtId="16" fontId="53" fillId="0" borderId="9" xfId="0" applyNumberFormat="1" applyFont="1" applyBorder="1" applyAlignment="1">
      <alignment wrapText="1"/>
    </xf>
    <xf numFmtId="0" fontId="31" fillId="8" borderId="9" xfId="0" applyFont="1" applyFill="1" applyBorder="1" applyAlignment="1">
      <alignment wrapText="1"/>
    </xf>
    <xf numFmtId="0" fontId="20" fillId="9" borderId="12" xfId="0" applyFont="1" applyFill="1" applyBorder="1" applyAlignment="1">
      <alignment wrapText="1"/>
    </xf>
    <xf numFmtId="0" fontId="0" fillId="9" borderId="12" xfId="0" applyFill="1" applyBorder="1" applyAlignment="1">
      <alignment wrapText="1"/>
    </xf>
    <xf numFmtId="0" fontId="22" fillId="9" borderId="17" xfId="0" applyFont="1" applyFill="1" applyBorder="1" applyAlignment="1">
      <alignment wrapText="1"/>
    </xf>
    <xf numFmtId="0" fontId="7" fillId="0" borderId="9" xfId="0" applyFont="1" applyBorder="1" applyAlignment="1">
      <alignment horizontal="left" vertical="top" wrapText="1"/>
    </xf>
    <xf numFmtId="0" fontId="31" fillId="38" borderId="0" xfId="0" applyFont="1" applyFill="1"/>
    <xf numFmtId="16" fontId="31" fillId="38" borderId="9" xfId="0" applyNumberFormat="1" applyFont="1" applyFill="1" applyBorder="1"/>
    <xf numFmtId="0" fontId="53" fillId="38" borderId="0" xfId="0" applyFont="1" applyFill="1"/>
    <xf numFmtId="1" fontId="31" fillId="38" borderId="0" xfId="0" applyNumberFormat="1" applyFont="1" applyFill="1"/>
    <xf numFmtId="16" fontId="31" fillId="38" borderId="0" xfId="0" applyNumberFormat="1" applyFont="1" applyFill="1"/>
    <xf numFmtId="0" fontId="55" fillId="38" borderId="1" xfId="0" applyFont="1" applyFill="1" applyBorder="1" applyAlignment="1">
      <alignment vertical="center" wrapText="1"/>
    </xf>
    <xf numFmtId="0" fontId="31" fillId="38" borderId="4" xfId="0" applyFont="1" applyFill="1" applyBorder="1" applyAlignment="1">
      <alignment vertical="center" wrapText="1"/>
    </xf>
    <xf numFmtId="0" fontId="0" fillId="38" borderId="17" xfId="0" applyFill="1" applyBorder="1" applyAlignment="1">
      <alignment wrapText="1"/>
    </xf>
    <xf numFmtId="0" fontId="31" fillId="38" borderId="17" xfId="0" applyFont="1" applyFill="1" applyBorder="1" applyAlignment="1">
      <alignment vertical="center" wrapText="1"/>
    </xf>
    <xf numFmtId="0" fontId="44" fillId="38" borderId="9" xfId="0" applyFont="1" applyFill="1" applyBorder="1" applyAlignment="1">
      <alignment vertical="center" wrapText="1"/>
    </xf>
    <xf numFmtId="20" fontId="44" fillId="38" borderId="9" xfId="0" applyNumberFormat="1" applyFont="1" applyFill="1" applyBorder="1" applyAlignment="1">
      <alignment vertical="center" wrapText="1"/>
    </xf>
    <xf numFmtId="0" fontId="31" fillId="9" borderId="9" xfId="0" applyFont="1" applyFill="1" applyBorder="1" applyAlignment="1">
      <alignment wrapText="1"/>
    </xf>
    <xf numFmtId="0" fontId="31" fillId="39" borderId="9" xfId="0" applyFont="1" applyFill="1" applyBorder="1" applyAlignment="1">
      <alignment wrapText="1"/>
    </xf>
    <xf numFmtId="0" fontId="40" fillId="9" borderId="9" xfId="0" applyFont="1" applyFill="1" applyBorder="1" applyAlignment="1">
      <alignment wrapText="1"/>
    </xf>
    <xf numFmtId="0" fontId="47" fillId="0" borderId="7" xfId="0" applyFont="1" applyBorder="1" applyAlignment="1">
      <alignment vertical="center" wrapText="1"/>
    </xf>
    <xf numFmtId="0" fontId="31" fillId="4" borderId="9" xfId="0" applyFont="1" applyFill="1" applyBorder="1" applyAlignment="1">
      <alignment wrapText="1"/>
    </xf>
    <xf numFmtId="1" fontId="31" fillId="4" borderId="9" xfId="0" applyNumberFormat="1" applyFont="1" applyFill="1" applyBorder="1" applyAlignment="1">
      <alignment wrapText="1"/>
    </xf>
    <xf numFmtId="168" fontId="31" fillId="4" borderId="9" xfId="0" applyNumberFormat="1" applyFont="1" applyFill="1" applyBorder="1" applyAlignment="1">
      <alignment wrapText="1"/>
    </xf>
    <xf numFmtId="1" fontId="44" fillId="38" borderId="17" xfId="0" applyNumberFormat="1" applyFont="1" applyFill="1" applyBorder="1" applyAlignment="1">
      <alignment wrapText="1"/>
    </xf>
    <xf numFmtId="20" fontId="31" fillId="38" borderId="17" xfId="0" applyNumberFormat="1" applyFont="1" applyFill="1" applyBorder="1" applyAlignment="1">
      <alignment wrapText="1"/>
    </xf>
    <xf numFmtId="1" fontId="44" fillId="0" borderId="11" xfId="0" applyNumberFormat="1" applyFont="1" applyBorder="1" applyAlignment="1">
      <alignment wrapText="1"/>
    </xf>
    <xf numFmtId="0" fontId="44" fillId="0" borderId="11" xfId="0" applyFont="1" applyBorder="1" applyAlignment="1">
      <alignment wrapText="1"/>
    </xf>
    <xf numFmtId="0" fontId="31" fillId="40" borderId="9" xfId="0" applyFont="1" applyFill="1" applyBorder="1" applyAlignment="1">
      <alignment wrapText="1"/>
    </xf>
    <xf numFmtId="0" fontId="3" fillId="40" borderId="9" xfId="2" applyFill="1" applyBorder="1" applyAlignment="1">
      <alignment wrapText="1"/>
    </xf>
    <xf numFmtId="0" fontId="3" fillId="40" borderId="9" xfId="2" applyFill="1" applyBorder="1"/>
    <xf numFmtId="0" fontId="36" fillId="41" borderId="9" xfId="0" applyFont="1" applyFill="1" applyBorder="1" applyAlignment="1">
      <alignment wrapText="1"/>
    </xf>
    <xf numFmtId="0" fontId="31" fillId="41" borderId="9" xfId="0" applyFont="1" applyFill="1" applyBorder="1" applyAlignment="1">
      <alignment wrapText="1"/>
    </xf>
    <xf numFmtId="0" fontId="53" fillId="41" borderId="9" xfId="0" applyFont="1" applyFill="1" applyBorder="1"/>
    <xf numFmtId="0" fontId="3" fillId="41" borderId="9" xfId="2" applyFill="1" applyBorder="1" applyAlignment="1">
      <alignment wrapText="1"/>
    </xf>
    <xf numFmtId="0" fontId="31" fillId="41" borderId="6" xfId="0" applyFont="1" applyFill="1" applyBorder="1" applyAlignment="1">
      <alignment vertical="center" wrapText="1"/>
    </xf>
    <xf numFmtId="0" fontId="31" fillId="41" borderId="7" xfId="0" applyFont="1" applyFill="1" applyBorder="1" applyAlignment="1">
      <alignment vertical="center" wrapText="1"/>
    </xf>
    <xf numFmtId="0" fontId="31" fillId="41" borderId="23" xfId="0" applyFont="1" applyFill="1" applyBorder="1" applyAlignment="1">
      <alignment vertical="center" wrapText="1"/>
    </xf>
    <xf numFmtId="1" fontId="53" fillId="0" borderId="0" xfId="0" applyNumberFormat="1" applyFont="1"/>
    <xf numFmtId="20" fontId="0" fillId="0" borderId="0" xfId="0" applyNumberFormat="1"/>
    <xf numFmtId="14" fontId="0" fillId="2" borderId="0" xfId="0" applyNumberFormat="1" applyFill="1"/>
    <xf numFmtId="14" fontId="0" fillId="3" borderId="0" xfId="0" applyNumberFormat="1" applyFill="1"/>
    <xf numFmtId="16" fontId="55" fillId="15" borderId="9" xfId="0" applyNumberFormat="1" applyFont="1" applyFill="1" applyBorder="1"/>
    <xf numFmtId="0" fontId="60" fillId="43" borderId="5" xfId="0" applyFont="1" applyFill="1" applyBorder="1" applyAlignment="1">
      <alignment wrapText="1"/>
    </xf>
    <xf numFmtId="14" fontId="0" fillId="9" borderId="9" xfId="0" applyNumberFormat="1" applyFill="1" applyBorder="1"/>
    <xf numFmtId="0" fontId="21" fillId="9" borderId="1" xfId="0" applyFont="1" applyFill="1" applyBorder="1" applyAlignment="1">
      <alignment horizontal="center" wrapText="1"/>
    </xf>
    <xf numFmtId="0" fontId="20" fillId="9" borderId="15" xfId="0" applyFont="1" applyFill="1" applyBorder="1"/>
    <xf numFmtId="0" fontId="20" fillId="9" borderId="12" xfId="0" applyFont="1" applyFill="1" applyBorder="1"/>
    <xf numFmtId="166" fontId="21" fillId="9" borderId="17" xfId="1" applyFont="1" applyFill="1" applyBorder="1" applyAlignment="1">
      <alignment wrapText="1"/>
    </xf>
    <xf numFmtId="0" fontId="21" fillId="9" borderId="17" xfId="0" applyFont="1" applyFill="1" applyBorder="1" applyAlignment="1">
      <alignment wrapText="1"/>
    </xf>
    <xf numFmtId="1" fontId="0" fillId="9" borderId="17" xfId="0" applyNumberFormat="1" applyFill="1" applyBorder="1" applyAlignment="1">
      <alignment wrapText="1"/>
    </xf>
    <xf numFmtId="0" fontId="0" fillId="9" borderId="11" xfId="0" applyFill="1" applyBorder="1"/>
    <xf numFmtId="0" fontId="31" fillId="43" borderId="9" xfId="0" applyFont="1" applyFill="1" applyBorder="1" applyAlignment="1">
      <alignment wrapText="1"/>
    </xf>
    <xf numFmtId="0" fontId="47" fillId="43" borderId="9" xfId="0" applyFont="1" applyFill="1" applyBorder="1" applyAlignment="1">
      <alignment wrapText="1"/>
    </xf>
    <xf numFmtId="0" fontId="31" fillId="42" borderId="9" xfId="0" applyFont="1" applyFill="1" applyBorder="1" applyAlignment="1">
      <alignment wrapText="1"/>
    </xf>
    <xf numFmtId="14" fontId="31" fillId="0" borderId="9" xfId="0" applyNumberFormat="1" applyFont="1" applyBorder="1" applyAlignment="1">
      <alignment wrapText="1"/>
    </xf>
    <xf numFmtId="0" fontId="47" fillId="38" borderId="0" xfId="0" applyFont="1" applyFill="1" applyAlignment="1">
      <alignment wrapText="1"/>
    </xf>
    <xf numFmtId="0" fontId="47" fillId="0" borderId="9" xfId="0" applyFont="1" applyBorder="1"/>
    <xf numFmtId="0" fontId="75" fillId="43" borderId="0" xfId="0" applyFont="1" applyFill="1"/>
    <xf numFmtId="0" fontId="74" fillId="0" borderId="0" xfId="0" applyFont="1" applyAlignment="1">
      <alignment vertical="center"/>
    </xf>
    <xf numFmtId="16" fontId="74" fillId="0" borderId="31" xfId="0" applyNumberFormat="1" applyFont="1" applyBorder="1" applyAlignment="1">
      <alignment vertical="center"/>
    </xf>
    <xf numFmtId="0" fontId="75" fillId="0" borderId="9" xfId="0" applyFont="1" applyBorder="1" applyAlignment="1">
      <alignment vertical="center"/>
    </xf>
    <xf numFmtId="0" fontId="74" fillId="0" borderId="11" xfId="0" applyFont="1" applyBorder="1"/>
    <xf numFmtId="16" fontId="74" fillId="0" borderId="13" xfId="0" applyNumberFormat="1" applyFont="1" applyBorder="1"/>
    <xf numFmtId="0" fontId="75" fillId="0" borderId="11" xfId="0" applyFont="1" applyBorder="1"/>
    <xf numFmtId="0" fontId="74" fillId="0" borderId="13" xfId="0" applyFont="1" applyBorder="1"/>
    <xf numFmtId="0" fontId="74" fillId="0" borderId="0" xfId="0" applyFont="1"/>
    <xf numFmtId="0" fontId="75" fillId="0" borderId="0" xfId="0" applyFont="1"/>
    <xf numFmtId="16" fontId="74" fillId="0" borderId="20" xfId="0" applyNumberFormat="1" applyFont="1" applyBorder="1" applyAlignment="1">
      <alignment vertical="center"/>
    </xf>
    <xf numFmtId="0" fontId="0" fillId="0" borderId="0" xfId="0" applyAlignment="1">
      <alignment horizontal="center" vertical="center"/>
    </xf>
    <xf numFmtId="0" fontId="75" fillId="9" borderId="9" xfId="0" applyFont="1" applyFill="1" applyBorder="1"/>
    <xf numFmtId="0" fontId="74" fillId="9" borderId="9" xfId="0" applyFont="1" applyFill="1" applyBorder="1"/>
    <xf numFmtId="0" fontId="75" fillId="9" borderId="9" xfId="0" applyFont="1" applyFill="1" applyBorder="1" applyAlignment="1">
      <alignment wrapText="1"/>
    </xf>
    <xf numFmtId="0" fontId="74" fillId="17" borderId="20" xfId="0" applyFont="1" applyFill="1" applyBorder="1"/>
    <xf numFmtId="0" fontId="74" fillId="17" borderId="31" xfId="0" applyFont="1" applyFill="1" applyBorder="1"/>
    <xf numFmtId="16" fontId="75" fillId="17" borderId="31" xfId="0" applyNumberFormat="1" applyFont="1" applyFill="1" applyBorder="1"/>
    <xf numFmtId="0" fontId="74" fillId="0" borderId="9" xfId="0" applyFont="1" applyBorder="1"/>
    <xf numFmtId="0" fontId="75" fillId="0" borderId="9" xfId="0" applyFont="1" applyBorder="1"/>
    <xf numFmtId="16" fontId="75" fillId="0" borderId="9" xfId="0" applyNumberFormat="1" applyFont="1" applyBorder="1"/>
    <xf numFmtId="0" fontId="54" fillId="0" borderId="1" xfId="0" applyFont="1" applyBorder="1"/>
    <xf numFmtId="16" fontId="76" fillId="0" borderId="1" xfId="0" applyNumberFormat="1" applyFont="1" applyBorder="1"/>
    <xf numFmtId="20" fontId="76" fillId="0" borderId="2" xfId="0" applyNumberFormat="1" applyFont="1" applyBorder="1"/>
    <xf numFmtId="0" fontId="76" fillId="0" borderId="1" xfId="0" applyFont="1" applyBorder="1"/>
    <xf numFmtId="0" fontId="62" fillId="0" borderId="1" xfId="0" applyFont="1" applyBorder="1"/>
    <xf numFmtId="16" fontId="76" fillId="0" borderId="6" xfId="0" applyNumberFormat="1" applyFont="1" applyBorder="1"/>
    <xf numFmtId="20" fontId="76" fillId="0" borderId="7" xfId="0" applyNumberFormat="1" applyFont="1" applyBorder="1"/>
    <xf numFmtId="0" fontId="76" fillId="0" borderId="6" xfId="0" applyFont="1" applyBorder="1"/>
    <xf numFmtId="0" fontId="62" fillId="0" borderId="1" xfId="0" applyFont="1" applyBorder="1" applyAlignment="1">
      <alignment wrapText="1"/>
    </xf>
    <xf numFmtId="0" fontId="54" fillId="0" borderId="1" xfId="0" applyFont="1" applyBorder="1" applyAlignment="1">
      <alignment wrapText="1"/>
    </xf>
    <xf numFmtId="0" fontId="62" fillId="0" borderId="9" xfId="0" applyFont="1" applyBorder="1" applyAlignment="1">
      <alignment wrapText="1"/>
    </xf>
    <xf numFmtId="0" fontId="53" fillId="0" borderId="0" xfId="0" applyFont="1" applyAlignment="1">
      <alignment horizontal="center" wrapText="1"/>
    </xf>
    <xf numFmtId="0" fontId="54" fillId="0" borderId="9" xfId="0" applyFont="1" applyBorder="1" applyAlignment="1">
      <alignment wrapText="1"/>
    </xf>
    <xf numFmtId="0" fontId="80" fillId="0" borderId="0" xfId="0" applyFont="1"/>
    <xf numFmtId="0" fontId="79" fillId="45" borderId="11" xfId="0" applyFont="1" applyFill="1" applyBorder="1"/>
    <xf numFmtId="0" fontId="79" fillId="45" borderId="13" xfId="0" applyFont="1" applyFill="1" applyBorder="1" applyAlignment="1">
      <alignment wrapText="1"/>
    </xf>
    <xf numFmtId="0" fontId="79" fillId="45" borderId="13" xfId="0" applyFont="1" applyFill="1" applyBorder="1"/>
    <xf numFmtId="0" fontId="79" fillId="45" borderId="12" xfId="0" applyFont="1" applyFill="1" applyBorder="1"/>
    <xf numFmtId="0" fontId="80" fillId="46" borderId="11" xfId="0" applyFont="1" applyFill="1" applyBorder="1"/>
    <xf numFmtId="0" fontId="80" fillId="46" borderId="13" xfId="0" applyFont="1" applyFill="1" applyBorder="1" applyAlignment="1">
      <alignment wrapText="1"/>
    </xf>
    <xf numFmtId="0" fontId="81" fillId="46" borderId="7" xfId="0" applyFont="1" applyFill="1" applyBorder="1"/>
    <xf numFmtId="0" fontId="3" fillId="46" borderId="35" xfId="2" applyFill="1" applyBorder="1" applyAlignment="1"/>
    <xf numFmtId="0" fontId="82" fillId="46" borderId="35" xfId="0" applyFont="1" applyFill="1" applyBorder="1"/>
    <xf numFmtId="0" fontId="80" fillId="46" borderId="13" xfId="0" applyFont="1" applyFill="1" applyBorder="1"/>
    <xf numFmtId="0" fontId="80" fillId="46" borderId="0" xfId="0" applyFont="1" applyFill="1"/>
    <xf numFmtId="0" fontId="80" fillId="47" borderId="11" xfId="0" applyFont="1" applyFill="1" applyBorder="1"/>
    <xf numFmtId="0" fontId="80" fillId="47" borderId="13" xfId="0" applyFont="1" applyFill="1" applyBorder="1" applyAlignment="1">
      <alignment wrapText="1"/>
    </xf>
    <xf numFmtId="0" fontId="81" fillId="47" borderId="7" xfId="0" applyFont="1" applyFill="1" applyBorder="1"/>
    <xf numFmtId="0" fontId="3" fillId="47" borderId="35" xfId="2" applyFill="1" applyBorder="1" applyAlignment="1"/>
    <xf numFmtId="0" fontId="80" fillId="47" borderId="13" xfId="0" applyFont="1" applyFill="1" applyBorder="1"/>
    <xf numFmtId="0" fontId="82" fillId="47" borderId="35" xfId="0" applyFont="1" applyFill="1" applyBorder="1"/>
    <xf numFmtId="0" fontId="83" fillId="0" borderId="0" xfId="0" applyFont="1"/>
    <xf numFmtId="0" fontId="80" fillId="11" borderId="11" xfId="0" applyFont="1" applyFill="1" applyBorder="1"/>
    <xf numFmtId="0" fontId="80" fillId="11" borderId="13" xfId="0" applyFont="1" applyFill="1" applyBorder="1" applyAlignment="1">
      <alignment wrapText="1"/>
    </xf>
    <xf numFmtId="0" fontId="80" fillId="11" borderId="13" xfId="0" applyFont="1" applyFill="1" applyBorder="1"/>
    <xf numFmtId="0" fontId="3" fillId="11" borderId="35" xfId="2" applyFill="1" applyBorder="1" applyAlignment="1"/>
    <xf numFmtId="0" fontId="82" fillId="11" borderId="35" xfId="0" applyFont="1" applyFill="1" applyBorder="1"/>
    <xf numFmtId="0" fontId="81" fillId="11" borderId="7" xfId="0" applyFont="1" applyFill="1" applyBorder="1"/>
    <xf numFmtId="0" fontId="80" fillId="48" borderId="11" xfId="0" applyFont="1" applyFill="1" applyBorder="1"/>
    <xf numFmtId="0" fontId="80" fillId="48" borderId="13" xfId="0" applyFont="1" applyFill="1" applyBorder="1" applyAlignment="1">
      <alignment wrapText="1"/>
    </xf>
    <xf numFmtId="0" fontId="80" fillId="48" borderId="13" xfId="0" applyFont="1" applyFill="1" applyBorder="1"/>
    <xf numFmtId="0" fontId="3" fillId="48" borderId="35" xfId="2" applyFill="1" applyBorder="1" applyAlignment="1"/>
    <xf numFmtId="0" fontId="81" fillId="48" borderId="7" xfId="0" applyFont="1" applyFill="1" applyBorder="1"/>
    <xf numFmtId="0" fontId="80" fillId="49" borderId="11" xfId="0" applyFont="1" applyFill="1" applyBorder="1"/>
    <xf numFmtId="0" fontId="80" fillId="49" borderId="13" xfId="0" applyFont="1" applyFill="1" applyBorder="1" applyAlignment="1">
      <alignment wrapText="1"/>
    </xf>
    <xf numFmtId="0" fontId="80" fillId="49" borderId="13" xfId="0" applyFont="1" applyFill="1" applyBorder="1"/>
    <xf numFmtId="0" fontId="3" fillId="49" borderId="35" xfId="2" applyFill="1" applyBorder="1" applyAlignment="1"/>
    <xf numFmtId="0" fontId="80" fillId="50" borderId="11" xfId="0" applyFont="1" applyFill="1" applyBorder="1"/>
    <xf numFmtId="0" fontId="80" fillId="50" borderId="13" xfId="0" applyFont="1" applyFill="1" applyBorder="1" applyAlignment="1">
      <alignment wrapText="1"/>
    </xf>
    <xf numFmtId="0" fontId="80" fillId="50" borderId="13" xfId="0" applyFont="1" applyFill="1" applyBorder="1"/>
    <xf numFmtId="0" fontId="3" fillId="50" borderId="35" xfId="2" applyFill="1" applyBorder="1" applyAlignment="1"/>
    <xf numFmtId="0" fontId="80" fillId="51" borderId="11" xfId="0" applyFont="1" applyFill="1" applyBorder="1"/>
    <xf numFmtId="0" fontId="80" fillId="51" borderId="13" xfId="0" applyFont="1" applyFill="1" applyBorder="1" applyAlignment="1">
      <alignment wrapText="1"/>
    </xf>
    <xf numFmtId="0" fontId="80" fillId="51" borderId="13" xfId="0" applyFont="1" applyFill="1" applyBorder="1"/>
    <xf numFmtId="0" fontId="3" fillId="51" borderId="35" xfId="2" applyFill="1" applyBorder="1" applyAlignment="1"/>
    <xf numFmtId="0" fontId="81" fillId="51" borderId="7" xfId="0" applyFont="1" applyFill="1" applyBorder="1" applyAlignment="1">
      <alignment wrapText="1"/>
    </xf>
    <xf numFmtId="0" fontId="80" fillId="52" borderId="11" xfId="0" applyFont="1" applyFill="1" applyBorder="1"/>
    <xf numFmtId="0" fontId="80" fillId="52" borderId="13" xfId="0" applyFont="1" applyFill="1" applyBorder="1" applyAlignment="1">
      <alignment wrapText="1"/>
    </xf>
    <xf numFmtId="0" fontId="80" fillId="52" borderId="13" xfId="0" applyFont="1" applyFill="1" applyBorder="1"/>
    <xf numFmtId="0" fontId="3" fillId="52" borderId="35" xfId="2" applyFill="1" applyBorder="1" applyAlignment="1"/>
    <xf numFmtId="0" fontId="81" fillId="52" borderId="7" xfId="0" applyFont="1" applyFill="1" applyBorder="1" applyAlignment="1">
      <alignment wrapText="1"/>
    </xf>
    <xf numFmtId="0" fontId="82" fillId="52" borderId="35" xfId="0" applyFont="1" applyFill="1" applyBorder="1"/>
    <xf numFmtId="0" fontId="80" fillId="0" borderId="9" xfId="0" applyFont="1" applyBorder="1"/>
    <xf numFmtId="0" fontId="81" fillId="46" borderId="16" xfId="0" applyFont="1" applyFill="1" applyBorder="1"/>
    <xf numFmtId="0" fontId="80" fillId="46" borderId="19" xfId="0" applyFont="1" applyFill="1" applyBorder="1"/>
    <xf numFmtId="0" fontId="82" fillId="46" borderId="36" xfId="0" applyFont="1" applyFill="1" applyBorder="1"/>
    <xf numFmtId="0" fontId="80" fillId="47" borderId="19" xfId="0" applyFont="1" applyFill="1" applyBorder="1"/>
    <xf numFmtId="0" fontId="80" fillId="11" borderId="19" xfId="0" applyFont="1" applyFill="1" applyBorder="1"/>
    <xf numFmtId="0" fontId="82" fillId="11" borderId="36" xfId="0" applyFont="1" applyFill="1" applyBorder="1"/>
    <xf numFmtId="0" fontId="80" fillId="48" borderId="19" xfId="0" applyFont="1" applyFill="1" applyBorder="1"/>
    <xf numFmtId="0" fontId="80" fillId="48" borderId="19" xfId="0" applyFont="1" applyFill="1" applyBorder="1" applyAlignment="1">
      <alignment wrapText="1"/>
    </xf>
    <xf numFmtId="0" fontId="80" fillId="49" borderId="19" xfId="0" applyFont="1" applyFill="1" applyBorder="1"/>
    <xf numFmtId="0" fontId="80" fillId="50" borderId="19" xfId="0" applyFont="1" applyFill="1" applyBorder="1" applyAlignment="1">
      <alignment wrapText="1"/>
    </xf>
    <xf numFmtId="0" fontId="80" fillId="51" borderId="19" xfId="0" applyFont="1" applyFill="1" applyBorder="1" applyAlignment="1">
      <alignment wrapText="1"/>
    </xf>
    <xf numFmtId="0" fontId="80" fillId="51" borderId="19" xfId="0" applyFont="1" applyFill="1" applyBorder="1"/>
    <xf numFmtId="0" fontId="80" fillId="52" borderId="19" xfId="0" applyFont="1" applyFill="1" applyBorder="1"/>
    <xf numFmtId="0" fontId="80" fillId="52" borderId="19" xfId="0" applyFont="1" applyFill="1" applyBorder="1" applyAlignment="1">
      <alignment wrapText="1"/>
    </xf>
    <xf numFmtId="0" fontId="79" fillId="45" borderId="27" xfId="0" applyFont="1" applyFill="1" applyBorder="1" applyAlignment="1">
      <alignment wrapText="1"/>
    </xf>
    <xf numFmtId="0" fontId="0" fillId="9" borderId="17" xfId="0" applyFill="1" applyBorder="1" applyAlignment="1">
      <alignment wrapText="1"/>
    </xf>
    <xf numFmtId="0" fontId="47" fillId="15" borderId="9" xfId="0" applyFont="1" applyFill="1" applyBorder="1"/>
    <xf numFmtId="1" fontId="47" fillId="15" borderId="9" xfId="0" applyNumberFormat="1" applyFont="1" applyFill="1" applyBorder="1"/>
    <xf numFmtId="0" fontId="0" fillId="15" borderId="12" xfId="0" applyFill="1" applyBorder="1" applyAlignment="1">
      <alignment wrapText="1"/>
    </xf>
    <xf numFmtId="16" fontId="67" fillId="9" borderId="9" xfId="0" applyNumberFormat="1" applyFont="1" applyFill="1" applyBorder="1" applyAlignment="1">
      <alignment wrapText="1"/>
    </xf>
    <xf numFmtId="0" fontId="1" fillId="9" borderId="17" xfId="0" applyFont="1" applyFill="1" applyBorder="1" applyAlignment="1">
      <alignment wrapText="1"/>
    </xf>
    <xf numFmtId="49" fontId="1" fillId="9" borderId="17" xfId="0" applyNumberFormat="1" applyFont="1" applyFill="1" applyBorder="1" applyAlignment="1">
      <alignment wrapText="1"/>
    </xf>
    <xf numFmtId="0" fontId="1" fillId="9" borderId="17" xfId="0" applyFont="1" applyFill="1" applyBorder="1"/>
    <xf numFmtId="0" fontId="70" fillId="9" borderId="17" xfId="0" applyFont="1" applyFill="1" applyBorder="1" applyAlignment="1">
      <alignment wrapText="1"/>
    </xf>
    <xf numFmtId="0" fontId="1" fillId="9" borderId="9" xfId="0" applyFont="1" applyFill="1" applyBorder="1" applyAlignment="1">
      <alignment wrapText="1"/>
    </xf>
    <xf numFmtId="0" fontId="53" fillId="9" borderId="9" xfId="0" applyFont="1" applyFill="1" applyBorder="1" applyAlignment="1">
      <alignment wrapText="1"/>
    </xf>
    <xf numFmtId="49" fontId="1" fillId="9" borderId="9" xfId="0" applyNumberFormat="1" applyFont="1" applyFill="1" applyBorder="1" applyAlignment="1">
      <alignment wrapText="1"/>
    </xf>
    <xf numFmtId="0" fontId="70" fillId="9" borderId="9" xfId="0" applyFont="1" applyFill="1" applyBorder="1" applyAlignment="1">
      <alignment wrapText="1"/>
    </xf>
    <xf numFmtId="0" fontId="63" fillId="9" borderId="17" xfId="0" applyFont="1" applyFill="1" applyBorder="1" applyAlignment="1">
      <alignment wrapText="1"/>
    </xf>
    <xf numFmtId="0" fontId="63" fillId="9" borderId="17" xfId="0" quotePrefix="1" applyFont="1" applyFill="1" applyBorder="1" applyAlignment="1">
      <alignment wrapText="1"/>
    </xf>
    <xf numFmtId="14" fontId="47" fillId="3" borderId="9" xfId="0" applyNumberFormat="1" applyFont="1" applyFill="1" applyBorder="1"/>
    <xf numFmtId="18" fontId="31" fillId="38" borderId="9" xfId="0" applyNumberFormat="1" applyFont="1" applyFill="1" applyBorder="1" applyAlignment="1">
      <alignment wrapText="1"/>
    </xf>
    <xf numFmtId="17" fontId="31" fillId="38" borderId="0" xfId="0" applyNumberFormat="1" applyFont="1" applyFill="1"/>
    <xf numFmtId="0" fontId="36" fillId="38" borderId="9" xfId="0" applyFont="1" applyFill="1" applyBorder="1" applyAlignment="1">
      <alignment wrapText="1"/>
    </xf>
    <xf numFmtId="0" fontId="63" fillId="38" borderId="0" xfId="0" applyFont="1" applyFill="1"/>
    <xf numFmtId="22" fontId="31" fillId="38" borderId="9" xfId="0" applyNumberFormat="1" applyFont="1" applyFill="1" applyBorder="1" applyAlignment="1">
      <alignment wrapText="1"/>
    </xf>
    <xf numFmtId="20" fontId="31" fillId="38" borderId="0" xfId="0" applyNumberFormat="1" applyFont="1" applyFill="1"/>
    <xf numFmtId="18" fontId="0" fillId="38" borderId="9" xfId="0" applyNumberFormat="1" applyFill="1" applyBorder="1" applyAlignment="1">
      <alignment wrapText="1"/>
    </xf>
    <xf numFmtId="20" fontId="0" fillId="38" borderId="9" xfId="0" applyNumberFormat="1" applyFill="1" applyBorder="1"/>
    <xf numFmtId="16" fontId="55" fillId="38" borderId="9" xfId="0" applyNumberFormat="1" applyFont="1" applyFill="1" applyBorder="1" applyAlignment="1">
      <alignment wrapText="1"/>
    </xf>
    <xf numFmtId="1" fontId="31" fillId="38" borderId="9" xfId="0" quotePrefix="1" applyNumberFormat="1" applyFont="1" applyFill="1" applyBorder="1"/>
    <xf numFmtId="0" fontId="45" fillId="38" borderId="9" xfId="0" applyFont="1" applyFill="1" applyBorder="1" applyAlignment="1">
      <alignment wrapText="1"/>
    </xf>
    <xf numFmtId="0" fontId="31" fillId="38" borderId="11" xfId="0" applyFont="1" applyFill="1" applyBorder="1" applyAlignment="1">
      <alignment wrapText="1"/>
    </xf>
    <xf numFmtId="16" fontId="55" fillId="38" borderId="11" xfId="0" applyNumberFormat="1" applyFont="1" applyFill="1" applyBorder="1"/>
    <xf numFmtId="0" fontId="31" fillId="38" borderId="1" xfId="0" applyFont="1" applyFill="1" applyBorder="1" applyAlignment="1">
      <alignment vertical="center" wrapText="1"/>
    </xf>
    <xf numFmtId="0" fontId="86" fillId="4" borderId="9" xfId="0" applyFont="1" applyFill="1" applyBorder="1" applyAlignment="1">
      <alignment wrapText="1"/>
    </xf>
    <xf numFmtId="1" fontId="86" fillId="4" borderId="9" xfId="0" applyNumberFormat="1" applyFont="1" applyFill="1" applyBorder="1" applyAlignment="1">
      <alignment wrapText="1"/>
    </xf>
    <xf numFmtId="0" fontId="86" fillId="4" borderId="0" xfId="0" applyFont="1" applyFill="1"/>
    <xf numFmtId="16" fontId="86" fillId="4" borderId="9" xfId="0" applyNumberFormat="1" applyFont="1" applyFill="1" applyBorder="1" applyAlignment="1">
      <alignment wrapText="1"/>
    </xf>
    <xf numFmtId="0" fontId="31" fillId="53" borderId="9" xfId="0" applyFont="1" applyFill="1" applyBorder="1" applyAlignment="1">
      <alignment wrapText="1"/>
    </xf>
    <xf numFmtId="16" fontId="47" fillId="3" borderId="9" xfId="0" applyNumberFormat="1" applyFont="1" applyFill="1" applyBorder="1"/>
    <xf numFmtId="0" fontId="1" fillId="15" borderId="9" xfId="0" applyFont="1" applyFill="1" applyBorder="1" applyAlignment="1">
      <alignment wrapText="1"/>
    </xf>
    <xf numFmtId="0" fontId="14" fillId="14" borderId="9" xfId="0" applyFont="1" applyFill="1" applyBorder="1" applyAlignment="1">
      <alignment horizontal="center" vertical="center" wrapText="1"/>
    </xf>
    <xf numFmtId="0" fontId="80" fillId="46" borderId="9" xfId="0" applyFont="1" applyFill="1" applyBorder="1">
      <extLst>
        <ext xmlns:xfpb="http://schemas.microsoft.com/office/spreadsheetml/2022/featurepropertybag" uri="{C7286773-470A-42A8-94C5-96B5CB345126}">
          <xfpb:xfComplement i="0"/>
        </ext>
      </extLst>
    </xf>
    <xf numFmtId="0" fontId="80" fillId="48" borderId="9" xfId="0" applyFont="1" applyFill="1" applyBorder="1"/>
    <xf numFmtId="0" fontId="80" fillId="51" borderId="9" xfId="0" applyFont="1" applyFill="1" applyBorder="1">
      <extLst>
        <ext xmlns:xfpb="http://schemas.microsoft.com/office/spreadsheetml/2022/featurepropertybag" uri="{C7286773-470A-42A8-94C5-96B5CB345126}">
          <xfpb:xfComplement i="0"/>
        </ext>
      </extLst>
    </xf>
    <xf numFmtId="0" fontId="80" fillId="52" borderId="9" xfId="0" applyFont="1" applyFill="1" applyBorder="1">
      <extLst>
        <ext xmlns:xfpb="http://schemas.microsoft.com/office/spreadsheetml/2022/featurepropertybag" uri="{C7286773-470A-42A8-94C5-96B5CB345126}">
          <xfpb:xfComplement i="0"/>
        </ext>
      </extLst>
    </xf>
    <xf numFmtId="0" fontId="80" fillId="46" borderId="14" xfId="0" applyFont="1" applyFill="1" applyBorder="1"/>
    <xf numFmtId="0" fontId="80" fillId="50" borderId="19" xfId="0" applyFont="1" applyFill="1" applyBorder="1"/>
    <xf numFmtId="0" fontId="80" fillId="51" borderId="32" xfId="0" applyFont="1" applyFill="1" applyBorder="1"/>
    <xf numFmtId="0" fontId="80" fillId="51" borderId="30" xfId="0" applyFont="1" applyFill="1" applyBorder="1"/>
    <xf numFmtId="0" fontId="80" fillId="11" borderId="9" xfId="0" applyFont="1" applyFill="1" applyBorder="1">
      <extLst>
        <ext xmlns:xfpb="http://schemas.microsoft.com/office/spreadsheetml/2022/featurepropertybag" uri="{C7286773-470A-42A8-94C5-96B5CB345126}">
          <xfpb:xfComplement i="0"/>
        </ext>
      </extLst>
    </xf>
    <xf numFmtId="0" fontId="80" fillId="46" borderId="17" xfId="0" applyFont="1" applyFill="1" applyBorder="1">
      <extLst>
        <ext xmlns:xfpb="http://schemas.microsoft.com/office/spreadsheetml/2022/featurepropertybag" uri="{C7286773-470A-42A8-94C5-96B5CB345126}">
          <xfpb:xfComplement i="0"/>
        </ext>
      </extLst>
    </xf>
    <xf numFmtId="0" fontId="3" fillId="48" borderId="9" xfId="2" applyFill="1" applyBorder="1" applyAlignment="1">
      <alignment wrapText="1"/>
    </xf>
    <xf numFmtId="0" fontId="80" fillId="48" borderId="9" xfId="0" quotePrefix="1" applyFont="1" applyFill="1" applyBorder="1"/>
    <xf numFmtId="0" fontId="80" fillId="48" borderId="9" xfId="0" applyFont="1" applyFill="1" applyBorder="1">
      <extLst>
        <ext xmlns:xfpb="http://schemas.microsoft.com/office/spreadsheetml/2022/featurepropertybag" uri="{C7286773-470A-42A8-94C5-96B5CB345126}">
          <xfpb:xfComplement i="0"/>
        </ext>
      </extLst>
    </xf>
    <xf numFmtId="0" fontId="3" fillId="48" borderId="9" xfId="2" applyFill="1" applyBorder="1" applyAlignment="1"/>
    <xf numFmtId="0" fontId="80" fillId="48" borderId="9" xfId="0" applyFont="1" applyFill="1" applyBorder="1" applyAlignment="1">
      <alignment wrapText="1"/>
    </xf>
    <xf numFmtId="0" fontId="80" fillId="0" borderId="12" xfId="0" applyFont="1" applyBorder="1"/>
    <xf numFmtId="0" fontId="80" fillId="11" borderId="9" xfId="0" applyFont="1" applyFill="1" applyBorder="1"/>
    <xf numFmtId="0" fontId="81" fillId="11" borderId="16" xfId="0" applyFont="1" applyFill="1" applyBorder="1"/>
    <xf numFmtId="0" fontId="82" fillId="48" borderId="15" xfId="0" applyFont="1" applyFill="1" applyBorder="1"/>
    <xf numFmtId="0" fontId="80" fillId="48" borderId="12" xfId="0" applyFont="1" applyFill="1" applyBorder="1"/>
    <xf numFmtId="0" fontId="80" fillId="11" borderId="0" xfId="0" applyFont="1" applyFill="1"/>
    <xf numFmtId="0" fontId="80" fillId="11" borderId="17" xfId="0" applyFont="1" applyFill="1" applyBorder="1">
      <extLst>
        <ext xmlns:xfpb="http://schemas.microsoft.com/office/spreadsheetml/2022/featurepropertybag" uri="{C7286773-470A-42A8-94C5-96B5CB345126}">
          <xfpb:xfComplement i="0"/>
        </ext>
      </extLst>
    </xf>
    <xf numFmtId="0" fontId="80" fillId="48" borderId="11" xfId="0" applyFont="1" applyFill="1" applyBorder="1">
      <extLst>
        <ext xmlns:xfpb="http://schemas.microsoft.com/office/spreadsheetml/2022/featurepropertybag" uri="{C7286773-470A-42A8-94C5-96B5CB345126}">
          <xfpb:xfComplement i="0"/>
        </ext>
      </extLst>
    </xf>
    <xf numFmtId="0" fontId="80" fillId="49" borderId="9" xfId="0" applyFont="1" applyFill="1" applyBorder="1"/>
    <xf numFmtId="0" fontId="80" fillId="49" borderId="9" xfId="0" applyFont="1" applyFill="1" applyBorder="1">
      <extLst>
        <ext xmlns:xfpb="http://schemas.microsoft.com/office/spreadsheetml/2022/featurepropertybag" uri="{C7286773-470A-42A8-94C5-96B5CB345126}">
          <xfpb:xfComplement i="0"/>
        </ext>
      </extLst>
    </xf>
    <xf numFmtId="0" fontId="82" fillId="49" borderId="36" xfId="0" applyFont="1" applyFill="1" applyBorder="1"/>
    <xf numFmtId="0" fontId="80" fillId="49" borderId="19" xfId="0" applyFont="1" applyFill="1" applyBorder="1" applyAlignment="1">
      <alignment wrapText="1"/>
    </xf>
    <xf numFmtId="0" fontId="80" fillId="48" borderId="17" xfId="0" applyFont="1" applyFill="1" applyBorder="1"/>
    <xf numFmtId="0" fontId="80" fillId="48" borderId="17" xfId="0" applyFont="1" applyFill="1" applyBorder="1">
      <extLst>
        <ext xmlns:xfpb="http://schemas.microsoft.com/office/spreadsheetml/2022/featurepropertybag" uri="{C7286773-470A-42A8-94C5-96B5CB345126}">
          <xfpb:xfComplement i="0"/>
        </ext>
      </extLst>
    </xf>
    <xf numFmtId="0" fontId="80" fillId="48" borderId="17" xfId="0" applyFont="1" applyFill="1" applyBorder="1" applyAlignment="1">
      <alignment wrapText="1"/>
    </xf>
    <xf numFmtId="0" fontId="80" fillId="50" borderId="11" xfId="0" applyFont="1" applyFill="1" applyBorder="1" applyAlignment="1">
      <alignment wrapText="1"/>
      <extLst>
        <ext xmlns:xfpb="http://schemas.microsoft.com/office/spreadsheetml/2022/featurepropertybag" uri="{C7286773-470A-42A8-94C5-96B5CB345126}">
          <xfpb:xfComplement i="0"/>
        </ext>
      </extLst>
    </xf>
    <xf numFmtId="0" fontId="54" fillId="0" borderId="0" xfId="0" applyFont="1"/>
    <xf numFmtId="0" fontId="40" fillId="0" borderId="1" xfId="0" applyFont="1" applyBorder="1" applyAlignment="1">
      <alignment vertical="center" wrapText="1"/>
    </xf>
    <xf numFmtId="0" fontId="54" fillId="0" borderId="9" xfId="0" applyFont="1" applyBorder="1"/>
    <xf numFmtId="0" fontId="55" fillId="0" borderId="9" xfId="0" applyFont="1" applyBorder="1" applyAlignment="1">
      <alignment wrapText="1"/>
    </xf>
    <xf numFmtId="16" fontId="71" fillId="0" borderId="9" xfId="0" applyNumberFormat="1" applyFont="1" applyBorder="1"/>
    <xf numFmtId="20" fontId="71" fillId="0" borderId="9" xfId="0" applyNumberFormat="1" applyFont="1" applyBorder="1"/>
    <xf numFmtId="0" fontId="71" fillId="0" borderId="9" xfId="0" applyFont="1" applyBorder="1"/>
    <xf numFmtId="165" fontId="72" fillId="0" borderId="9" xfId="0" applyNumberFormat="1" applyFont="1" applyBorder="1"/>
    <xf numFmtId="165" fontId="73" fillId="0" borderId="9" xfId="0" applyNumberFormat="1" applyFont="1" applyBorder="1"/>
    <xf numFmtId="16" fontId="76" fillId="0" borderId="9" xfId="0" applyNumberFormat="1" applyFont="1" applyBorder="1"/>
    <xf numFmtId="20" fontId="76" fillId="0" borderId="9" xfId="0" applyNumberFormat="1" applyFont="1" applyBorder="1"/>
    <xf numFmtId="0" fontId="76" fillId="0" borderId="9" xfId="0" applyFont="1" applyBorder="1"/>
    <xf numFmtId="165" fontId="77" fillId="0" borderId="9" xfId="0" applyNumberFormat="1" applyFont="1" applyBorder="1"/>
    <xf numFmtId="0" fontId="31" fillId="2" borderId="15" xfId="0" applyFont="1" applyFill="1" applyBorder="1" applyAlignment="1">
      <alignment wrapText="1"/>
    </xf>
    <xf numFmtId="0" fontId="31" fillId="9" borderId="15" xfId="0" applyFont="1" applyFill="1" applyBorder="1" applyAlignment="1">
      <alignment wrapText="1"/>
    </xf>
    <xf numFmtId="0" fontId="31" fillId="9" borderId="12" xfId="0" applyFont="1" applyFill="1" applyBorder="1" applyAlignment="1">
      <alignment wrapText="1"/>
    </xf>
    <xf numFmtId="0" fontId="31" fillId="0" borderId="20" xfId="0" applyFont="1" applyBorder="1" applyAlignment="1">
      <alignment wrapText="1"/>
    </xf>
    <xf numFmtId="0" fontId="31" fillId="4" borderId="15" xfId="0" applyFont="1" applyFill="1" applyBorder="1" applyAlignment="1">
      <alignment wrapText="1"/>
    </xf>
    <xf numFmtId="0" fontId="31" fillId="4" borderId="12" xfId="0" applyFont="1" applyFill="1" applyBorder="1" applyAlignment="1">
      <alignment wrapText="1"/>
    </xf>
    <xf numFmtId="0" fontId="0" fillId="4" borderId="0" xfId="0" applyFill="1" applyAlignment="1">
      <alignment wrapText="1"/>
    </xf>
    <xf numFmtId="0" fontId="59" fillId="0" borderId="0" xfId="0" applyFont="1"/>
    <xf numFmtId="0" fontId="8" fillId="9" borderId="9" xfId="0" applyFont="1" applyFill="1" applyBorder="1" applyAlignment="1">
      <alignment wrapText="1"/>
    </xf>
    <xf numFmtId="0" fontId="54" fillId="9" borderId="9" xfId="0" applyFont="1" applyFill="1" applyBorder="1" applyAlignment="1">
      <alignment wrapText="1"/>
    </xf>
    <xf numFmtId="16" fontId="0" fillId="38" borderId="9" xfId="0" applyNumberFormat="1" applyFill="1" applyBorder="1" applyAlignment="1">
      <alignment wrapText="1"/>
    </xf>
    <xf numFmtId="16" fontId="0" fillId="7" borderId="9" xfId="0" applyNumberFormat="1" applyFill="1" applyBorder="1" applyAlignment="1">
      <alignment wrapText="1"/>
    </xf>
    <xf numFmtId="0" fontId="47" fillId="3" borderId="9" xfId="0" applyFont="1" applyFill="1" applyBorder="1" applyAlignment="1">
      <alignment wrapText="1"/>
    </xf>
    <xf numFmtId="0" fontId="64" fillId="0" borderId="0" xfId="0" applyFont="1" applyAlignment="1">
      <alignment wrapText="1"/>
    </xf>
    <xf numFmtId="0" fontId="40" fillId="0" borderId="7" xfId="0" applyFont="1" applyBorder="1" applyAlignment="1">
      <alignment vertical="center" wrapText="1"/>
    </xf>
    <xf numFmtId="0" fontId="47" fillId="9" borderId="7" xfId="0" applyFont="1" applyFill="1" applyBorder="1" applyAlignment="1">
      <alignment vertical="center" wrapText="1"/>
    </xf>
    <xf numFmtId="0" fontId="31" fillId="9" borderId="7" xfId="0" applyFont="1" applyFill="1" applyBorder="1" applyAlignment="1">
      <alignment vertical="center" wrapText="1"/>
    </xf>
    <xf numFmtId="0" fontId="31" fillId="7" borderId="9" xfId="0" applyFont="1" applyFill="1" applyBorder="1" applyAlignment="1">
      <alignment wrapText="1"/>
    </xf>
    <xf numFmtId="0" fontId="0" fillId="7" borderId="9" xfId="0" applyFill="1" applyBorder="1" applyAlignment="1">
      <alignment wrapText="1"/>
    </xf>
    <xf numFmtId="16" fontId="31" fillId="7" borderId="9" xfId="0" applyNumberFormat="1" applyFont="1" applyFill="1" applyBorder="1" applyAlignment="1">
      <alignment wrapText="1"/>
    </xf>
    <xf numFmtId="0" fontId="3" fillId="48" borderId="13" xfId="2" applyFill="1" applyBorder="1"/>
    <xf numFmtId="0" fontId="31" fillId="54" borderId="9" xfId="0" applyFont="1" applyFill="1" applyBorder="1" applyAlignment="1">
      <alignment wrapText="1"/>
    </xf>
    <xf numFmtId="0" fontId="87" fillId="0" borderId="1" xfId="0" applyFont="1" applyBorder="1"/>
    <xf numFmtId="0" fontId="31" fillId="2" borderId="12" xfId="0" applyFont="1" applyFill="1" applyBorder="1" applyAlignment="1">
      <alignment wrapText="1"/>
    </xf>
    <xf numFmtId="0" fontId="31" fillId="15" borderId="9" xfId="0" applyFont="1" applyFill="1" applyBorder="1" applyAlignment="1">
      <alignment wrapText="1"/>
    </xf>
    <xf numFmtId="20" fontId="31" fillId="0" borderId="9" xfId="0" applyNumberFormat="1" applyFont="1" applyBorder="1" applyAlignment="1">
      <alignment wrapText="1"/>
    </xf>
    <xf numFmtId="0" fontId="89" fillId="9" borderId="1" xfId="0" applyFont="1" applyFill="1" applyBorder="1"/>
    <xf numFmtId="0" fontId="31" fillId="9" borderId="9" xfId="0" applyFont="1" applyFill="1" applyBorder="1"/>
    <xf numFmtId="16" fontId="71" fillId="9" borderId="9" xfId="0" applyNumberFormat="1" applyFont="1" applyFill="1" applyBorder="1"/>
    <xf numFmtId="20" fontId="31" fillId="9" borderId="9" xfId="0" applyNumberFormat="1" applyFont="1" applyFill="1" applyBorder="1" applyAlignment="1">
      <alignment wrapText="1"/>
    </xf>
    <xf numFmtId="0" fontId="89" fillId="0" borderId="1" xfId="0" applyFont="1" applyBorder="1"/>
    <xf numFmtId="0" fontId="89" fillId="55" borderId="1" xfId="0" applyFont="1" applyFill="1" applyBorder="1"/>
    <xf numFmtId="16" fontId="89" fillId="55" borderId="1" xfId="0" applyNumberFormat="1" applyFont="1" applyFill="1" applyBorder="1"/>
    <xf numFmtId="20" fontId="89" fillId="55" borderId="12" xfId="0" applyNumberFormat="1" applyFont="1" applyFill="1" applyBorder="1"/>
    <xf numFmtId="0" fontId="89" fillId="56" borderId="1" xfId="0" applyFont="1" applyFill="1" applyBorder="1"/>
    <xf numFmtId="16" fontId="89" fillId="56" borderId="1" xfId="0" applyNumberFormat="1" applyFont="1" applyFill="1" applyBorder="1"/>
    <xf numFmtId="20" fontId="89" fillId="56" borderId="12" xfId="0" applyNumberFormat="1" applyFont="1" applyFill="1" applyBorder="1"/>
    <xf numFmtId="165" fontId="77" fillId="0" borderId="1" xfId="0" applyNumberFormat="1" applyFont="1" applyBorder="1" applyAlignment="1">
      <alignment horizontal="right"/>
    </xf>
    <xf numFmtId="16" fontId="89" fillId="0" borderId="1" xfId="0" applyNumberFormat="1" applyFont="1" applyBorder="1"/>
    <xf numFmtId="20" fontId="89" fillId="0" borderId="12" xfId="0" applyNumberFormat="1" applyFont="1" applyBorder="1"/>
    <xf numFmtId="0" fontId="87" fillId="0" borderId="1" xfId="0" applyFont="1" applyBorder="1" applyAlignment="1">
      <alignment horizontal="right"/>
    </xf>
    <xf numFmtId="20" fontId="89" fillId="0" borderId="1" xfId="0" applyNumberFormat="1" applyFont="1" applyBorder="1"/>
    <xf numFmtId="16" fontId="90" fillId="0" borderId="1" xfId="0" applyNumberFormat="1" applyFont="1" applyBorder="1"/>
    <xf numFmtId="0" fontId="79" fillId="0" borderId="9" xfId="0" applyFont="1" applyBorder="1"/>
    <xf numFmtId="0" fontId="79" fillId="0" borderId="11" xfId="0" applyFont="1" applyBorder="1"/>
    <xf numFmtId="16" fontId="89" fillId="0" borderId="11" xfId="0" applyNumberFormat="1" applyFont="1" applyBorder="1"/>
    <xf numFmtId="20" fontId="89" fillId="0" borderId="13" xfId="0" applyNumberFormat="1" applyFont="1" applyBorder="1"/>
    <xf numFmtId="0" fontId="89" fillId="0" borderId="11" xfId="0" applyFont="1" applyBorder="1"/>
    <xf numFmtId="0" fontId="91" fillId="57" borderId="9" xfId="0" applyFont="1" applyFill="1" applyBorder="1"/>
    <xf numFmtId="0" fontId="91" fillId="0" borderId="9" xfId="0" applyFont="1" applyBorder="1"/>
    <xf numFmtId="0" fontId="91" fillId="0" borderId="11" xfId="0" applyFont="1" applyBorder="1"/>
    <xf numFmtId="16" fontId="90" fillId="0" borderId="38" xfId="0" applyNumberFormat="1" applyFont="1" applyBorder="1"/>
    <xf numFmtId="0" fontId="87" fillId="0" borderId="11" xfId="0" applyFont="1" applyBorder="1" applyAlignment="1">
      <alignment horizontal="right"/>
    </xf>
    <xf numFmtId="0" fontId="31" fillId="0" borderId="9" xfId="0" applyFont="1" applyBorder="1" applyAlignment="1">
      <alignment horizontal="right" wrapText="1"/>
    </xf>
    <xf numFmtId="0" fontId="91" fillId="0" borderId="9" xfId="0" applyFont="1" applyBorder="1" applyAlignment="1">
      <alignment wrapText="1"/>
    </xf>
    <xf numFmtId="0" fontId="91" fillId="57" borderId="0" xfId="0" applyFont="1" applyFill="1"/>
    <xf numFmtId="0" fontId="91" fillId="0" borderId="0" xfId="0" applyFont="1"/>
    <xf numFmtId="165" fontId="77" fillId="0" borderId="6" xfId="0" applyNumberFormat="1" applyFont="1" applyBorder="1" applyAlignment="1">
      <alignment horizontal="right"/>
    </xf>
    <xf numFmtId="0" fontId="47" fillId="0" borderId="9" xfId="0" applyFont="1" applyBorder="1" applyAlignment="1">
      <alignment horizontal="right"/>
    </xf>
    <xf numFmtId="165" fontId="78" fillId="0" borderId="1" xfId="0" applyNumberFormat="1" applyFont="1" applyBorder="1" applyAlignment="1">
      <alignment horizontal="right"/>
    </xf>
    <xf numFmtId="14" fontId="31" fillId="0" borderId="9" xfId="0" applyNumberFormat="1" applyFont="1" applyBorder="1" applyAlignment="1">
      <alignment vertical="center" wrapText="1"/>
    </xf>
    <xf numFmtId="1" fontId="31" fillId="0" borderId="7" xfId="0" applyNumberFormat="1" applyFont="1" applyBorder="1" applyAlignment="1">
      <alignment vertical="center" wrapText="1"/>
    </xf>
    <xf numFmtId="1" fontId="31" fillId="0" borderId="23" xfId="0" applyNumberFormat="1" applyFont="1" applyBorder="1" applyAlignment="1">
      <alignment vertical="center" wrapText="1"/>
    </xf>
    <xf numFmtId="1" fontId="31" fillId="0" borderId="9" xfId="0" applyNumberFormat="1" applyFont="1" applyBorder="1" applyAlignment="1">
      <alignment vertical="center" wrapText="1"/>
    </xf>
    <xf numFmtId="0" fontId="54" fillId="0" borderId="17" xfId="0" applyFont="1" applyBorder="1" applyAlignment="1">
      <alignment wrapText="1"/>
    </xf>
    <xf numFmtId="1" fontId="31" fillId="2" borderId="9" xfId="0" applyNumberFormat="1" applyFont="1" applyFill="1" applyBorder="1" applyAlignment="1">
      <alignment vertical="center" wrapText="1"/>
    </xf>
    <xf numFmtId="1" fontId="31" fillId="2" borderId="7" xfId="0" applyNumberFormat="1" applyFont="1" applyFill="1" applyBorder="1" applyAlignment="1">
      <alignment vertical="center" wrapText="1"/>
    </xf>
    <xf numFmtId="0" fontId="79" fillId="0" borderId="1" xfId="0" applyFont="1" applyBorder="1" applyAlignment="1">
      <alignment wrapText="1"/>
    </xf>
    <xf numFmtId="0" fontId="79" fillId="0" borderId="11" xfId="0" applyFont="1" applyBorder="1" applyAlignment="1">
      <alignment wrapText="1"/>
    </xf>
    <xf numFmtId="20" fontId="89" fillId="0" borderId="11" xfId="0" applyNumberFormat="1" applyFont="1" applyBorder="1"/>
    <xf numFmtId="0" fontId="31" fillId="18" borderId="9" xfId="0" applyFont="1" applyFill="1" applyBorder="1" applyAlignment="1">
      <alignment wrapText="1"/>
    </xf>
    <xf numFmtId="0" fontId="31" fillId="58" borderId="9" xfId="0" applyFont="1" applyFill="1" applyBorder="1" applyAlignment="1">
      <alignment wrapText="1"/>
    </xf>
    <xf numFmtId="0" fontId="53" fillId="0" borderId="0" xfId="0" applyFont="1"/>
    <xf numFmtId="0" fontId="40" fillId="0" borderId="9" xfId="0" applyFont="1" applyBorder="1"/>
    <xf numFmtId="0" fontId="31" fillId="2" borderId="14" xfId="0" applyFont="1" applyFill="1" applyBorder="1" applyAlignment="1">
      <alignment wrapText="1"/>
    </xf>
    <xf numFmtId="0" fontId="31" fillId="0" borderId="14" xfId="0" applyFont="1" applyBorder="1" applyAlignment="1">
      <alignment wrapText="1"/>
    </xf>
    <xf numFmtId="0" fontId="31" fillId="54" borderId="14" xfId="0" applyFont="1" applyFill="1" applyBorder="1" applyAlignment="1">
      <alignment wrapText="1"/>
    </xf>
    <xf numFmtId="0" fontId="31" fillId="58" borderId="14" xfId="0" applyFont="1" applyFill="1" applyBorder="1" applyAlignment="1">
      <alignment wrapText="1"/>
    </xf>
    <xf numFmtId="0" fontId="86" fillId="4" borderId="12" xfId="0" applyFont="1" applyFill="1" applyBorder="1" applyAlignment="1">
      <alignment wrapText="1"/>
    </xf>
    <xf numFmtId="0" fontId="31" fillId="3" borderId="9" xfId="0" applyFont="1" applyFill="1" applyBorder="1" applyAlignment="1">
      <alignment wrapText="1"/>
    </xf>
    <xf numFmtId="0" fontId="31" fillId="59" borderId="9" xfId="0" applyFont="1" applyFill="1" applyBorder="1" applyAlignment="1">
      <alignment wrapText="1"/>
    </xf>
    <xf numFmtId="0" fontId="31" fillId="53" borderId="14" xfId="0" applyFont="1" applyFill="1" applyBorder="1" applyAlignment="1">
      <alignment wrapText="1"/>
    </xf>
    <xf numFmtId="0" fontId="31" fillId="40" borderId="9" xfId="0" applyFont="1" applyFill="1" applyBorder="1" applyAlignment="1">
      <alignment horizontal="right" wrapText="1"/>
    </xf>
    <xf numFmtId="0" fontId="30" fillId="17" borderId="9" xfId="0" applyFont="1" applyFill="1" applyBorder="1" applyAlignment="1">
      <alignment vertical="center" wrapText="1"/>
    </xf>
    <xf numFmtId="0" fontId="30" fillId="0" borderId="9" xfId="0" applyFont="1" applyBorder="1" applyAlignment="1">
      <alignment vertical="center" wrapText="1"/>
    </xf>
    <xf numFmtId="0" fontId="30" fillId="31" borderId="9" xfId="0" applyFont="1" applyFill="1" applyBorder="1" applyAlignment="1">
      <alignment vertical="center" wrapText="1"/>
    </xf>
    <xf numFmtId="1" fontId="31" fillId="54" borderId="7" xfId="0" applyNumberFormat="1" applyFont="1" applyFill="1" applyBorder="1" applyAlignment="1">
      <alignment vertical="center" wrapText="1"/>
    </xf>
    <xf numFmtId="1" fontId="31" fillId="18" borderId="9" xfId="0" applyNumberFormat="1" applyFont="1" applyFill="1" applyBorder="1" applyAlignment="1">
      <alignment vertical="center" wrapText="1"/>
    </xf>
    <xf numFmtId="1" fontId="31" fillId="18" borderId="7" xfId="0" applyNumberFormat="1" applyFont="1" applyFill="1" applyBorder="1" applyAlignment="1">
      <alignment vertical="center" wrapText="1"/>
    </xf>
    <xf numFmtId="16" fontId="31" fillId="41" borderId="8" xfId="0" applyNumberFormat="1" applyFont="1" applyFill="1" applyBorder="1" applyAlignment="1">
      <alignment vertical="center" wrapText="1"/>
    </xf>
    <xf numFmtId="0" fontId="31" fillId="41" borderId="0" xfId="0" applyFont="1" applyFill="1" applyAlignment="1">
      <alignment vertical="center" wrapText="1"/>
    </xf>
    <xf numFmtId="16" fontId="31" fillId="41" borderId="20" xfId="0" applyNumberFormat="1" applyFont="1" applyFill="1" applyBorder="1" applyAlignment="1">
      <alignment vertical="center" wrapText="1"/>
    </xf>
    <xf numFmtId="16" fontId="31" fillId="41" borderId="31" xfId="0" applyNumberFormat="1" applyFont="1" applyFill="1" applyBorder="1" applyAlignment="1">
      <alignment vertical="center" wrapText="1"/>
    </xf>
    <xf numFmtId="0" fontId="30" fillId="41" borderId="31" xfId="0" applyFont="1" applyFill="1" applyBorder="1" applyAlignment="1">
      <alignment vertical="center" wrapText="1"/>
    </xf>
    <xf numFmtId="0" fontId="31" fillId="41" borderId="31" xfId="0" applyFont="1" applyFill="1" applyBorder="1" applyAlignment="1">
      <alignment vertical="center" wrapText="1"/>
    </xf>
    <xf numFmtId="0" fontId="31" fillId="41" borderId="8" xfId="0" applyFont="1" applyFill="1" applyBorder="1" applyAlignment="1">
      <alignment vertical="center" wrapText="1"/>
    </xf>
    <xf numFmtId="1" fontId="31" fillId="41" borderId="5" xfId="0" applyNumberFormat="1" applyFont="1" applyFill="1" applyBorder="1" applyAlignment="1">
      <alignment vertical="center" wrapText="1"/>
    </xf>
    <xf numFmtId="0" fontId="44" fillId="41" borderId="5" xfId="0" applyFont="1" applyFill="1" applyBorder="1" applyAlignment="1">
      <alignment vertical="center" wrapText="1"/>
    </xf>
    <xf numFmtId="0" fontId="31" fillId="41" borderId="5" xfId="0" applyFont="1" applyFill="1" applyBorder="1" applyAlignment="1">
      <alignment vertical="center" wrapText="1"/>
    </xf>
    <xf numFmtId="168" fontId="31" fillId="41" borderId="5" xfId="0" applyNumberFormat="1" applyFont="1" applyFill="1" applyBorder="1" applyAlignment="1">
      <alignment vertical="center" wrapText="1"/>
    </xf>
    <xf numFmtId="1" fontId="31" fillId="41" borderId="23" xfId="0" applyNumberFormat="1" applyFont="1" applyFill="1" applyBorder="1" applyAlignment="1">
      <alignment vertical="center" wrapText="1"/>
    </xf>
    <xf numFmtId="0" fontId="0" fillId="41" borderId="0" xfId="0" applyFill="1" applyAlignment="1">
      <alignment vertical="center" wrapText="1"/>
    </xf>
    <xf numFmtId="1" fontId="40" fillId="0" borderId="0" xfId="0" applyNumberFormat="1" applyFont="1" applyAlignment="1">
      <alignment wrapText="1"/>
    </xf>
    <xf numFmtId="1" fontId="74" fillId="0" borderId="9" xfId="0" applyNumberFormat="1" applyFont="1" applyBorder="1"/>
    <xf numFmtId="0" fontId="47" fillId="18" borderId="9" xfId="0" applyFont="1" applyFill="1" applyBorder="1"/>
    <xf numFmtId="0" fontId="31" fillId="18" borderId="14" xfId="0" applyFont="1" applyFill="1" applyBorder="1" applyAlignment="1">
      <alignment wrapText="1"/>
    </xf>
    <xf numFmtId="0" fontId="31" fillId="18" borderId="12" xfId="0" applyFont="1" applyFill="1" applyBorder="1" applyAlignment="1">
      <alignment wrapText="1"/>
    </xf>
    <xf numFmtId="0" fontId="31" fillId="18" borderId="11" xfId="0" applyFont="1" applyFill="1" applyBorder="1" applyAlignment="1">
      <alignment wrapText="1"/>
    </xf>
    <xf numFmtId="0" fontId="31" fillId="39" borderId="12" xfId="0" applyFont="1" applyFill="1" applyBorder="1" applyAlignment="1">
      <alignment wrapText="1"/>
    </xf>
    <xf numFmtId="0" fontId="89" fillId="0" borderId="9" xfId="0" applyFont="1" applyBorder="1"/>
    <xf numFmtId="0" fontId="0" fillId="0" borderId="15" xfId="0" applyBorder="1"/>
    <xf numFmtId="0" fontId="0" fillId="2" borderId="15" xfId="0" applyFill="1" applyBorder="1"/>
    <xf numFmtId="0" fontId="0" fillId="0" borderId="12" xfId="0" applyBorder="1" applyAlignment="1">
      <alignment horizontal="center" vertical="center"/>
    </xf>
    <xf numFmtId="0" fontId="0" fillId="2" borderId="11" xfId="0" applyFill="1" applyBorder="1"/>
    <xf numFmtId="0" fontId="89" fillId="44" borderId="1" xfId="0" applyFont="1" applyFill="1" applyBorder="1"/>
    <xf numFmtId="14" fontId="0" fillId="2" borderId="9" xfId="0" applyNumberFormat="1" applyFill="1" applyBorder="1"/>
    <xf numFmtId="0" fontId="89" fillId="2" borderId="1" xfId="0" applyFont="1" applyFill="1" applyBorder="1"/>
    <xf numFmtId="0" fontId="24" fillId="2" borderId="9" xfId="0" applyFont="1" applyFill="1" applyBorder="1" applyAlignment="1">
      <alignment wrapText="1"/>
    </xf>
    <xf numFmtId="0" fontId="79" fillId="0" borderId="1" xfId="0" applyFont="1" applyBorder="1"/>
    <xf numFmtId="0" fontId="79" fillId="2" borderId="1" xfId="0" applyFont="1" applyFill="1" applyBorder="1"/>
    <xf numFmtId="16" fontId="0" fillId="2" borderId="9" xfId="0" applyNumberFormat="1" applyFill="1" applyBorder="1"/>
    <xf numFmtId="20" fontId="89" fillId="2" borderId="13" xfId="0" applyNumberFormat="1" applyFont="1" applyFill="1" applyBorder="1"/>
    <xf numFmtId="0" fontId="89" fillId="2" borderId="11" xfId="0" applyFont="1" applyFill="1" applyBorder="1"/>
    <xf numFmtId="20" fontId="89" fillId="2" borderId="11" xfId="0" applyNumberFormat="1" applyFont="1" applyFill="1" applyBorder="1"/>
    <xf numFmtId="0" fontId="0" fillId="18" borderId="11" xfId="0" applyFill="1" applyBorder="1"/>
    <xf numFmtId="0" fontId="0" fillId="18" borderId="9" xfId="0" applyFill="1" applyBorder="1"/>
    <xf numFmtId="170" fontId="0" fillId="2" borderId="11" xfId="0" applyNumberFormat="1" applyFill="1" applyBorder="1"/>
    <xf numFmtId="170" fontId="87" fillId="0" borderId="9" xfId="0" applyNumberFormat="1" applyFont="1" applyBorder="1"/>
    <xf numFmtId="170" fontId="87" fillId="44" borderId="9" xfId="0" applyNumberFormat="1" applyFont="1" applyFill="1" applyBorder="1"/>
    <xf numFmtId="170" fontId="87" fillId="0" borderId="1" xfId="0" applyNumberFormat="1" applyFont="1" applyBorder="1"/>
    <xf numFmtId="170" fontId="87" fillId="44" borderId="1" xfId="0" applyNumberFormat="1" applyFont="1" applyFill="1" applyBorder="1"/>
    <xf numFmtId="170" fontId="87" fillId="2" borderId="1" xfId="0" applyNumberFormat="1" applyFont="1" applyFill="1" applyBorder="1"/>
    <xf numFmtId="170" fontId="87" fillId="2" borderId="11" xfId="0" applyNumberFormat="1" applyFont="1" applyFill="1" applyBorder="1"/>
    <xf numFmtId="170" fontId="87" fillId="0" borderId="11" xfId="0" applyNumberFormat="1" applyFont="1" applyBorder="1"/>
    <xf numFmtId="170" fontId="8" fillId="0" borderId="0" xfId="0" applyNumberFormat="1" applyFont="1"/>
    <xf numFmtId="170" fontId="8" fillId="2" borderId="11" xfId="0" applyNumberFormat="1" applyFont="1" applyFill="1" applyBorder="1"/>
    <xf numFmtId="165" fontId="87" fillId="0" borderId="11" xfId="0" applyNumberFormat="1" applyFont="1" applyBorder="1"/>
    <xf numFmtId="165" fontId="87" fillId="0" borderId="1" xfId="0" applyNumberFormat="1" applyFont="1" applyBorder="1"/>
    <xf numFmtId="0" fontId="31" fillId="4" borderId="9" xfId="0" applyFont="1" applyFill="1" applyBorder="1" applyAlignment="1">
      <alignment horizontal="right" wrapText="1"/>
    </xf>
    <xf numFmtId="0" fontId="80" fillId="48" borderId="39" xfId="0" applyFont="1" applyFill="1" applyBorder="1" applyAlignment="1">
      <alignment wrapText="1"/>
    </xf>
    <xf numFmtId="0" fontId="80" fillId="47" borderId="9" xfId="0" applyFont="1" applyFill="1" applyBorder="1">
      <extLst>
        <ext xmlns:xfpb="http://schemas.microsoft.com/office/spreadsheetml/2022/featurepropertybag" uri="{C7286773-470A-42A8-94C5-96B5CB345126}">
          <xfpb:xfComplement i="0"/>
        </ext>
      </extLst>
    </xf>
    <xf numFmtId="0" fontId="3" fillId="41" borderId="7" xfId="2" applyFill="1" applyBorder="1" applyAlignment="1">
      <alignment vertical="center" wrapText="1"/>
    </xf>
    <xf numFmtId="0" fontId="80" fillId="60" borderId="11" xfId="0" applyFont="1" applyFill="1" applyBorder="1"/>
    <xf numFmtId="0" fontId="80" fillId="60" borderId="19" xfId="0" applyFont="1" applyFill="1" applyBorder="1" applyAlignment="1">
      <alignment wrapText="1"/>
    </xf>
    <xf numFmtId="0" fontId="3" fillId="60" borderId="13" xfId="2" applyFill="1" applyBorder="1" applyAlignment="1"/>
    <xf numFmtId="0" fontId="80" fillId="60" borderId="13" xfId="0" applyFont="1" applyFill="1" applyBorder="1"/>
    <xf numFmtId="0" fontId="80" fillId="60" borderId="17" xfId="0" applyFont="1" applyFill="1" applyBorder="1"/>
    <xf numFmtId="0" fontId="80" fillId="60" borderId="17" xfId="0" applyFont="1" applyFill="1" applyBorder="1">
      <extLst>
        <ext xmlns:xfpb="http://schemas.microsoft.com/office/spreadsheetml/2022/featurepropertybag" uri="{C7286773-470A-42A8-94C5-96B5CB345126}">
          <xfpb:xfComplement i="0"/>
        </ext>
      </extLst>
    </xf>
    <xf numFmtId="0" fontId="80" fillId="60" borderId="17" xfId="0" applyFont="1" applyFill="1" applyBorder="1" applyAlignment="1">
      <alignment wrapText="1"/>
    </xf>
    <xf numFmtId="0" fontId="80" fillId="60" borderId="13" xfId="0" applyFont="1" applyFill="1" applyBorder="1" applyAlignment="1">
      <alignment wrapText="1"/>
    </xf>
    <xf numFmtId="0" fontId="80" fillId="60" borderId="31" xfId="0" applyFont="1" applyFill="1" applyBorder="1"/>
    <xf numFmtId="0" fontId="3" fillId="60" borderId="37" xfId="2" applyFill="1" applyBorder="1" applyAlignment="1"/>
    <xf numFmtId="0" fontId="80" fillId="60" borderId="0" xfId="0" applyFont="1" applyFill="1"/>
    <xf numFmtId="0" fontId="80" fillId="60" borderId="9" xfId="0" applyFont="1" applyFill="1" applyBorder="1"/>
    <xf numFmtId="0" fontId="80" fillId="60" borderId="9" xfId="0" applyFont="1" applyFill="1" applyBorder="1">
      <extLst>
        <ext xmlns:xfpb="http://schemas.microsoft.com/office/spreadsheetml/2022/featurepropertybag" uri="{C7286773-470A-42A8-94C5-96B5CB345126}">
          <xfpb:xfComplement i="0"/>
        </ext>
      </extLst>
    </xf>
    <xf numFmtId="0" fontId="80" fillId="60" borderId="0" xfId="0" applyFont="1" applyFill="1" applyAlignment="1">
      <alignment wrapText="1"/>
    </xf>
    <xf numFmtId="16" fontId="36" fillId="38" borderId="9" xfId="0" applyNumberFormat="1" applyFont="1" applyFill="1" applyBorder="1" applyAlignment="1">
      <alignment wrapText="1"/>
    </xf>
    <xf numFmtId="0" fontId="46" fillId="38" borderId="9" xfId="0" applyFont="1" applyFill="1" applyBorder="1" applyAlignment="1">
      <alignment wrapText="1"/>
    </xf>
    <xf numFmtId="0" fontId="64" fillId="0" borderId="0" xfId="0" applyFont="1"/>
    <xf numFmtId="169" fontId="0" fillId="0" borderId="9" xfId="1" applyNumberFormat="1" applyFont="1" applyBorder="1"/>
    <xf numFmtId="14" fontId="60" fillId="9" borderId="5" xfId="0" applyNumberFormat="1" applyFont="1" applyFill="1" applyBorder="1" applyAlignment="1">
      <alignment wrapText="1"/>
    </xf>
    <xf numFmtId="14" fontId="21" fillId="9" borderId="9" xfId="0" applyNumberFormat="1" applyFont="1" applyFill="1" applyBorder="1" applyAlignment="1">
      <alignment wrapText="1"/>
    </xf>
    <xf numFmtId="169" fontId="0" fillId="9" borderId="11" xfId="0" applyNumberFormat="1" applyFill="1" applyBorder="1"/>
    <xf numFmtId="169" fontId="0" fillId="9" borderId="9" xfId="0" applyNumberFormat="1" applyFill="1" applyBorder="1"/>
    <xf numFmtId="0" fontId="47" fillId="15" borderId="17" xfId="0" applyFont="1" applyFill="1" applyBorder="1"/>
    <xf numFmtId="0" fontId="47" fillId="3" borderId="17" xfId="0" applyFont="1" applyFill="1" applyBorder="1"/>
    <xf numFmtId="14" fontId="31" fillId="3" borderId="17" xfId="0" applyNumberFormat="1" applyFont="1" applyFill="1" applyBorder="1"/>
    <xf numFmtId="0" fontId="1" fillId="12" borderId="9" xfId="0" applyFont="1" applyFill="1" applyBorder="1" applyAlignment="1">
      <alignment wrapText="1"/>
    </xf>
    <xf numFmtId="0" fontId="0" fillId="9" borderId="13" xfId="0" applyFill="1" applyBorder="1"/>
    <xf numFmtId="0" fontId="0" fillId="9" borderId="11" xfId="0" applyFill="1" applyBorder="1" applyAlignment="1">
      <alignment wrapText="1"/>
    </xf>
    <xf numFmtId="0" fontId="1" fillId="9" borderId="11" xfId="0" applyFont="1" applyFill="1" applyBorder="1" applyAlignment="1">
      <alignment wrapText="1"/>
    </xf>
    <xf numFmtId="0" fontId="1" fillId="9" borderId="11" xfId="0" quotePrefix="1" applyFont="1" applyFill="1" applyBorder="1" applyAlignment="1">
      <alignment wrapText="1"/>
    </xf>
    <xf numFmtId="14" fontId="1" fillId="9" borderId="11" xfId="0" applyNumberFormat="1" applyFont="1" applyFill="1" applyBorder="1" applyAlignment="1">
      <alignment wrapText="1"/>
    </xf>
    <xf numFmtId="20" fontId="1" fillId="9" borderId="11" xfId="0" applyNumberFormat="1" applyFont="1" applyFill="1" applyBorder="1" applyAlignment="1">
      <alignment wrapText="1"/>
    </xf>
    <xf numFmtId="0" fontId="0" fillId="12" borderId="0" xfId="0" applyFill="1" applyAlignment="1">
      <alignment horizontal="center" wrapText="1"/>
    </xf>
    <xf numFmtId="0" fontId="1" fillId="12" borderId="17" xfId="0" applyFont="1" applyFill="1" applyBorder="1" applyAlignment="1">
      <alignment wrapText="1"/>
    </xf>
    <xf numFmtId="0" fontId="1" fillId="12" borderId="17" xfId="0" quotePrefix="1" applyFont="1" applyFill="1" applyBorder="1" applyAlignment="1">
      <alignment wrapText="1"/>
    </xf>
    <xf numFmtId="14" fontId="1" fillId="12" borderId="17" xfId="0" applyNumberFormat="1" applyFont="1" applyFill="1" applyBorder="1" applyAlignment="1">
      <alignment wrapText="1"/>
    </xf>
    <xf numFmtId="20" fontId="1" fillId="12" borderId="17" xfId="0" applyNumberFormat="1" applyFont="1" applyFill="1" applyBorder="1" applyAlignment="1">
      <alignment wrapText="1"/>
    </xf>
    <xf numFmtId="0" fontId="0" fillId="12" borderId="13" xfId="0" applyFill="1" applyBorder="1" applyAlignment="1">
      <alignment wrapText="1"/>
    </xf>
    <xf numFmtId="0" fontId="47" fillId="12" borderId="11" xfId="0" applyFont="1" applyFill="1" applyBorder="1"/>
    <xf numFmtId="0" fontId="0" fillId="12" borderId="11" xfId="0" applyFill="1" applyBorder="1" applyAlignment="1">
      <alignment wrapText="1"/>
    </xf>
    <xf numFmtId="0" fontId="0" fillId="12" borderId="12" xfId="0" applyFill="1" applyBorder="1" applyAlignment="1">
      <alignment wrapText="1"/>
    </xf>
    <xf numFmtId="0" fontId="0" fillId="12" borderId="9" xfId="0" applyFill="1" applyBorder="1" applyAlignment="1">
      <alignment wrapText="1"/>
    </xf>
    <xf numFmtId="0" fontId="0" fillId="12" borderId="17" xfId="0" applyFill="1" applyBorder="1"/>
    <xf numFmtId="0" fontId="0" fillId="12" borderId="9" xfId="0" applyFill="1" applyBorder="1"/>
    <xf numFmtId="0" fontId="0" fillId="12" borderId="0" xfId="0" applyFill="1" applyAlignment="1">
      <alignment wrapText="1"/>
    </xf>
    <xf numFmtId="17" fontId="1" fillId="12" borderId="9" xfId="0" applyNumberFormat="1" applyFont="1" applyFill="1" applyBorder="1" applyAlignment="1">
      <alignment wrapText="1"/>
    </xf>
    <xf numFmtId="0" fontId="80" fillId="0" borderId="15" xfId="0" applyFont="1" applyBorder="1">
      <extLst>
        <ext xmlns:xfpb="http://schemas.microsoft.com/office/spreadsheetml/2022/featurepropertybag" uri="{C7286773-470A-42A8-94C5-96B5CB345126}">
          <xfpb:xfComplement i="0"/>
        </ext>
      </extLst>
    </xf>
    <xf numFmtId="0" fontId="80" fillId="0" borderId="14" xfId="0" applyFont="1" applyBorder="1">
      <extLst>
        <ext xmlns:xfpb="http://schemas.microsoft.com/office/spreadsheetml/2022/featurepropertybag" uri="{C7286773-470A-42A8-94C5-96B5CB345126}">
          <xfpb:xfComplement i="0"/>
        </ext>
      </extLst>
    </xf>
    <xf numFmtId="0" fontId="79" fillId="61" borderId="29" xfId="0" applyFont="1" applyFill="1" applyBorder="1" applyAlignment="1">
      <alignment wrapText="1"/>
    </xf>
    <xf numFmtId="0" fontId="80" fillId="0" borderId="15" xfId="0" applyFont="1" applyBorder="1"/>
    <xf numFmtId="0" fontId="79" fillId="17" borderId="9" xfId="0" applyFont="1" applyFill="1" applyBorder="1" applyAlignment="1">
      <alignment wrapText="1"/>
    </xf>
    <xf numFmtId="168" fontId="31" fillId="15" borderId="11" xfId="0" applyNumberFormat="1" applyFont="1" applyFill="1" applyBorder="1" applyAlignment="1">
      <alignment wrapText="1"/>
    </xf>
    <xf numFmtId="16" fontId="31" fillId="15" borderId="11" xfId="0" applyNumberFormat="1" applyFont="1" applyFill="1" applyBorder="1" applyAlignment="1">
      <alignment wrapText="1"/>
    </xf>
    <xf numFmtId="0" fontId="80" fillId="0" borderId="9" xfId="0" applyFont="1" applyBorder="1">
      <extLst>
        <ext xmlns:xfpb="http://schemas.microsoft.com/office/spreadsheetml/2022/featurepropertybag" uri="{C7286773-470A-42A8-94C5-96B5CB345126}">
          <xfpb:xfComplement i="0"/>
        </ext>
      </extLst>
    </xf>
    <xf numFmtId="0" fontId="80" fillId="48" borderId="20" xfId="0" applyFont="1" applyFill="1" applyBorder="1"/>
    <xf numFmtId="0" fontId="80" fillId="48" borderId="31" xfId="0" applyFont="1" applyFill="1" applyBorder="1" applyAlignment="1">
      <alignment wrapText="1"/>
    </xf>
    <xf numFmtId="0" fontId="80" fillId="48" borderId="31" xfId="0" applyFont="1" applyFill="1" applyBorder="1"/>
    <xf numFmtId="0" fontId="3" fillId="48" borderId="37" xfId="2" applyFill="1" applyBorder="1" applyAlignment="1"/>
    <xf numFmtId="0" fontId="80" fillId="48" borderId="0" xfId="0" applyFont="1" applyFill="1" applyAlignment="1">
      <alignment wrapText="1"/>
    </xf>
    <xf numFmtId="0" fontId="80" fillId="48" borderId="0" xfId="0" applyFont="1" applyFill="1"/>
    <xf numFmtId="0" fontId="80" fillId="0" borderId="17" xfId="0" applyFont="1" applyBorder="1"/>
    <xf numFmtId="0" fontId="80" fillId="0" borderId="18" xfId="0" applyFont="1" applyBorder="1">
      <extLst>
        <ext xmlns:xfpb="http://schemas.microsoft.com/office/spreadsheetml/2022/featurepropertybag" uri="{C7286773-470A-42A8-94C5-96B5CB345126}">
          <xfpb:xfComplement i="0"/>
        </ext>
      </extLst>
    </xf>
    <xf numFmtId="0" fontId="80" fillId="0" borderId="11" xfId="0" applyFont="1" applyBorder="1"/>
    <xf numFmtId="0" fontId="80" fillId="0" borderId="30" xfId="0" applyFont="1" applyBorder="1">
      <extLst>
        <ext xmlns:xfpb="http://schemas.microsoft.com/office/spreadsheetml/2022/featurepropertybag" uri="{C7286773-470A-42A8-94C5-96B5CB345126}">
          <xfpb:xfComplement i="0"/>
        </ext>
      </extLst>
    </xf>
    <xf numFmtId="0" fontId="44" fillId="0" borderId="9" xfId="0" applyFont="1" applyBorder="1" applyAlignment="1">
      <alignment wrapText="1"/>
    </xf>
    <xf numFmtId="0" fontId="80" fillId="0" borderId="14" xfId="0" applyFont="1" applyBorder="1"/>
    <xf numFmtId="0" fontId="80" fillId="0" borderId="29" xfId="0" applyFont="1" applyBorder="1">
      <extLst>
        <ext xmlns:xfpb="http://schemas.microsoft.com/office/spreadsheetml/2022/featurepropertybag" uri="{C7286773-470A-42A8-94C5-96B5CB345126}">
          <xfpb:xfComplement i="0"/>
        </ext>
      </extLst>
    </xf>
    <xf numFmtId="0" fontId="80" fillId="0" borderId="19" xfId="0" applyFont="1" applyBorder="1">
      <extLst>
        <ext xmlns:xfpb="http://schemas.microsoft.com/office/spreadsheetml/2022/featurepropertybag" uri="{C7286773-470A-42A8-94C5-96B5CB345126}">
          <xfpb:xfComplement i="0"/>
        </ext>
      </extLst>
    </xf>
    <xf numFmtId="0" fontId="44" fillId="0" borderId="20" xfId="0" applyFont="1" applyBorder="1" applyAlignment="1">
      <alignment wrapText="1"/>
    </xf>
    <xf numFmtId="0" fontId="32" fillId="61" borderId="17" xfId="0" applyFont="1" applyFill="1" applyBorder="1" applyAlignment="1">
      <alignment wrapText="1"/>
    </xf>
    <xf numFmtId="0" fontId="32" fillId="61" borderId="18" xfId="0" applyFont="1" applyFill="1" applyBorder="1" applyAlignment="1">
      <alignment wrapText="1"/>
    </xf>
    <xf numFmtId="0" fontId="44" fillId="0" borderId="17" xfId="0" applyFont="1" applyBorder="1" applyAlignment="1">
      <alignment wrapText="1"/>
    </xf>
    <xf numFmtId="0" fontId="80" fillId="0" borderId="11" xfId="0" applyFont="1" applyBorder="1" applyAlignment="1">
      <alignment wrapText="1"/>
    </xf>
    <xf numFmtId="0" fontId="80" fillId="0" borderId="30" xfId="0" applyFont="1" applyBorder="1" applyAlignment="1">
      <alignment wrapText="1"/>
    </xf>
    <xf numFmtId="0" fontId="80" fillId="0" borderId="9" xfId="0" applyFont="1" applyBorder="1" applyAlignment="1">
      <alignment wrapText="1"/>
    </xf>
    <xf numFmtId="0" fontId="80" fillId="0" borderId="15" xfId="0" applyFont="1" applyBorder="1" applyAlignment="1">
      <alignment wrapText="1"/>
    </xf>
    <xf numFmtId="0" fontId="80" fillId="0" borderId="17" xfId="0" applyFont="1" applyBorder="1" applyAlignment="1">
      <alignment wrapText="1"/>
    </xf>
    <xf numFmtId="0" fontId="80" fillId="0" borderId="18" xfId="0" applyFont="1" applyBorder="1" applyAlignment="1">
      <alignment wrapText="1"/>
    </xf>
    <xf numFmtId="0" fontId="80" fillId="0" borderId="20" xfId="0" applyFont="1" applyBorder="1" applyAlignment="1">
      <alignment wrapText="1"/>
    </xf>
    <xf numFmtId="0" fontId="80" fillId="0" borderId="22" xfId="0" applyFont="1" applyBorder="1" applyAlignment="1">
      <alignment wrapText="1"/>
    </xf>
    <xf numFmtId="0" fontId="44" fillId="7" borderId="17" xfId="0" applyFont="1" applyFill="1" applyBorder="1" applyAlignment="1">
      <alignment wrapText="1"/>
    </xf>
    <xf numFmtId="0" fontId="44" fillId="7" borderId="9" xfId="0" applyFont="1" applyFill="1" applyBorder="1" applyAlignment="1">
      <alignment wrapText="1"/>
    </xf>
    <xf numFmtId="0" fontId="44" fillId="7" borderId="20" xfId="0" applyFont="1" applyFill="1" applyBorder="1" applyAlignment="1">
      <alignment wrapText="1"/>
    </xf>
    <xf numFmtId="0" fontId="44" fillId="7" borderId="11" xfId="0" applyFont="1" applyFill="1" applyBorder="1" applyAlignment="1">
      <alignment wrapText="1"/>
    </xf>
    <xf numFmtId="0" fontId="44" fillId="0" borderId="18" xfId="0" applyFont="1" applyBorder="1" applyAlignment="1">
      <alignment wrapText="1"/>
    </xf>
    <xf numFmtId="0" fontId="44" fillId="0" borderId="15" xfId="0" applyFont="1" applyBorder="1" applyAlignment="1">
      <alignment wrapText="1"/>
    </xf>
    <xf numFmtId="0" fontId="44" fillId="0" borderId="22" xfId="0" applyFont="1" applyBorder="1" applyAlignment="1">
      <alignment wrapText="1"/>
    </xf>
    <xf numFmtId="0" fontId="22" fillId="38" borderId="0" xfId="0" applyFont="1" applyFill="1"/>
    <xf numFmtId="20" fontId="22" fillId="38" borderId="0" xfId="0" applyNumberFormat="1" applyFont="1" applyFill="1"/>
    <xf numFmtId="0" fontId="44" fillId="38" borderId="6" xfId="0" applyFont="1" applyFill="1" applyBorder="1" applyAlignment="1">
      <alignment vertical="center" wrapText="1"/>
    </xf>
    <xf numFmtId="18" fontId="44" fillId="38" borderId="6" xfId="0" applyNumberFormat="1" applyFont="1" applyFill="1" applyBorder="1" applyAlignment="1">
      <alignment vertical="center" wrapText="1"/>
    </xf>
    <xf numFmtId="18" fontId="44" fillId="38" borderId="1" xfId="0" applyNumberFormat="1" applyFont="1" applyFill="1" applyBorder="1" applyAlignment="1">
      <alignment vertical="center" wrapText="1"/>
    </xf>
    <xf numFmtId="1" fontId="31" fillId="38" borderId="1" xfId="0" applyNumberFormat="1" applyFont="1" applyFill="1" applyBorder="1" applyAlignment="1">
      <alignment vertical="center" wrapText="1"/>
    </xf>
    <xf numFmtId="1" fontId="31" fillId="38" borderId="5" xfId="0" applyNumberFormat="1" applyFont="1" applyFill="1" applyBorder="1" applyAlignment="1">
      <alignment vertical="center" wrapText="1"/>
    </xf>
    <xf numFmtId="0" fontId="31" fillId="38" borderId="5" xfId="0" applyFont="1" applyFill="1" applyBorder="1" applyAlignment="1">
      <alignment vertical="center" wrapText="1"/>
    </xf>
    <xf numFmtId="0" fontId="3" fillId="38" borderId="7" xfId="2" applyFill="1" applyBorder="1" applyAlignment="1">
      <alignment vertical="center" wrapText="1"/>
    </xf>
    <xf numFmtId="1" fontId="31" fillId="38" borderId="6" xfId="0" applyNumberFormat="1" applyFont="1" applyFill="1" applyBorder="1" applyAlignment="1">
      <alignment vertical="center" wrapText="1"/>
    </xf>
    <xf numFmtId="0" fontId="31" fillId="63" borderId="9" xfId="0" applyFont="1" applyFill="1" applyBorder="1" applyAlignment="1">
      <alignment wrapText="1"/>
    </xf>
    <xf numFmtId="0" fontId="3" fillId="63" borderId="0" xfId="2" applyFill="1"/>
    <xf numFmtId="0" fontId="0" fillId="63" borderId="9" xfId="0" applyFill="1" applyBorder="1" applyAlignment="1">
      <alignment wrapText="1"/>
    </xf>
    <xf numFmtId="0" fontId="47" fillId="63" borderId="0" xfId="0" applyFont="1" applyFill="1"/>
    <xf numFmtId="14" fontId="47" fillId="0" borderId="0" xfId="0" applyNumberFormat="1" applyFont="1"/>
    <xf numFmtId="16" fontId="31" fillId="63" borderId="9" xfId="0" applyNumberFormat="1" applyFont="1" applyFill="1" applyBorder="1" applyAlignment="1">
      <alignment wrapText="1"/>
    </xf>
    <xf numFmtId="20" fontId="47" fillId="63" borderId="0" xfId="0" applyNumberFormat="1" applyFont="1" applyFill="1"/>
    <xf numFmtId="16" fontId="31" fillId="3" borderId="9" xfId="0" applyNumberFormat="1" applyFont="1" applyFill="1" applyBorder="1" applyAlignment="1">
      <alignment wrapText="1"/>
    </xf>
    <xf numFmtId="1" fontId="31" fillId="63" borderId="9" xfId="0" applyNumberFormat="1" applyFont="1" applyFill="1" applyBorder="1" applyAlignment="1">
      <alignment wrapText="1"/>
    </xf>
    <xf numFmtId="16" fontId="47" fillId="63" borderId="0" xfId="0" applyNumberFormat="1" applyFont="1" applyFill="1"/>
    <xf numFmtId="0" fontId="31" fillId="63" borderId="9" xfId="0" applyFont="1" applyFill="1" applyBorder="1" applyAlignment="1">
      <alignment vertical="center" wrapText="1"/>
    </xf>
    <xf numFmtId="0" fontId="47" fillId="63" borderId="0" xfId="0" applyFont="1" applyFill="1" applyAlignment="1">
      <alignment wrapText="1"/>
    </xf>
    <xf numFmtId="1" fontId="44" fillId="63" borderId="9" xfId="0" applyNumberFormat="1" applyFont="1" applyFill="1" applyBorder="1" applyAlignment="1">
      <alignment wrapText="1"/>
    </xf>
    <xf numFmtId="0" fontId="44" fillId="63" borderId="9" xfId="0" applyFont="1" applyFill="1" applyBorder="1" applyAlignment="1">
      <alignment wrapText="1"/>
    </xf>
    <xf numFmtId="0" fontId="31" fillId="63" borderId="0" xfId="0" applyFont="1" applyFill="1"/>
    <xf numFmtId="16" fontId="31" fillId="63" borderId="0" xfId="0" applyNumberFormat="1" applyFont="1" applyFill="1"/>
    <xf numFmtId="0" fontId="44" fillId="3" borderId="9" xfId="0" applyFont="1" applyFill="1" applyBorder="1" applyAlignment="1">
      <alignment wrapText="1"/>
    </xf>
    <xf numFmtId="0" fontId="31" fillId="63" borderId="11" xfId="0" applyFont="1" applyFill="1" applyBorder="1" applyAlignment="1">
      <alignment wrapText="1"/>
    </xf>
    <xf numFmtId="0" fontId="53" fillId="63" borderId="11" xfId="0" applyFont="1" applyFill="1" applyBorder="1" applyAlignment="1">
      <alignment wrapText="1"/>
    </xf>
    <xf numFmtId="0" fontId="31" fillId="63" borderId="13" xfId="0" applyFont="1" applyFill="1" applyBorder="1" applyAlignment="1">
      <alignment wrapText="1"/>
    </xf>
    <xf numFmtId="0" fontId="58" fillId="0" borderId="0" xfId="0" applyFont="1" applyAlignment="1">
      <alignment wrapText="1"/>
    </xf>
    <xf numFmtId="0" fontId="93" fillId="0" borderId="0" xfId="0" applyFont="1" applyAlignment="1">
      <alignment wrapText="1"/>
    </xf>
    <xf numFmtId="0" fontId="94" fillId="0" borderId="0" xfId="0" applyFont="1" applyAlignment="1">
      <alignment wrapText="1"/>
    </xf>
    <xf numFmtId="165" fontId="88" fillId="0" borderId="1" xfId="0" applyNumberFormat="1" applyFont="1" applyBorder="1"/>
    <xf numFmtId="0" fontId="89" fillId="0" borderId="17" xfId="0" applyFont="1" applyBorder="1"/>
    <xf numFmtId="16" fontId="89" fillId="0" borderId="17" xfId="0" applyNumberFormat="1" applyFont="1" applyBorder="1"/>
    <xf numFmtId="20" fontId="89" fillId="0" borderId="27" xfId="0" applyNumberFormat="1" applyFont="1" applyBorder="1"/>
    <xf numFmtId="16" fontId="31" fillId="9" borderId="9" xfId="0" applyNumberFormat="1" applyFont="1" applyFill="1" applyBorder="1" applyAlignment="1">
      <alignment wrapText="1"/>
    </xf>
    <xf numFmtId="17" fontId="89" fillId="0" borderId="12" xfId="0" applyNumberFormat="1" applyFont="1" applyBorder="1"/>
    <xf numFmtId="1" fontId="31" fillId="53" borderId="9" xfId="0" applyNumberFormat="1" applyFont="1" applyFill="1" applyBorder="1" applyAlignment="1">
      <alignment vertical="center" wrapText="1"/>
    </xf>
    <xf numFmtId="0" fontId="40" fillId="39" borderId="9" xfId="0" applyFont="1" applyFill="1" applyBorder="1" applyAlignment="1">
      <alignment vertical="center" wrapText="1"/>
    </xf>
    <xf numFmtId="0" fontId="62" fillId="41" borderId="1" xfId="0" applyFont="1" applyFill="1" applyBorder="1" applyAlignment="1">
      <alignment wrapText="1"/>
    </xf>
    <xf numFmtId="1" fontId="31" fillId="40" borderId="9" xfId="0" applyNumberFormat="1" applyFont="1" applyFill="1" applyBorder="1" applyAlignment="1">
      <alignment wrapText="1"/>
    </xf>
    <xf numFmtId="0" fontId="31" fillId="40" borderId="17" xfId="0" applyFont="1" applyFill="1" applyBorder="1" applyAlignment="1">
      <alignment wrapText="1"/>
    </xf>
    <xf numFmtId="0" fontId="31" fillId="40" borderId="15" xfId="0" applyFont="1" applyFill="1" applyBorder="1" applyAlignment="1">
      <alignment wrapText="1"/>
    </xf>
    <xf numFmtId="16" fontId="31" fillId="40" borderId="9" xfId="0" applyNumberFormat="1" applyFont="1" applyFill="1" applyBorder="1" applyAlignment="1">
      <alignment wrapText="1"/>
    </xf>
    <xf numFmtId="0" fontId="31" fillId="40" borderId="12" xfId="0" applyFont="1" applyFill="1" applyBorder="1" applyAlignment="1">
      <alignment wrapText="1"/>
    </xf>
    <xf numFmtId="0" fontId="31" fillId="40" borderId="20" xfId="0" applyFont="1" applyFill="1" applyBorder="1" applyAlignment="1">
      <alignment wrapText="1"/>
    </xf>
    <xf numFmtId="0" fontId="63" fillId="64" borderId="9" xfId="0" applyFont="1" applyFill="1" applyBorder="1" applyAlignment="1">
      <alignment wrapText="1"/>
    </xf>
    <xf numFmtId="0" fontId="63" fillId="64" borderId="12" xfId="0" applyFont="1" applyFill="1" applyBorder="1" applyAlignment="1">
      <alignment wrapText="1"/>
    </xf>
    <xf numFmtId="0" fontId="80" fillId="51" borderId="15" xfId="0" applyFont="1" applyFill="1" applyBorder="1"/>
    <xf numFmtId="0" fontId="80" fillId="51" borderId="40" xfId="0" applyFont="1" applyFill="1" applyBorder="1"/>
    <xf numFmtId="166" fontId="31" fillId="0" borderId="0" xfId="0" applyNumberFormat="1" applyFont="1" applyAlignment="1">
      <alignment wrapText="1"/>
    </xf>
    <xf numFmtId="0" fontId="31" fillId="18" borderId="9" xfId="0" applyFont="1" applyFill="1" applyBorder="1" applyAlignment="1">
      <alignment horizontal="right" wrapText="1"/>
    </xf>
    <xf numFmtId="0" fontId="31" fillId="39" borderId="9" xfId="0" applyFont="1" applyFill="1" applyBorder="1" applyAlignment="1">
      <alignment horizontal="right" wrapText="1"/>
    </xf>
    <xf numFmtId="0" fontId="40" fillId="39" borderId="9" xfId="0" applyFont="1" applyFill="1" applyBorder="1" applyAlignment="1">
      <alignment wrapText="1"/>
    </xf>
    <xf numFmtId="1" fontId="31" fillId="39" borderId="9" xfId="0" applyNumberFormat="1" applyFont="1" applyFill="1" applyBorder="1" applyAlignment="1">
      <alignment wrapText="1"/>
    </xf>
    <xf numFmtId="0" fontId="31" fillId="39" borderId="15" xfId="0" applyFont="1" applyFill="1" applyBorder="1" applyAlignment="1">
      <alignment wrapText="1"/>
    </xf>
    <xf numFmtId="168" fontId="31" fillId="39" borderId="9" xfId="0" applyNumberFormat="1" applyFont="1" applyFill="1" applyBorder="1" applyAlignment="1">
      <alignment wrapText="1"/>
    </xf>
    <xf numFmtId="0" fontId="80" fillId="0" borderId="31" xfId="0" applyFont="1" applyBorder="1" applyAlignment="1">
      <alignment wrapText="1"/>
    </xf>
    <xf numFmtId="0" fontId="44" fillId="3" borderId="20" xfId="0" applyFont="1" applyFill="1" applyBorder="1" applyAlignment="1">
      <alignment wrapText="1"/>
    </xf>
    <xf numFmtId="0" fontId="47" fillId="0" borderId="11" xfId="0" applyFont="1" applyBorder="1"/>
    <xf numFmtId="0" fontId="31" fillId="0" borderId="17" xfId="0" applyFont="1" applyBorder="1"/>
    <xf numFmtId="0" fontId="31" fillId="39" borderId="17" xfId="0" applyFont="1" applyFill="1" applyBorder="1" applyAlignment="1">
      <alignment wrapText="1"/>
    </xf>
    <xf numFmtId="1" fontId="31" fillId="39" borderId="17" xfId="0" applyNumberFormat="1" applyFont="1" applyFill="1" applyBorder="1" applyAlignment="1">
      <alignment wrapText="1"/>
    </xf>
    <xf numFmtId="0" fontId="30" fillId="0" borderId="22" xfId="0" applyFont="1" applyBorder="1" applyAlignment="1">
      <alignment horizontal="center" vertical="center" wrapText="1"/>
    </xf>
    <xf numFmtId="0" fontId="30" fillId="0" borderId="0" xfId="0" applyFont="1" applyAlignment="1">
      <alignment horizontal="center" vertical="center" wrapText="1"/>
    </xf>
    <xf numFmtId="0" fontId="31" fillId="30" borderId="9" xfId="0" applyFont="1" applyFill="1" applyBorder="1" applyAlignment="1">
      <alignment horizontal="center" wrapText="1"/>
    </xf>
    <xf numFmtId="0" fontId="31" fillId="0" borderId="9" xfId="0" applyFont="1" applyBorder="1" applyAlignment="1">
      <alignment horizontal="center" wrapText="1"/>
    </xf>
    <xf numFmtId="1" fontId="31" fillId="0" borderId="9" xfId="0" applyNumberFormat="1" applyFont="1" applyBorder="1" applyAlignment="1">
      <alignment horizontal="center" vertical="center" wrapText="1"/>
    </xf>
    <xf numFmtId="0" fontId="39" fillId="0" borderId="15" xfId="0" applyFont="1" applyBorder="1" applyAlignment="1">
      <alignment horizontal="center"/>
    </xf>
    <xf numFmtId="0" fontId="39" fillId="0" borderId="14" xfId="0" applyFont="1" applyBorder="1" applyAlignment="1">
      <alignment horizontal="center"/>
    </xf>
    <xf numFmtId="0" fontId="39" fillId="0" borderId="12" xfId="0" applyFont="1" applyBorder="1" applyAlignment="1">
      <alignment horizontal="center"/>
    </xf>
    <xf numFmtId="0" fontId="36" fillId="0" borderId="9" xfId="0" applyFont="1" applyBorder="1" applyAlignment="1">
      <alignment horizontal="center" wrapText="1"/>
    </xf>
    <xf numFmtId="0" fontId="3" fillId="26" borderId="9" xfId="2" applyFill="1" applyBorder="1" applyAlignment="1">
      <alignment horizontal="center" wrapText="1"/>
    </xf>
    <xf numFmtId="0" fontId="36" fillId="17" borderId="9" xfId="0" applyFont="1" applyFill="1" applyBorder="1" applyAlignment="1">
      <alignment horizontal="center" wrapText="1"/>
    </xf>
    <xf numFmtId="16" fontId="46" fillId="0" borderId="9" xfId="0" applyNumberFormat="1" applyFont="1" applyBorder="1" applyAlignment="1">
      <alignment horizontal="center" wrapText="1"/>
    </xf>
    <xf numFmtId="1" fontId="36" fillId="0" borderId="9" xfId="0" applyNumberFormat="1" applyFont="1" applyBorder="1" applyAlignment="1">
      <alignment horizontal="center" vertical="center" wrapText="1"/>
    </xf>
    <xf numFmtId="0" fontId="36" fillId="26" borderId="9" xfId="0" applyFont="1" applyFill="1" applyBorder="1" applyAlignment="1">
      <alignment horizontal="center" wrapText="1"/>
    </xf>
    <xf numFmtId="16" fontId="36" fillId="0" borderId="9" xfId="0" applyNumberFormat="1" applyFont="1" applyBorder="1" applyAlignment="1">
      <alignment horizontal="center" wrapText="1"/>
    </xf>
    <xf numFmtId="16" fontId="36" fillId="0" borderId="9" xfId="0" applyNumberFormat="1" applyFont="1" applyBorder="1" applyAlignment="1">
      <alignment wrapText="1"/>
    </xf>
    <xf numFmtId="0" fontId="36" fillId="0" borderId="9" xfId="0" applyFont="1" applyBorder="1" applyAlignment="1">
      <alignment wrapText="1"/>
    </xf>
    <xf numFmtId="0" fontId="36" fillId="26" borderId="9" xfId="0" applyFont="1" applyFill="1" applyBorder="1" applyAlignment="1">
      <alignment vertical="center" wrapText="1"/>
    </xf>
    <xf numFmtId="16" fontId="46" fillId="0" borderId="9" xfId="0" applyNumberFormat="1" applyFont="1" applyBorder="1" applyAlignment="1">
      <alignment wrapText="1"/>
    </xf>
    <xf numFmtId="0" fontId="46" fillId="0" borderId="9" xfId="0" applyFont="1" applyBorder="1" applyAlignment="1">
      <alignment wrapText="1"/>
    </xf>
    <xf numFmtId="16" fontId="46" fillId="17" borderId="9" xfId="0" applyNumberFormat="1" applyFont="1" applyFill="1" applyBorder="1" applyAlignment="1">
      <alignment wrapText="1"/>
    </xf>
    <xf numFmtId="0" fontId="46" fillId="17" borderId="9" xfId="0" applyFont="1" applyFill="1" applyBorder="1" applyAlignment="1">
      <alignment wrapText="1"/>
    </xf>
    <xf numFmtId="0" fontId="3" fillId="36" borderId="9" xfId="2" applyFill="1" applyBorder="1" applyAlignment="1">
      <alignment horizontal="center" wrapText="1"/>
    </xf>
    <xf numFmtId="1" fontId="36" fillId="0" borderId="9" xfId="0" applyNumberFormat="1" applyFont="1" applyBorder="1" applyAlignment="1">
      <alignment horizontal="center" wrapText="1"/>
    </xf>
    <xf numFmtId="1" fontId="46" fillId="0" borderId="9" xfId="0" applyNumberFormat="1" applyFont="1" applyBorder="1" applyAlignment="1">
      <alignment wrapText="1"/>
    </xf>
    <xf numFmtId="0" fontId="36" fillId="17" borderId="9" xfId="0" applyFont="1" applyFill="1" applyBorder="1" applyAlignment="1">
      <alignment wrapText="1"/>
    </xf>
    <xf numFmtId="1" fontId="36" fillId="0" borderId="9" xfId="0" applyNumberFormat="1" applyFont="1" applyBorder="1" applyAlignment="1">
      <alignment wrapText="1"/>
    </xf>
    <xf numFmtId="16" fontId="36" fillId="21" borderId="9" xfId="0" applyNumberFormat="1" applyFont="1" applyFill="1" applyBorder="1" applyAlignment="1">
      <alignment wrapText="1"/>
    </xf>
    <xf numFmtId="0" fontId="36" fillId="21" borderId="9" xfId="0" applyFont="1" applyFill="1" applyBorder="1" applyAlignment="1">
      <alignment wrapText="1"/>
    </xf>
    <xf numFmtId="0" fontId="46" fillId="26" borderId="9" xfId="0" applyFont="1" applyFill="1" applyBorder="1" applyAlignment="1">
      <alignment vertical="center" wrapText="1"/>
    </xf>
    <xf numFmtId="0" fontId="39" fillId="0" borderId="9" xfId="0" applyFont="1" applyBorder="1" applyAlignment="1">
      <alignment wrapText="1"/>
    </xf>
    <xf numFmtId="16" fontId="36" fillId="17" borderId="9" xfId="0" applyNumberFormat="1" applyFont="1" applyFill="1" applyBorder="1" applyAlignment="1">
      <alignment wrapText="1"/>
    </xf>
    <xf numFmtId="16" fontId="36" fillId="0" borderId="17" xfId="0" applyNumberFormat="1" applyFont="1" applyBorder="1" applyAlignment="1">
      <alignment wrapText="1"/>
    </xf>
    <xf numFmtId="16" fontId="36" fillId="0" borderId="11" xfId="0" applyNumberFormat="1" applyFont="1" applyBorder="1" applyAlignment="1">
      <alignment wrapText="1"/>
    </xf>
    <xf numFmtId="16" fontId="36" fillId="7" borderId="9" xfId="0" applyNumberFormat="1" applyFont="1" applyFill="1" applyBorder="1" applyAlignment="1">
      <alignment wrapText="1"/>
    </xf>
    <xf numFmtId="16" fontId="36" fillId="21" borderId="9" xfId="0" applyNumberFormat="1" applyFont="1" applyFill="1" applyBorder="1" applyAlignment="1">
      <alignment horizontal="center" wrapText="1"/>
    </xf>
    <xf numFmtId="16" fontId="36" fillId="32" borderId="9" xfId="0" applyNumberFormat="1" applyFont="1" applyFill="1" applyBorder="1" applyAlignment="1">
      <alignment wrapText="1"/>
    </xf>
    <xf numFmtId="0" fontId="36" fillId="32" borderId="9" xfId="0" applyFont="1" applyFill="1" applyBorder="1" applyAlignment="1">
      <alignment wrapText="1"/>
    </xf>
    <xf numFmtId="16" fontId="84" fillId="4" borderId="9" xfId="0" applyNumberFormat="1" applyFont="1" applyFill="1" applyBorder="1" applyAlignment="1">
      <alignment wrapText="1"/>
    </xf>
    <xf numFmtId="0" fontId="84" fillId="4" borderId="9" xfId="0" applyFont="1" applyFill="1" applyBorder="1" applyAlignment="1">
      <alignment wrapText="1"/>
    </xf>
    <xf numFmtId="0" fontId="28" fillId="22" borderId="9" xfId="0" applyFont="1" applyFill="1" applyBorder="1" applyAlignment="1">
      <alignment horizontal="center" vertical="center" wrapText="1"/>
    </xf>
    <xf numFmtId="0" fontId="36" fillId="26" borderId="9" xfId="0" applyFont="1" applyFill="1" applyBorder="1" applyAlignment="1">
      <alignment wrapText="1"/>
    </xf>
    <xf numFmtId="0" fontId="29" fillId="24" borderId="9" xfId="0" applyFont="1" applyFill="1" applyBorder="1" applyAlignment="1">
      <alignment horizontal="center" vertical="center" wrapText="1"/>
    </xf>
    <xf numFmtId="0" fontId="26" fillId="19" borderId="9" xfId="0" applyFont="1" applyFill="1" applyBorder="1" applyAlignment="1">
      <alignment horizontal="center" vertical="center" wrapText="1"/>
    </xf>
    <xf numFmtId="0" fontId="31" fillId="0" borderId="9" xfId="0" applyFont="1" applyBorder="1" applyAlignment="1">
      <alignment wrapText="1"/>
    </xf>
    <xf numFmtId="0" fontId="31" fillId="26" borderId="9" xfId="0" applyFont="1" applyFill="1" applyBorder="1" applyAlignment="1">
      <alignment horizontal="center" wrapText="1"/>
    </xf>
    <xf numFmtId="0" fontId="27" fillId="20" borderId="9" xfId="0" applyFont="1" applyFill="1" applyBorder="1" applyAlignment="1">
      <alignment horizontal="center" vertical="center" wrapText="1"/>
    </xf>
    <xf numFmtId="0" fontId="27" fillId="21" borderId="9" xfId="0" applyFont="1" applyFill="1" applyBorder="1" applyAlignment="1">
      <alignment horizontal="center" vertical="center" wrapText="1"/>
    </xf>
    <xf numFmtId="0" fontId="9" fillId="0" borderId="9" xfId="0" applyFont="1" applyBorder="1" applyAlignment="1">
      <alignment horizontal="center" wrapText="1"/>
    </xf>
    <xf numFmtId="0" fontId="3" fillId="2" borderId="9" xfId="2" applyFill="1" applyBorder="1" applyAlignment="1">
      <alignment horizontal="center" wrapText="1"/>
    </xf>
    <xf numFmtId="0" fontId="36" fillId="36" borderId="9" xfId="0" applyFont="1" applyFill="1" applyBorder="1" applyAlignment="1">
      <alignment horizontal="center" wrapText="1"/>
    </xf>
    <xf numFmtId="16" fontId="3" fillId="36" borderId="9" xfId="2" applyNumberFormat="1" applyFill="1" applyBorder="1" applyAlignment="1">
      <alignment wrapText="1"/>
    </xf>
    <xf numFmtId="0" fontId="36" fillId="36" borderId="9" xfId="0" applyFont="1" applyFill="1" applyBorder="1" applyAlignment="1">
      <alignment wrapText="1"/>
    </xf>
    <xf numFmtId="0" fontId="3" fillId="0" borderId="9" xfId="2" applyBorder="1" applyAlignment="1">
      <alignment horizontal="center" wrapText="1"/>
    </xf>
    <xf numFmtId="16" fontId="3" fillId="0" borderId="9" xfId="2" applyNumberFormat="1" applyBorder="1" applyAlignment="1">
      <alignment wrapText="1"/>
    </xf>
    <xf numFmtId="0" fontId="31" fillId="31" borderId="9" xfId="0" applyFont="1" applyFill="1" applyBorder="1" applyAlignment="1">
      <alignment horizontal="center" wrapText="1"/>
    </xf>
    <xf numFmtId="0" fontId="3" fillId="0" borderId="9" xfId="2" applyFill="1" applyBorder="1" applyAlignment="1">
      <alignment horizontal="center" wrapText="1"/>
    </xf>
    <xf numFmtId="0" fontId="31" fillId="53" borderId="9" xfId="0" applyFont="1" applyFill="1" applyBorder="1" applyAlignment="1">
      <alignment horizontal="center" wrapText="1"/>
    </xf>
    <xf numFmtId="0" fontId="36" fillId="2" borderId="9" xfId="0" applyFont="1" applyFill="1" applyBorder="1" applyAlignment="1">
      <alignment horizontal="center" wrapText="1"/>
    </xf>
    <xf numFmtId="0" fontId="36" fillId="30" borderId="9" xfId="0" applyFont="1" applyFill="1" applyBorder="1" applyAlignment="1">
      <alignment horizontal="center" wrapText="1"/>
    </xf>
    <xf numFmtId="0" fontId="46" fillId="26" borderId="9" xfId="0" applyFont="1" applyFill="1" applyBorder="1" applyAlignment="1">
      <alignment horizontal="center" wrapText="1"/>
    </xf>
    <xf numFmtId="0" fontId="3" fillId="3" borderId="9" xfId="2" applyFill="1" applyBorder="1" applyAlignment="1">
      <alignment horizontal="center" wrapText="1"/>
    </xf>
    <xf numFmtId="0" fontId="46" fillId="3" borderId="9" xfId="0" applyFont="1" applyFill="1" applyBorder="1" applyAlignment="1">
      <alignment horizontal="center" wrapText="1"/>
    </xf>
    <xf numFmtId="1" fontId="46" fillId="0" borderId="9" xfId="0" applyNumberFormat="1" applyFont="1" applyBorder="1" applyAlignment="1">
      <alignment horizontal="center" vertical="center" wrapText="1"/>
    </xf>
    <xf numFmtId="16" fontId="36" fillId="0" borderId="17" xfId="0" applyNumberFormat="1" applyFont="1" applyBorder="1" applyAlignment="1">
      <alignment horizontal="center" wrapText="1"/>
    </xf>
    <xf numFmtId="16" fontId="36" fillId="0" borderId="20" xfId="0" applyNumberFormat="1" applyFont="1" applyBorder="1" applyAlignment="1">
      <alignment horizontal="center" wrapText="1"/>
    </xf>
    <xf numFmtId="16" fontId="53" fillId="0" borderId="9" xfId="0" applyNumberFormat="1" applyFont="1" applyBorder="1" applyAlignment="1">
      <alignment wrapText="1"/>
    </xf>
    <xf numFmtId="0" fontId="36" fillId="53" borderId="9" xfId="0" applyFont="1" applyFill="1" applyBorder="1" applyAlignment="1">
      <alignment wrapText="1"/>
    </xf>
    <xf numFmtId="16" fontId="36" fillId="17" borderId="9" xfId="0" applyNumberFormat="1" applyFont="1" applyFill="1" applyBorder="1" applyAlignment="1">
      <alignment horizontal="center" wrapText="1"/>
    </xf>
    <xf numFmtId="0" fontId="36" fillId="0" borderId="17" xfId="0" applyFont="1" applyBorder="1" applyAlignment="1">
      <alignment horizontal="center" wrapText="1"/>
    </xf>
    <xf numFmtId="0" fontId="36" fillId="0" borderId="20" xfId="0" applyFont="1" applyBorder="1" applyAlignment="1">
      <alignment horizontal="center" wrapText="1"/>
    </xf>
    <xf numFmtId="0" fontId="36" fillId="0" borderId="11" xfId="0" applyFont="1" applyBorder="1" applyAlignment="1">
      <alignment horizontal="center" wrapText="1"/>
    </xf>
    <xf numFmtId="0" fontId="84" fillId="4" borderId="9" xfId="0" applyFont="1" applyFill="1" applyBorder="1" applyAlignment="1">
      <alignment vertical="center" wrapText="1"/>
    </xf>
    <xf numFmtId="1" fontId="84" fillId="4" borderId="9" xfId="0" applyNumberFormat="1" applyFont="1" applyFill="1" applyBorder="1" applyAlignment="1">
      <alignment wrapText="1"/>
    </xf>
    <xf numFmtId="1" fontId="84" fillId="4" borderId="9" xfId="0" applyNumberFormat="1" applyFont="1" applyFill="1" applyBorder="1" applyAlignment="1">
      <alignment horizontal="center" vertical="center" wrapText="1"/>
    </xf>
    <xf numFmtId="0" fontId="84" fillId="4" borderId="9" xfId="0" applyFont="1" applyFill="1" applyBorder="1" applyAlignment="1">
      <alignment horizontal="center" wrapText="1"/>
    </xf>
    <xf numFmtId="16" fontId="85" fillId="4" borderId="9" xfId="0" applyNumberFormat="1" applyFont="1" applyFill="1" applyBorder="1" applyAlignment="1">
      <alignment wrapText="1"/>
    </xf>
    <xf numFmtId="0" fontId="85" fillId="4" borderId="9" xfId="0" applyFont="1" applyFill="1" applyBorder="1" applyAlignment="1">
      <alignment wrapText="1"/>
    </xf>
    <xf numFmtId="0" fontId="46" fillId="0" borderId="9" xfId="0" applyFont="1" applyBorder="1" applyAlignment="1">
      <alignment horizontal="center" wrapText="1"/>
    </xf>
    <xf numFmtId="0" fontId="3" fillId="0" borderId="9" xfId="2" applyBorder="1" applyAlignment="1">
      <alignment wrapText="1"/>
    </xf>
    <xf numFmtId="16" fontId="3" fillId="2" borderId="9" xfId="2" applyNumberFormat="1" applyFill="1" applyBorder="1" applyAlignment="1">
      <alignment wrapText="1"/>
    </xf>
    <xf numFmtId="0" fontId="3" fillId="2" borderId="9" xfId="2" applyFill="1" applyBorder="1" applyAlignment="1">
      <alignment wrapText="1"/>
    </xf>
    <xf numFmtId="0" fontId="31" fillId="9" borderId="9" xfId="0" applyFont="1" applyFill="1" applyBorder="1" applyAlignment="1">
      <alignment horizontal="center" wrapText="1"/>
    </xf>
    <xf numFmtId="16" fontId="36" fillId="8" borderId="9" xfId="0" applyNumberFormat="1" applyFont="1" applyFill="1" applyBorder="1" applyAlignment="1">
      <alignment wrapText="1"/>
    </xf>
    <xf numFmtId="0" fontId="36" fillId="8" borderId="9" xfId="0" applyFont="1" applyFill="1" applyBorder="1" applyAlignment="1">
      <alignment wrapText="1"/>
    </xf>
    <xf numFmtId="0" fontId="3" fillId="9" borderId="9" xfId="2" applyFill="1" applyBorder="1" applyAlignment="1">
      <alignment horizontal="center" wrapText="1"/>
    </xf>
    <xf numFmtId="0" fontId="36" fillId="29" borderId="9" xfId="0" applyFont="1" applyFill="1" applyBorder="1" applyAlignment="1">
      <alignment horizontal="center" wrapText="1"/>
    </xf>
    <xf numFmtId="0" fontId="36" fillId="2" borderId="9" xfId="0" applyFont="1" applyFill="1" applyBorder="1" applyAlignment="1">
      <alignment wrapText="1"/>
    </xf>
    <xf numFmtId="0" fontId="46" fillId="34" borderId="9" xfId="0" applyFont="1" applyFill="1" applyBorder="1" applyAlignment="1">
      <alignment horizontal="center" wrapText="1"/>
    </xf>
    <xf numFmtId="16" fontId="3" fillId="2" borderId="9" xfId="2" applyNumberFormat="1" applyFill="1" applyBorder="1" applyAlignment="1">
      <alignment horizontal="center" wrapText="1"/>
    </xf>
    <xf numFmtId="16" fontId="3" fillId="0" borderId="9" xfId="2" applyNumberFormat="1" applyBorder="1" applyAlignment="1">
      <alignment horizontal="center" wrapText="1"/>
    </xf>
    <xf numFmtId="0" fontId="46" fillId="30" borderId="9" xfId="0" applyFont="1" applyFill="1" applyBorder="1" applyAlignment="1">
      <alignment horizontal="center" wrapText="1"/>
    </xf>
    <xf numFmtId="0" fontId="47" fillId="34" borderId="9" xfId="0" applyFont="1" applyFill="1" applyBorder="1" applyAlignment="1">
      <alignment horizontal="center" wrapText="1"/>
    </xf>
    <xf numFmtId="16" fontId="46" fillId="17" borderId="9" xfId="0" applyNumberFormat="1" applyFont="1" applyFill="1" applyBorder="1" applyAlignment="1">
      <alignment horizontal="center" wrapText="1"/>
    </xf>
    <xf numFmtId="1" fontId="46" fillId="0" borderId="9" xfId="0" applyNumberFormat="1" applyFont="1" applyBorder="1" applyAlignment="1">
      <alignment horizontal="center" wrapText="1"/>
    </xf>
    <xf numFmtId="0" fontId="46" fillId="2" borderId="9" xfId="0" applyFont="1" applyFill="1" applyBorder="1" applyAlignment="1">
      <alignment horizontal="center" wrapText="1"/>
    </xf>
    <xf numFmtId="16" fontId="46" fillId="2" borderId="9" xfId="0" applyNumberFormat="1" applyFont="1" applyFill="1" applyBorder="1" applyAlignment="1">
      <alignment wrapText="1"/>
    </xf>
    <xf numFmtId="0" fontId="46" fillId="2" borderId="9" xfId="0" applyFont="1" applyFill="1" applyBorder="1" applyAlignment="1">
      <alignment wrapText="1"/>
    </xf>
    <xf numFmtId="16" fontId="3" fillId="0" borderId="9" xfId="2" applyNumberFormat="1" applyFill="1" applyBorder="1" applyAlignment="1">
      <alignment wrapText="1"/>
    </xf>
    <xf numFmtId="0" fontId="3" fillId="0" borderId="9" xfId="2" applyFill="1" applyBorder="1" applyAlignment="1">
      <alignment wrapText="1"/>
    </xf>
    <xf numFmtId="1" fontId="36" fillId="2" borderId="9" xfId="0" applyNumberFormat="1" applyFont="1" applyFill="1" applyBorder="1" applyAlignment="1">
      <alignment horizontal="center" vertical="center" wrapText="1"/>
    </xf>
    <xf numFmtId="0" fontId="53" fillId="0" borderId="9" xfId="0" applyFont="1" applyBorder="1" applyAlignment="1">
      <alignment horizontal="center" wrapText="1"/>
    </xf>
    <xf numFmtId="16" fontId="23" fillId="8" borderId="9" xfId="0" applyNumberFormat="1" applyFont="1" applyFill="1" applyBorder="1" applyAlignment="1">
      <alignment wrapText="1"/>
    </xf>
    <xf numFmtId="0" fontId="46" fillId="8" borderId="9" xfId="0" applyFont="1" applyFill="1" applyBorder="1" applyAlignment="1">
      <alignment wrapText="1"/>
    </xf>
    <xf numFmtId="16" fontId="59" fillId="0" borderId="9" xfId="0" applyNumberFormat="1" applyFont="1" applyBorder="1" applyAlignment="1">
      <alignment wrapText="1"/>
    </xf>
    <xf numFmtId="0" fontId="36" fillId="8" borderId="17" xfId="0" applyFont="1" applyFill="1" applyBorder="1" applyAlignment="1">
      <alignment horizontal="center" wrapText="1"/>
    </xf>
    <xf numFmtId="0" fontId="36" fillId="8" borderId="20" xfId="0" applyFont="1" applyFill="1" applyBorder="1" applyAlignment="1">
      <alignment horizontal="center" wrapText="1"/>
    </xf>
    <xf numFmtId="0" fontId="47" fillId="0" borderId="9" xfId="0" applyFont="1" applyBorder="1" applyAlignment="1">
      <alignment horizontal="center" wrapText="1"/>
    </xf>
    <xf numFmtId="0" fontId="46" fillId="8" borderId="9" xfId="0" applyFont="1" applyFill="1" applyBorder="1" applyAlignment="1">
      <alignment horizontal="center" wrapText="1"/>
    </xf>
    <xf numFmtId="16" fontId="36" fillId="9" borderId="9" xfId="0" applyNumberFormat="1" applyFont="1" applyFill="1" applyBorder="1" applyAlignment="1">
      <alignment wrapText="1"/>
    </xf>
    <xf numFmtId="0" fontId="36" fillId="9" borderId="9" xfId="0" applyFont="1" applyFill="1" applyBorder="1" applyAlignment="1">
      <alignment wrapText="1"/>
    </xf>
    <xf numFmtId="16" fontId="46" fillId="9" borderId="9" xfId="0" applyNumberFormat="1" applyFont="1" applyFill="1" applyBorder="1" applyAlignment="1">
      <alignment wrapText="1"/>
    </xf>
    <xf numFmtId="0" fontId="46" fillId="9" borderId="9" xfId="0" applyFont="1" applyFill="1" applyBorder="1" applyAlignment="1">
      <alignment wrapText="1"/>
    </xf>
    <xf numFmtId="16" fontId="46" fillId="8" borderId="9" xfId="0" applyNumberFormat="1" applyFont="1" applyFill="1" applyBorder="1" applyAlignment="1">
      <alignment wrapText="1"/>
    </xf>
    <xf numFmtId="16" fontId="3" fillId="9" borderId="9" xfId="2" applyNumberFormat="1" applyFill="1" applyBorder="1" applyAlignment="1">
      <alignment wrapText="1"/>
    </xf>
    <xf numFmtId="0" fontId="3" fillId="9" borderId="9" xfId="2" applyFill="1" applyBorder="1" applyAlignment="1">
      <alignment wrapText="1"/>
    </xf>
    <xf numFmtId="0" fontId="46" fillId="29" borderId="9" xfId="0" applyFont="1" applyFill="1" applyBorder="1" applyAlignment="1">
      <alignment horizontal="center" wrapText="1"/>
    </xf>
    <xf numFmtId="0" fontId="35" fillId="23" borderId="15" xfId="0" applyFont="1" applyFill="1" applyBorder="1" applyAlignment="1">
      <alignment horizontal="center" vertical="center" wrapText="1"/>
    </xf>
    <xf numFmtId="0" fontId="35" fillId="23" borderId="14" xfId="0" applyFont="1" applyFill="1" applyBorder="1" applyAlignment="1">
      <alignment horizontal="center" vertical="center" wrapText="1"/>
    </xf>
    <xf numFmtId="0" fontId="35" fillId="23" borderId="12" xfId="0" applyFont="1" applyFill="1" applyBorder="1" applyAlignment="1">
      <alignment horizontal="center" vertical="center" wrapText="1"/>
    </xf>
    <xf numFmtId="16" fontId="31" fillId="17" borderId="9" xfId="0" applyNumberFormat="1" applyFont="1" applyFill="1" applyBorder="1" applyAlignment="1">
      <alignment wrapText="1"/>
    </xf>
    <xf numFmtId="0" fontId="31" fillId="17" borderId="9" xfId="0" applyFont="1" applyFill="1" applyBorder="1" applyAlignment="1">
      <alignment wrapText="1"/>
    </xf>
    <xf numFmtId="0" fontId="30" fillId="26" borderId="9" xfId="0" applyFont="1" applyFill="1" applyBorder="1" applyAlignment="1">
      <alignment horizontal="center" wrapText="1"/>
    </xf>
    <xf numFmtId="0" fontId="39" fillId="0" borderId="9" xfId="0" applyFont="1" applyBorder="1" applyAlignment="1">
      <alignment horizontal="center" wrapText="1"/>
    </xf>
    <xf numFmtId="0" fontId="47" fillId="32" borderId="9" xfId="0" applyFont="1" applyFill="1" applyBorder="1" applyAlignment="1">
      <alignment wrapText="1"/>
    </xf>
    <xf numFmtId="0" fontId="31" fillId="32" borderId="9" xfId="0" applyFont="1" applyFill="1" applyBorder="1" applyAlignment="1">
      <alignment wrapText="1"/>
    </xf>
    <xf numFmtId="16" fontId="31" fillId="0" borderId="9" xfId="0" applyNumberFormat="1" applyFont="1" applyBorder="1" applyAlignment="1">
      <alignment wrapText="1"/>
    </xf>
    <xf numFmtId="0" fontId="30" fillId="26" borderId="9" xfId="0" applyFont="1" applyFill="1" applyBorder="1" applyAlignment="1">
      <alignment wrapText="1"/>
    </xf>
    <xf numFmtId="0" fontId="47" fillId="4" borderId="9" xfId="0" applyFont="1" applyFill="1" applyBorder="1" applyAlignment="1">
      <alignment wrapText="1"/>
    </xf>
    <xf numFmtId="0" fontId="31" fillId="4" borderId="9" xfId="0" applyFont="1" applyFill="1" applyBorder="1" applyAlignment="1">
      <alignment wrapText="1"/>
    </xf>
    <xf numFmtId="16" fontId="31" fillId="4" borderId="9" xfId="0" applyNumberFormat="1" applyFont="1" applyFill="1" applyBorder="1" applyAlignment="1">
      <alignment wrapText="1"/>
    </xf>
    <xf numFmtId="0" fontId="30" fillId="4" borderId="9" xfId="0" applyFont="1" applyFill="1" applyBorder="1" applyAlignment="1">
      <alignment horizontal="center" wrapText="1"/>
    </xf>
    <xf numFmtId="0" fontId="28" fillId="22" borderId="9" xfId="0" applyFont="1" applyFill="1" applyBorder="1" applyAlignment="1">
      <alignment horizontal="center" vertical="center"/>
    </xf>
    <xf numFmtId="0" fontId="29" fillId="23" borderId="9" xfId="0" applyFont="1" applyFill="1" applyBorder="1" applyAlignment="1">
      <alignment horizontal="center" vertical="center"/>
    </xf>
    <xf numFmtId="0" fontId="41" fillId="19" borderId="9" xfId="0" applyFont="1" applyFill="1" applyBorder="1" applyAlignment="1">
      <alignment horizontal="center" vertical="center" wrapText="1"/>
    </xf>
    <xf numFmtId="0" fontId="41" fillId="19" borderId="17" xfId="0" applyFont="1" applyFill="1" applyBorder="1" applyAlignment="1">
      <alignment horizontal="center" vertical="center" wrapText="1"/>
    </xf>
    <xf numFmtId="16" fontId="31" fillId="8" borderId="9" xfId="0" applyNumberFormat="1" applyFont="1" applyFill="1" applyBorder="1" applyAlignment="1">
      <alignment wrapText="1"/>
    </xf>
    <xf numFmtId="0" fontId="31" fillId="8" borderId="9" xfId="0" applyFont="1" applyFill="1" applyBorder="1" applyAlignment="1">
      <alignment wrapText="1"/>
    </xf>
    <xf numFmtId="0" fontId="31" fillId="26" borderId="15" xfId="0" applyFont="1" applyFill="1" applyBorder="1" applyAlignment="1">
      <alignment horizontal="center" wrapText="1"/>
    </xf>
    <xf numFmtId="0" fontId="31" fillId="34" borderId="15" xfId="0" applyFont="1" applyFill="1" applyBorder="1" applyAlignment="1">
      <alignment horizontal="center" wrapText="1"/>
    </xf>
    <xf numFmtId="0" fontId="31" fillId="4" borderId="15" xfId="0" applyFont="1" applyFill="1" applyBorder="1" applyAlignment="1">
      <alignment horizontal="center" wrapText="1"/>
    </xf>
    <xf numFmtId="16" fontId="31" fillId="2" borderId="15" xfId="0" applyNumberFormat="1" applyFont="1" applyFill="1" applyBorder="1" applyAlignment="1">
      <alignment wrapText="1"/>
    </xf>
    <xf numFmtId="0" fontId="31" fillId="0" borderId="15" xfId="0" applyFont="1" applyBorder="1" applyAlignment="1">
      <alignment wrapText="1"/>
    </xf>
    <xf numFmtId="49" fontId="31" fillId="0" borderId="9" xfId="0" applyNumberFormat="1" applyFont="1" applyBorder="1" applyAlignment="1">
      <alignment horizontal="center" vertical="center" wrapText="1"/>
    </xf>
    <xf numFmtId="16" fontId="31" fillId="0" borderId="12" xfId="0" applyNumberFormat="1" applyFont="1" applyBorder="1" applyAlignment="1">
      <alignment wrapText="1"/>
    </xf>
    <xf numFmtId="0" fontId="31" fillId="0" borderId="12" xfId="0" applyFont="1" applyBorder="1" applyAlignment="1">
      <alignment wrapText="1"/>
    </xf>
    <xf numFmtId="16" fontId="31" fillId="2" borderId="9" xfId="0" applyNumberFormat="1" applyFont="1" applyFill="1" applyBorder="1" applyAlignment="1">
      <alignment wrapText="1"/>
    </xf>
    <xf numFmtId="49" fontId="31" fillId="0" borderId="9" xfId="0" applyNumberFormat="1" applyFont="1" applyBorder="1" applyAlignment="1">
      <alignment wrapText="1"/>
    </xf>
    <xf numFmtId="16" fontId="31" fillId="8" borderId="12" xfId="0" applyNumberFormat="1" applyFont="1" applyFill="1" applyBorder="1" applyAlignment="1">
      <alignment wrapText="1"/>
    </xf>
    <xf numFmtId="0" fontId="31" fillId="8" borderId="12" xfId="0" applyFont="1" applyFill="1" applyBorder="1" applyAlignment="1">
      <alignment wrapText="1"/>
    </xf>
    <xf numFmtId="0" fontId="31" fillId="2" borderId="9" xfId="0" applyFont="1" applyFill="1" applyBorder="1" applyAlignment="1">
      <alignment wrapText="1"/>
    </xf>
    <xf numFmtId="0" fontId="31" fillId="4" borderId="12" xfId="0" applyFont="1" applyFill="1" applyBorder="1" applyAlignment="1">
      <alignment horizontal="center" wrapText="1"/>
    </xf>
    <xf numFmtId="0" fontId="31" fillId="4" borderId="9" xfId="0" applyFont="1" applyFill="1" applyBorder="1" applyAlignment="1">
      <alignment horizontal="center" wrapText="1"/>
    </xf>
    <xf numFmtId="0" fontId="3" fillId="4" borderId="9" xfId="2" applyFill="1" applyBorder="1" applyAlignment="1">
      <alignment horizontal="center" wrapText="1"/>
    </xf>
    <xf numFmtId="0" fontId="31" fillId="29" borderId="15" xfId="0" applyFont="1" applyFill="1" applyBorder="1" applyAlignment="1">
      <alignment horizontal="center" wrapText="1"/>
    </xf>
    <xf numFmtId="1" fontId="31" fillId="0" borderId="9" xfId="0" applyNumberFormat="1" applyFont="1" applyBorder="1" applyAlignment="1">
      <alignment wrapText="1"/>
    </xf>
    <xf numFmtId="49" fontId="31" fillId="4" borderId="9" xfId="0" applyNumberFormat="1" applyFont="1" applyFill="1" applyBorder="1" applyAlignment="1">
      <alignment horizontal="center" vertical="center" wrapText="1"/>
    </xf>
    <xf numFmtId="0" fontId="31" fillId="30" borderId="12" xfId="0" applyFont="1" applyFill="1" applyBorder="1" applyAlignment="1">
      <alignment horizontal="center" wrapText="1"/>
    </xf>
    <xf numFmtId="0" fontId="31" fillId="53" borderId="9" xfId="0" applyFont="1" applyFill="1" applyBorder="1" applyAlignment="1">
      <alignment wrapText="1"/>
    </xf>
    <xf numFmtId="49" fontId="31" fillId="4" borderId="9" xfId="0" applyNumberFormat="1" applyFont="1" applyFill="1" applyBorder="1" applyAlignment="1">
      <alignment horizontal="center" wrapText="1"/>
    </xf>
    <xf numFmtId="0" fontId="31" fillId="33" borderId="9" xfId="0" applyFont="1" applyFill="1" applyBorder="1" applyAlignment="1">
      <alignment horizontal="center" wrapText="1"/>
    </xf>
    <xf numFmtId="0" fontId="31" fillId="0" borderId="12" xfId="0" applyFont="1" applyBorder="1" applyAlignment="1">
      <alignment horizontal="center" wrapText="1"/>
    </xf>
    <xf numFmtId="49" fontId="31" fillId="0" borderId="9" xfId="0" applyNumberFormat="1" applyFont="1" applyBorder="1" applyAlignment="1">
      <alignment horizontal="center" wrapText="1"/>
    </xf>
    <xf numFmtId="16" fontId="31" fillId="0" borderId="11" xfId="0" applyNumberFormat="1" applyFont="1" applyBorder="1" applyAlignment="1">
      <alignment wrapText="1"/>
    </xf>
    <xf numFmtId="49" fontId="31" fillId="0" borderId="11" xfId="0" applyNumberFormat="1" applyFont="1" applyBorder="1" applyAlignment="1">
      <alignment horizontal="center" vertical="center" wrapText="1"/>
    </xf>
    <xf numFmtId="16" fontId="31" fillId="5" borderId="12" xfId="0" applyNumberFormat="1" applyFont="1" applyFill="1" applyBorder="1" applyAlignment="1">
      <alignment wrapText="1"/>
    </xf>
    <xf numFmtId="16" fontId="31" fillId="5" borderId="9" xfId="0" applyNumberFormat="1" applyFont="1" applyFill="1" applyBorder="1" applyAlignment="1">
      <alignment wrapText="1"/>
    </xf>
    <xf numFmtId="0" fontId="31" fillId="2" borderId="15" xfId="0" applyFont="1" applyFill="1" applyBorder="1" applyAlignment="1">
      <alignment horizontal="center" wrapText="1"/>
    </xf>
    <xf numFmtId="16" fontId="31" fillId="53" borderId="9" xfId="0" applyNumberFormat="1" applyFont="1" applyFill="1" applyBorder="1" applyAlignment="1">
      <alignment wrapText="1"/>
    </xf>
    <xf numFmtId="16" fontId="58" fillId="0" borderId="12" xfId="0" applyNumberFormat="1" applyFont="1" applyBorder="1" applyAlignment="1">
      <alignment wrapText="1"/>
    </xf>
    <xf numFmtId="16" fontId="58" fillId="0" borderId="9" xfId="0" applyNumberFormat="1" applyFont="1" applyBorder="1" applyAlignment="1">
      <alignment wrapText="1"/>
    </xf>
    <xf numFmtId="16" fontId="31" fillId="0" borderId="15" xfId="0" applyNumberFormat="1" applyFont="1" applyBorder="1" applyAlignment="1">
      <alignment wrapText="1"/>
    </xf>
    <xf numFmtId="0" fontId="42" fillId="33" borderId="9" xfId="0" applyFont="1" applyFill="1" applyBorder="1" applyAlignment="1">
      <alignment horizontal="center" wrapText="1"/>
    </xf>
    <xf numFmtId="0" fontId="31" fillId="34" borderId="9" xfId="0" applyFont="1" applyFill="1" applyBorder="1" applyAlignment="1">
      <alignment horizontal="center" wrapText="1"/>
    </xf>
    <xf numFmtId="0" fontId="39" fillId="0" borderId="18" xfId="0" applyFont="1" applyBorder="1" applyAlignment="1">
      <alignment horizontal="center" vertical="center" wrapText="1"/>
    </xf>
    <xf numFmtId="0" fontId="39" fillId="0" borderId="29" xfId="0" applyFont="1" applyBorder="1" applyAlignment="1">
      <alignment horizontal="center" vertical="center" wrapText="1"/>
    </xf>
    <xf numFmtId="0" fontId="39" fillId="0" borderId="27" xfId="0" applyFont="1" applyBorder="1" applyAlignment="1">
      <alignment horizontal="center" vertical="center" wrapText="1"/>
    </xf>
    <xf numFmtId="0" fontId="39" fillId="0" borderId="4" xfId="0" applyFont="1" applyBorder="1" applyAlignment="1">
      <alignment wrapText="1"/>
    </xf>
    <xf numFmtId="0" fontId="39" fillId="0" borderId="3" xfId="0" applyFont="1" applyBorder="1" applyAlignment="1">
      <alignment wrapText="1"/>
    </xf>
    <xf numFmtId="0" fontId="31" fillId="3" borderId="17" xfId="0" applyFont="1" applyFill="1" applyBorder="1" applyAlignment="1">
      <alignment horizontal="center" vertical="center" wrapText="1"/>
    </xf>
    <xf numFmtId="0" fontId="31" fillId="3" borderId="11" xfId="0" applyFont="1" applyFill="1" applyBorder="1" applyAlignment="1">
      <alignment horizontal="center" vertical="center" wrapText="1"/>
    </xf>
    <xf numFmtId="0" fontId="31" fillId="0" borderId="17" xfId="0" applyFont="1" applyBorder="1" applyAlignment="1">
      <alignment horizontal="center" vertical="center" wrapText="1"/>
    </xf>
    <xf numFmtId="0" fontId="31" fillId="0" borderId="11" xfId="0" applyFont="1" applyBorder="1" applyAlignment="1">
      <alignment horizontal="center" vertical="center" wrapText="1"/>
    </xf>
    <xf numFmtId="0" fontId="30" fillId="0" borderId="9" xfId="0" applyFont="1" applyBorder="1" applyAlignment="1">
      <alignment horizontal="center" vertical="center" wrapText="1"/>
    </xf>
    <xf numFmtId="0" fontId="39" fillId="0" borderId="15" xfId="0" applyFont="1" applyBorder="1" applyAlignment="1">
      <alignment horizontal="center" vertical="center"/>
    </xf>
    <xf numFmtId="0" fontId="39" fillId="0" borderId="12" xfId="0" applyFont="1" applyBorder="1" applyAlignment="1">
      <alignment horizontal="center" vertical="center"/>
    </xf>
    <xf numFmtId="0" fontId="39" fillId="0" borderId="15" xfId="0" applyFont="1" applyBorder="1" applyAlignment="1">
      <alignment horizontal="center" wrapText="1"/>
    </xf>
    <xf numFmtId="0" fontId="39" fillId="0" borderId="12" xfId="0" applyFont="1" applyBorder="1" applyAlignment="1">
      <alignment horizontal="center" wrapText="1"/>
    </xf>
    <xf numFmtId="16" fontId="31" fillId="32" borderId="8" xfId="0" applyNumberFormat="1" applyFont="1" applyFill="1" applyBorder="1" applyAlignment="1">
      <alignment vertical="center" wrapText="1"/>
    </xf>
    <xf numFmtId="0" fontId="31" fillId="32" borderId="24" xfId="0" applyFont="1" applyFill="1" applyBorder="1" applyAlignment="1">
      <alignment vertical="center" wrapText="1"/>
    </xf>
    <xf numFmtId="0" fontId="31" fillId="0" borderId="25" xfId="0" applyFont="1" applyBorder="1" applyAlignment="1">
      <alignment vertical="center" wrapText="1"/>
    </xf>
    <xf numFmtId="0" fontId="31" fillId="0" borderId="26" xfId="0" applyFont="1" applyBorder="1" applyAlignment="1">
      <alignment vertical="center" wrapText="1"/>
    </xf>
    <xf numFmtId="16" fontId="31" fillId="0" borderId="20" xfId="0" applyNumberFormat="1" applyFont="1" applyBorder="1" applyAlignment="1">
      <alignment vertical="center" wrapText="1"/>
    </xf>
    <xf numFmtId="0" fontId="31" fillId="0" borderId="11" xfId="0" applyFont="1" applyBorder="1" applyAlignment="1">
      <alignment vertical="center" wrapText="1"/>
    </xf>
    <xf numFmtId="0" fontId="30" fillId="26" borderId="20" xfId="0" applyFont="1" applyFill="1" applyBorder="1" applyAlignment="1">
      <alignment vertical="center" wrapText="1"/>
    </xf>
    <xf numFmtId="0" fontId="30" fillId="26" borderId="11" xfId="0" applyFont="1" applyFill="1" applyBorder="1" applyAlignment="1">
      <alignment vertical="center" wrapText="1"/>
    </xf>
    <xf numFmtId="16" fontId="31" fillId="0" borderId="9" xfId="0" applyNumberFormat="1" applyFont="1" applyBorder="1" applyAlignment="1">
      <alignment horizontal="center" vertical="center" wrapText="1"/>
    </xf>
    <xf numFmtId="0" fontId="31" fillId="18" borderId="9" xfId="0" applyFont="1" applyFill="1" applyBorder="1" applyAlignment="1">
      <alignment horizontal="center" vertical="center" wrapText="1"/>
    </xf>
    <xf numFmtId="0" fontId="30" fillId="26" borderId="9" xfId="0" applyFont="1" applyFill="1" applyBorder="1" applyAlignment="1">
      <alignment horizontal="center" vertical="center" wrapText="1"/>
    </xf>
    <xf numFmtId="0" fontId="30" fillId="0" borderId="17" xfId="0" applyFont="1" applyBorder="1" applyAlignment="1">
      <alignment horizontal="center" vertical="center" wrapText="1"/>
    </xf>
    <xf numFmtId="0" fontId="30" fillId="0" borderId="11" xfId="0" applyFont="1" applyBorder="1" applyAlignment="1">
      <alignment horizontal="center" vertical="center" wrapText="1"/>
    </xf>
    <xf numFmtId="0" fontId="31" fillId="30" borderId="17" xfId="0" applyFont="1" applyFill="1" applyBorder="1" applyAlignment="1">
      <alignment horizontal="center" vertical="center" wrapText="1"/>
    </xf>
    <xf numFmtId="0" fontId="31" fillId="30" borderId="11" xfId="0" applyFont="1" applyFill="1" applyBorder="1" applyAlignment="1">
      <alignment horizontal="center" vertical="center" wrapText="1"/>
    </xf>
    <xf numFmtId="0" fontId="31" fillId="26" borderId="17" xfId="0" applyFont="1" applyFill="1" applyBorder="1" applyAlignment="1">
      <alignment horizontal="center" vertical="center" wrapText="1"/>
    </xf>
    <xf numFmtId="0" fontId="31" fillId="26" borderId="11" xfId="0" applyFont="1" applyFill="1" applyBorder="1" applyAlignment="1">
      <alignment horizontal="center" vertical="center" wrapText="1"/>
    </xf>
    <xf numFmtId="16" fontId="31" fillId="0" borderId="17" xfId="0" applyNumberFormat="1" applyFont="1" applyBorder="1" applyAlignment="1">
      <alignment vertical="center" wrapText="1"/>
    </xf>
    <xf numFmtId="16" fontId="31" fillId="21" borderId="8" xfId="0" applyNumberFormat="1" applyFont="1" applyFill="1" applyBorder="1" applyAlignment="1">
      <alignment vertical="center" wrapText="1"/>
    </xf>
    <xf numFmtId="0" fontId="31" fillId="21" borderId="24" xfId="0" applyFont="1" applyFill="1" applyBorder="1" applyAlignment="1">
      <alignment vertical="center" wrapText="1"/>
    </xf>
    <xf numFmtId="0" fontId="30" fillId="26" borderId="17" xfId="0" applyFont="1" applyFill="1" applyBorder="1" applyAlignment="1">
      <alignment horizontal="center" vertical="center" wrapText="1"/>
    </xf>
    <xf numFmtId="0" fontId="30" fillId="26" borderId="11" xfId="0" applyFont="1" applyFill="1" applyBorder="1" applyAlignment="1">
      <alignment horizontal="center" vertical="center" wrapText="1"/>
    </xf>
    <xf numFmtId="0" fontId="28" fillId="22" borderId="3" xfId="0" applyFont="1" applyFill="1" applyBorder="1" applyAlignment="1">
      <alignment horizontal="center" vertical="center" wrapText="1"/>
    </xf>
    <xf numFmtId="0" fontId="28" fillId="22" borderId="2" xfId="0" applyFont="1" applyFill="1" applyBorder="1" applyAlignment="1">
      <alignment horizontal="center" vertical="center" wrapText="1"/>
    </xf>
    <xf numFmtId="0" fontId="29" fillId="23" borderId="3" xfId="0" applyFont="1" applyFill="1" applyBorder="1" applyAlignment="1">
      <alignment horizontal="center" vertical="center" wrapText="1"/>
    </xf>
    <xf numFmtId="0" fontId="29" fillId="23" borderId="2" xfId="0" applyFont="1" applyFill="1" applyBorder="1" applyAlignment="1">
      <alignment horizontal="center" vertical="center" wrapText="1"/>
    </xf>
    <xf numFmtId="0" fontId="29" fillId="24" borderId="3" xfId="0" applyFont="1" applyFill="1" applyBorder="1" applyAlignment="1">
      <alignment horizontal="center" vertical="center" wrapText="1"/>
    </xf>
    <xf numFmtId="0" fontId="29" fillId="24" borderId="2" xfId="0" applyFont="1" applyFill="1" applyBorder="1" applyAlignment="1">
      <alignment horizontal="center" vertical="center" wrapText="1"/>
    </xf>
    <xf numFmtId="0" fontId="30" fillId="26" borderId="17" xfId="0" applyFont="1" applyFill="1" applyBorder="1" applyAlignment="1">
      <alignment vertical="center" wrapText="1"/>
    </xf>
    <xf numFmtId="0" fontId="41" fillId="19" borderId="16" xfId="0" applyFont="1" applyFill="1" applyBorder="1" applyAlignment="1">
      <alignment horizontal="center" vertical="center" wrapText="1"/>
    </xf>
    <xf numFmtId="0" fontId="41" fillId="19" borderId="21" xfId="0" applyFont="1" applyFill="1" applyBorder="1" applyAlignment="1">
      <alignment horizontal="center" vertical="center" wrapText="1"/>
    </xf>
    <xf numFmtId="0" fontId="27" fillId="20" borderId="3" xfId="0" applyFont="1" applyFill="1" applyBorder="1" applyAlignment="1">
      <alignment horizontal="center" vertical="center" wrapText="1"/>
    </xf>
    <xf numFmtId="0" fontId="27" fillId="20" borderId="2" xfId="0" applyFont="1" applyFill="1" applyBorder="1" applyAlignment="1">
      <alignment horizontal="center" vertical="center" wrapText="1"/>
    </xf>
    <xf numFmtId="0" fontId="27" fillId="21" borderId="3" xfId="0" applyFont="1" applyFill="1" applyBorder="1" applyAlignment="1">
      <alignment horizontal="center" vertical="center" wrapText="1"/>
    </xf>
    <xf numFmtId="0" fontId="27" fillId="21" borderId="2" xfId="0" applyFont="1" applyFill="1" applyBorder="1" applyAlignment="1">
      <alignment horizontal="center" vertical="center" wrapText="1"/>
    </xf>
    <xf numFmtId="0" fontId="30" fillId="31" borderId="17" xfId="0" applyFont="1" applyFill="1" applyBorder="1" applyAlignment="1">
      <alignment horizontal="center" vertical="center" wrapText="1"/>
    </xf>
    <xf numFmtId="0" fontId="30" fillId="31" borderId="11" xfId="0" applyFont="1" applyFill="1" applyBorder="1" applyAlignment="1">
      <alignment horizontal="center" vertical="center" wrapText="1"/>
    </xf>
    <xf numFmtId="0" fontId="30" fillId="17" borderId="17" xfId="0" applyFont="1" applyFill="1" applyBorder="1" applyAlignment="1">
      <alignment horizontal="center" vertical="center" wrapText="1"/>
    </xf>
    <xf numFmtId="0" fontId="30" fillId="17" borderId="11" xfId="0" applyFont="1" applyFill="1" applyBorder="1" applyAlignment="1">
      <alignment horizontal="center" vertical="center" wrapText="1"/>
    </xf>
    <xf numFmtId="0" fontId="31" fillId="0" borderId="27" xfId="0" applyFont="1" applyBorder="1" applyAlignment="1">
      <alignment horizontal="center" vertical="center" wrapText="1"/>
    </xf>
    <xf numFmtId="0" fontId="31" fillId="0" borderId="13" xfId="0" applyFont="1" applyBorder="1" applyAlignment="1">
      <alignment horizontal="center" vertical="center" wrapText="1"/>
    </xf>
    <xf numFmtId="0" fontId="31" fillId="34" borderId="17" xfId="0" applyFont="1" applyFill="1" applyBorder="1" applyAlignment="1">
      <alignment horizontal="center" vertical="center" wrapText="1"/>
    </xf>
    <xf numFmtId="0" fontId="31" fillId="34" borderId="11" xfId="0" applyFont="1" applyFill="1" applyBorder="1" applyAlignment="1">
      <alignment horizontal="center" vertical="center" wrapText="1"/>
    </xf>
    <xf numFmtId="0" fontId="31" fillId="2" borderId="17" xfId="0" applyFont="1" applyFill="1" applyBorder="1" applyAlignment="1">
      <alignment horizontal="center" vertical="center" wrapText="1"/>
    </xf>
    <xf numFmtId="0" fontId="31" fillId="2" borderId="11" xfId="0" applyFont="1" applyFill="1" applyBorder="1" applyAlignment="1">
      <alignment horizontal="center" vertical="center" wrapText="1"/>
    </xf>
    <xf numFmtId="0" fontId="30" fillId="34" borderId="17" xfId="0" applyFont="1" applyFill="1" applyBorder="1" applyAlignment="1">
      <alignment horizontal="center" vertical="center" wrapText="1"/>
    </xf>
    <xf numFmtId="0" fontId="30" fillId="34" borderId="11" xfId="0" applyFont="1" applyFill="1" applyBorder="1" applyAlignment="1">
      <alignment horizontal="center" vertical="center" wrapText="1"/>
    </xf>
    <xf numFmtId="0" fontId="31" fillId="0" borderId="18" xfId="0" applyFont="1" applyBorder="1" applyAlignment="1">
      <alignment horizontal="center" vertical="center" wrapText="1"/>
    </xf>
    <xf numFmtId="0" fontId="31" fillId="0" borderId="22"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11" xfId="0" applyFont="1" applyBorder="1" applyAlignment="1">
      <alignment horizontal="center" vertical="center" wrapText="1"/>
    </xf>
    <xf numFmtId="0" fontId="31" fillId="0" borderId="20" xfId="0" applyFont="1" applyBorder="1" applyAlignment="1">
      <alignment horizontal="center" vertical="center" wrapText="1"/>
    </xf>
    <xf numFmtId="0" fontId="3" fillId="0" borderId="17" xfId="2" applyBorder="1" applyAlignment="1">
      <alignment horizontal="center" vertical="center" wrapText="1"/>
    </xf>
    <xf numFmtId="0" fontId="3" fillId="0" borderId="11" xfId="2" applyBorder="1" applyAlignment="1">
      <alignment horizontal="center" vertical="center" wrapText="1"/>
    </xf>
    <xf numFmtId="0" fontId="57" fillId="26" borderId="17" xfId="2" applyFont="1" applyFill="1" applyBorder="1" applyAlignment="1">
      <alignment horizontal="center" vertical="center" wrapText="1"/>
    </xf>
    <xf numFmtId="0" fontId="57" fillId="26" borderId="11" xfId="2" applyFont="1" applyFill="1" applyBorder="1" applyAlignment="1">
      <alignment horizontal="center" vertical="center" wrapText="1"/>
    </xf>
    <xf numFmtId="0" fontId="61" fillId="3" borderId="17" xfId="0" applyFont="1" applyFill="1" applyBorder="1" applyAlignment="1">
      <alignment horizontal="center" wrapText="1"/>
    </xf>
    <xf numFmtId="0" fontId="61" fillId="3" borderId="11" xfId="0" applyFont="1" applyFill="1" applyBorder="1" applyAlignment="1">
      <alignment horizontal="center" wrapText="1"/>
    </xf>
    <xf numFmtId="1" fontId="0" fillId="17" borderId="17" xfId="0" applyNumberFormat="1" applyFill="1" applyBorder="1" applyAlignment="1">
      <alignment horizontal="center" wrapText="1"/>
    </xf>
    <xf numFmtId="1" fontId="0" fillId="17" borderId="11" xfId="0" applyNumberFormat="1" applyFill="1" applyBorder="1" applyAlignment="1">
      <alignment horizontal="center" wrapText="1"/>
    </xf>
    <xf numFmtId="0" fontId="19" fillId="7" borderId="16" xfId="0" applyFont="1" applyFill="1" applyBorder="1" applyAlignment="1">
      <alignment horizontal="center" vertical="center"/>
    </xf>
    <xf numFmtId="0" fontId="19" fillId="13" borderId="0" xfId="0" applyFont="1" applyFill="1" applyAlignment="1">
      <alignment horizontal="center" vertical="center"/>
    </xf>
    <xf numFmtId="0" fontId="19" fillId="12" borderId="16" xfId="0" applyFont="1" applyFill="1" applyBorder="1" applyAlignment="1">
      <alignment horizontal="center" vertical="center" wrapText="1"/>
    </xf>
    <xf numFmtId="0" fontId="19" fillId="13" borderId="16" xfId="0" applyFont="1" applyFill="1" applyBorder="1" applyAlignment="1">
      <alignment horizontal="center" vertical="center" wrapText="1"/>
    </xf>
    <xf numFmtId="0" fontId="19" fillId="5" borderId="16" xfId="0" applyFont="1" applyFill="1" applyBorder="1" applyAlignment="1">
      <alignment horizontal="center" vertical="center" wrapText="1"/>
    </xf>
    <xf numFmtId="0" fontId="19" fillId="14" borderId="16" xfId="0" applyFont="1" applyFill="1" applyBorder="1" applyAlignment="1">
      <alignment horizontal="center" vertical="center" wrapText="1"/>
    </xf>
    <xf numFmtId="0" fontId="19" fillId="7" borderId="0" xfId="0" applyFont="1" applyFill="1" applyAlignment="1">
      <alignment horizontal="center" vertical="center"/>
    </xf>
    <xf numFmtId="0" fontId="19" fillId="12" borderId="0" xfId="0" applyFont="1" applyFill="1" applyAlignment="1">
      <alignment horizontal="center" vertical="center"/>
    </xf>
    <xf numFmtId="0" fontId="29" fillId="24" borderId="9" xfId="0" applyFont="1" applyFill="1" applyBorder="1" applyAlignment="1">
      <alignment horizontal="center" vertical="center"/>
    </xf>
    <xf numFmtId="0" fontId="10" fillId="10" borderId="15" xfId="0" applyFont="1" applyFill="1" applyBorder="1" applyAlignment="1">
      <alignment horizontal="center" wrapText="1"/>
    </xf>
    <xf numFmtId="0" fontId="10" fillId="10" borderId="14" xfId="0" applyFont="1" applyFill="1" applyBorder="1" applyAlignment="1">
      <alignment horizontal="center" wrapText="1"/>
    </xf>
    <xf numFmtId="0" fontId="10" fillId="10" borderId="12" xfId="0" applyFont="1" applyFill="1" applyBorder="1" applyAlignment="1">
      <alignment horizontal="center" wrapText="1"/>
    </xf>
    <xf numFmtId="0" fontId="10" fillId="10" borderId="9" xfId="0" applyFont="1" applyFill="1" applyBorder="1" applyAlignment="1">
      <alignment horizontal="center" wrapText="1"/>
    </xf>
    <xf numFmtId="0" fontId="10" fillId="35" borderId="9" xfId="0" applyFont="1" applyFill="1" applyBorder="1" applyAlignment="1">
      <alignment horizontal="center" wrapText="1"/>
    </xf>
    <xf numFmtId="0" fontId="80" fillId="13" borderId="16" xfId="0" applyFont="1" applyFill="1" applyBorder="1" applyAlignment="1">
      <alignment horizontal="center"/>
    </xf>
    <xf numFmtId="0" fontId="80" fillId="38" borderId="16" xfId="0" applyFont="1" applyFill="1" applyBorder="1" applyAlignment="1">
      <alignment horizontal="center"/>
    </xf>
    <xf numFmtId="0" fontId="92" fillId="40" borderId="0" xfId="0" applyFont="1" applyFill="1" applyAlignment="1">
      <alignment horizontal="center" wrapText="1"/>
    </xf>
    <xf numFmtId="0" fontId="80" fillId="7" borderId="0" xfId="0" applyFont="1" applyFill="1" applyAlignment="1">
      <alignment horizontal="center" wrapText="1"/>
    </xf>
    <xf numFmtId="0" fontId="79" fillId="44" borderId="32" xfId="0" applyFont="1" applyFill="1" applyBorder="1"/>
    <xf numFmtId="0" fontId="79" fillId="44" borderId="33" xfId="0" applyFont="1" applyFill="1" applyBorder="1"/>
    <xf numFmtId="0" fontId="79" fillId="44" borderId="34" xfId="0" applyFont="1" applyFill="1" applyBorder="1"/>
    <xf numFmtId="0" fontId="80" fillId="62" borderId="16" xfId="0" applyFont="1" applyFill="1" applyBorder="1" applyAlignment="1">
      <alignment horizontal="center" wrapText="1"/>
    </xf>
    <xf numFmtId="0" fontId="8" fillId="7" borderId="0" xfId="0" applyFont="1" applyFill="1" applyAlignment="1">
      <alignment horizontal="center"/>
    </xf>
    <xf numFmtId="0" fontId="75" fillId="18" borderId="19" xfId="0" applyFont="1" applyFill="1" applyBorder="1" applyAlignment="1">
      <alignment horizontal="center" vertical="center" wrapText="1"/>
    </xf>
    <xf numFmtId="0" fontId="75" fillId="15" borderId="4" xfId="0" applyFont="1" applyFill="1" applyBorder="1" applyAlignment="1">
      <alignment horizontal="center" vertical="center"/>
    </xf>
    <xf numFmtId="0" fontId="75" fillId="15" borderId="3" xfId="0" applyFont="1" applyFill="1" applyBorder="1" applyAlignment="1">
      <alignment horizontal="center" vertical="center"/>
    </xf>
    <xf numFmtId="0" fontId="75" fillId="15" borderId="2" xfId="0" applyFont="1" applyFill="1" applyBorder="1" applyAlignment="1">
      <alignment horizontal="center" vertical="center"/>
    </xf>
    <xf numFmtId="0" fontId="75" fillId="43" borderId="19" xfId="0" applyFont="1" applyFill="1" applyBorder="1" applyAlignment="1">
      <alignment horizontal="center" vertical="center"/>
    </xf>
    <xf numFmtId="0" fontId="75" fillId="8" borderId="9" xfId="0" applyFont="1" applyFill="1" applyBorder="1" applyAlignment="1">
      <alignment horizontal="center" vertical="center"/>
    </xf>
    <xf numFmtId="0" fontId="75" fillId="43" borderId="17" xfId="0" applyFont="1" applyFill="1" applyBorder="1" applyAlignment="1">
      <alignment horizontal="center" vertical="center"/>
    </xf>
    <xf numFmtId="0" fontId="75" fillId="43" borderId="20" xfId="0" applyFont="1" applyFill="1" applyBorder="1" applyAlignment="1">
      <alignment horizontal="center" vertical="center"/>
    </xf>
    <xf numFmtId="0" fontId="75" fillId="43" borderId="11" xfId="0" applyFont="1" applyFill="1" applyBorder="1" applyAlignment="1">
      <alignment horizontal="center" vertical="center"/>
    </xf>
    <xf numFmtId="0" fontId="75" fillId="12" borderId="17" xfId="0" applyFont="1" applyFill="1" applyBorder="1" applyAlignment="1">
      <alignment horizontal="center" vertical="center"/>
    </xf>
    <xf numFmtId="0" fontId="75" fillId="12" borderId="20" xfId="0" applyFont="1" applyFill="1" applyBorder="1" applyAlignment="1">
      <alignment horizontal="center" vertical="center"/>
    </xf>
    <xf numFmtId="16" fontId="5" fillId="6" borderId="1" xfId="0" applyNumberFormat="1" applyFont="1" applyFill="1" applyBorder="1" applyAlignment="1">
      <alignment horizontal="center"/>
    </xf>
    <xf numFmtId="0" fontId="5" fillId="6" borderId="1" xfId="0" applyFont="1" applyFill="1" applyBorder="1" applyAlignment="1">
      <alignment horizontal="center"/>
    </xf>
    <xf numFmtId="16" fontId="5" fillId="6" borderId="4" xfId="0" applyNumberFormat="1" applyFont="1" applyFill="1" applyBorder="1" applyAlignment="1">
      <alignment horizontal="center"/>
    </xf>
    <xf numFmtId="16" fontId="5" fillId="6" borderId="2" xfId="0" applyNumberFormat="1" applyFont="1" applyFill="1" applyBorder="1" applyAlignment="1">
      <alignment horizontal="center"/>
    </xf>
  </cellXfs>
  <cellStyles count="3">
    <cellStyle name="Currency" xfId="1" builtinId="4"/>
    <cellStyle name="Hyperlink" xfId="2" xr:uid="{00000000-000B-0000-0000-000008000000}"/>
    <cellStyle name="Normal" xfId="0" builtinId="0"/>
  </cellStyles>
  <dxfs count="3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Body)�"/>
        <charset val="1"/>
        <scheme val="none"/>
      </font>
      <fill>
        <patternFill patternType="solid">
          <fgColor indexed="64"/>
          <bgColor rgb="FFE2EFDA"/>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0"/>
        <color auto="1"/>
        <name val="Calibri"/>
        <family val="2"/>
        <scheme val="none"/>
      </font>
      <fill>
        <patternFill patternType="solid">
          <fgColor indexed="64"/>
          <bgColor rgb="FFE2EFDA"/>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Body)�"/>
        <charset val="1"/>
        <scheme val="none"/>
      </font>
      <fill>
        <patternFill patternType="solid">
          <fgColor indexed="64"/>
          <bgColor rgb="FFE2EFDA"/>
        </patternFill>
      </fill>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top style="thin">
          <color rgb="FF000000"/>
        </top>
      </border>
    </dxf>
    <dxf>
      <font>
        <b/>
        <i val="0"/>
        <strike val="0"/>
        <condense val="0"/>
        <extend val="0"/>
        <outline val="0"/>
        <shadow val="0"/>
        <u val="none"/>
        <vertAlign val="baseline"/>
        <sz val="12"/>
        <color rgb="FFFFFFFF"/>
        <name val="Calibri (Body)�"/>
        <charset val="1"/>
        <scheme val="none"/>
      </font>
      <fill>
        <patternFill patternType="solid">
          <fgColor indexed="64"/>
          <bgColor rgb="FF70AD47"/>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FCFCC5"/>
      <color rgb="FFEBF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302E17-0B16-4C38-95CD-1166DE23F48F}" name="Tabla1" displayName="Tabla1" ref="A2:S18" totalsRowShown="0" headerRowDxfId="34" tableBorderDxfId="33">
  <autoFilter ref="A2:S18" xr:uid="{21302E17-0B16-4C38-95CD-1166DE23F48F}"/>
  <tableColumns count="19">
    <tableColumn id="1" xr3:uid="{B0E6CD43-6D72-4A08-9C55-C962ADF80D0B}" name="Columna1" dataDxfId="32"/>
    <tableColumn id="2" xr3:uid="{9BDD87A0-25E3-4D4C-9D60-56469BB23E47}" name="Name" dataDxfId="31"/>
    <tableColumn id="3" xr3:uid="{37356349-E451-40CB-B931-27574BDB9530}" name="Surname" dataDxfId="30"/>
    <tableColumn id="4" xr3:uid="{A2518BC6-8708-4B89-9AB8-6CB1DD02CBCE}" name="Email" dataDxfId="29"/>
    <tableColumn id="5" xr3:uid="{1E5288C9-C05B-4278-879F-FA63AAF2B039}" name="University/City" dataDxfId="28"/>
    <tableColumn id="6" xr3:uid="{60433D9F-DA43-409D-B788-7FF7B56389C1}" name="Country " dataDxfId="27"/>
    <tableColumn id="7" xr3:uid="{1B883B0C-D8B7-4228-BA10-53F2C2E1E5E1}" name="Notes" dataDxfId="26"/>
    <tableColumn id="8" xr3:uid="{DD914BB1-A18B-4586-A302-7932D471E26F}" name="Registered at EURW platform?" dataDxfId="25"/>
    <tableColumn id="9" xr3:uid="{E0887E83-F8F6-4D2F-9E88-B3B4FCC3DFCD}" name="Form sent 28/07" dataDxfId="24"/>
    <tableColumn id="10" xr3:uid="{508892EA-496E-42F8-94C3-6305648C5E61}" name="Form completed" dataDxfId="23"/>
    <tableColumn id="11" xr3:uid="{38F0F2D7-DEF4-4B92-8149-1501D748BEE7}" name="Phone number" dataDxfId="22"/>
    <tableColumn id="12" xr3:uid="{DB352418-6A0F-4D3D-8AD9-5A720D6316C1}" name="City of departure (to Brussels)" dataDxfId="21"/>
    <tableColumn id="13" xr3:uid="{256FB193-488E-4985-A455-D118E82AA960}" name="Return city (from Brussels)" dataDxfId="20"/>
    <tableColumn id="14" xr3:uid="{7E3DFE98-6A47-4B8D-BD97-1F58B33BFB78}" name="Please indicate means of transport (e.g. flight, train); preferred time and any additional comments on your travel arrangements" dataDxfId="19"/>
    <tableColumn id="15" xr3:uid="{674FA38F-0AE4-4717-8C81-3F0C462F537A}" name="Please provide any comments, should the reservation be modified." dataDxfId="18"/>
    <tableColumn id="16" xr3:uid="{067AAE2D-F3C3-4D1C-9588-C9235FF42490}" name="Soup: please make your choice" dataDxfId="17"/>
    <tableColumn id="17" xr3:uid="{2592B7D8-3240-4BC4-B36E-9EBE805AC8C3}" name="Starter: please make your choice" dataDxfId="16"/>
    <tableColumn id="18" xr3:uid="{1DADDC3D-33EB-48BF-89BE-92A7B323FA97}" name="Main course: please make your choice" dataDxfId="15"/>
    <tableColumn id="19" xr3:uid="{D655FE76-709A-45B9-B28C-EEE80EAEA9BD}" name="Any additional comments or observations regarding the Welcome Dinner Please use this space to share any information we should be aware of (e.g. accessibility requirements, food restrictions)" dataDxfId="14"/>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federico.esu@climate-kic.org" TargetMode="External"/><Relationship Id="rId21" Type="http://schemas.openxmlformats.org/officeDocument/2006/relationships/hyperlink" Target="mailto:RKrusna@lb.lt" TargetMode="External"/><Relationship Id="rId42" Type="http://schemas.openxmlformats.org/officeDocument/2006/relationships/hyperlink" Target="mailto:Rudiger.Ahrend@oecd.org" TargetMode="External"/><Relationship Id="rId63" Type="http://schemas.openxmlformats.org/officeDocument/2006/relationships/hyperlink" Target="mailto:jan.gimkiewicz@uba.de" TargetMode="External"/><Relationship Id="rId84" Type="http://schemas.openxmlformats.org/officeDocument/2006/relationships/hyperlink" Target="mailto:Kirsten.Koetter@mwike.nrw.de" TargetMode="External"/><Relationship Id="rId16" Type="http://schemas.openxmlformats.org/officeDocument/2006/relationships/hyperlink" Target="mailto:clara.tripodi@justachange.pt" TargetMode="External"/><Relationship Id="rId107" Type="http://schemas.openxmlformats.org/officeDocument/2006/relationships/hyperlink" Target="mailto:alberto.minguela@climate-kic.org;%20katarzyna.balucka-debska@climate-kic.org" TargetMode="External"/><Relationship Id="rId11" Type="http://schemas.openxmlformats.org/officeDocument/2006/relationships/hyperlink" Target="mailto:paola.valandro@art-er.it" TargetMode="External"/><Relationship Id="rId32" Type="http://schemas.openxmlformats.org/officeDocument/2006/relationships/hyperlink" Target="mailto:Gunilla.Thorstensson@tillvaxtverket.se" TargetMode="External"/><Relationship Id="rId37" Type="http://schemas.openxmlformats.org/officeDocument/2006/relationships/hyperlink" Target="mailto:moutsios.c@pste.gov.gr" TargetMode="External"/><Relationship Id="rId53" Type="http://schemas.openxmlformats.org/officeDocument/2006/relationships/hyperlink" Target="mailto:philipp.walter@iclei.org" TargetMode="External"/><Relationship Id="rId58" Type="http://schemas.openxmlformats.org/officeDocument/2006/relationships/hyperlink" Target="mailto:yiannisk@kekdafni.gr" TargetMode="External"/><Relationship Id="rId74" Type="http://schemas.openxmlformats.org/officeDocument/2006/relationships/hyperlink" Target="mailto:alice.borsari@eurac.edu" TargetMode="External"/><Relationship Id="rId79" Type="http://schemas.openxmlformats.org/officeDocument/2006/relationships/hyperlink" Target="mailto:mionescuheroiu@worldbank.org" TargetMode="External"/><Relationship Id="rId102" Type="http://schemas.openxmlformats.org/officeDocument/2006/relationships/hyperlink" Target="mailto:dainius.vilcinskas@ilte.lt" TargetMode="External"/><Relationship Id="rId123" Type="http://schemas.openxmlformats.org/officeDocument/2006/relationships/hyperlink" Target="mailto:seamus.mcguinness@esri.ie" TargetMode="External"/><Relationship Id="rId128" Type="http://schemas.openxmlformats.org/officeDocument/2006/relationships/hyperlink" Target="mailto:lafarga_ale@gva.es" TargetMode="External"/><Relationship Id="rId5" Type="http://schemas.openxmlformats.org/officeDocument/2006/relationships/hyperlink" Target="mailto:o.laurinemarie@gmail.com" TargetMode="External"/><Relationship Id="rId90" Type="http://schemas.openxmlformats.org/officeDocument/2006/relationships/hyperlink" Target="mailto:sporsf@ebrd.com" TargetMode="External"/><Relationship Id="rId95" Type="http://schemas.openxmlformats.org/officeDocument/2006/relationships/hyperlink" Target="mailto:pablo.garcia@gencat.cat" TargetMode="External"/><Relationship Id="rId22" Type="http://schemas.openxmlformats.org/officeDocument/2006/relationships/hyperlink" Target="mailto:priscila.steier@gmail.com;%20Haris.Biskos@urban-initiative.eu" TargetMode="External"/><Relationship Id="rId27" Type="http://schemas.openxmlformats.org/officeDocument/2006/relationships/hyperlink" Target="mailto:weis.ettema@denhaag.nl" TargetMode="External"/><Relationship Id="rId43" Type="http://schemas.openxmlformats.org/officeDocument/2006/relationships/hyperlink" Target="mailto:avintan@worldbank.org" TargetMode="External"/><Relationship Id="rId48" Type="http://schemas.openxmlformats.org/officeDocument/2006/relationships/hyperlink" Target="mailto:philipp.walter@iclei.org" TargetMode="External"/><Relationship Id="rId64" Type="http://schemas.openxmlformats.org/officeDocument/2006/relationships/hyperlink" Target="mailto:szabo.mariann@gtk.bme.hu" TargetMode="External"/><Relationship Id="rId69" Type="http://schemas.openxmlformats.org/officeDocument/2006/relationships/hyperlink" Target="mailto:iris.kriikkula@turku.fi" TargetMode="External"/><Relationship Id="rId113" Type="http://schemas.openxmlformats.org/officeDocument/2006/relationships/hyperlink" Target="mailto:marta.kolimaga@crido.pl" TargetMode="External"/><Relationship Id="rId118" Type="http://schemas.openxmlformats.org/officeDocument/2006/relationships/hyperlink" Target="mailto:rosanna.haider@chiemgau.bayern" TargetMode="External"/><Relationship Id="rId134" Type="http://schemas.openxmlformats.org/officeDocument/2006/relationships/hyperlink" Target="mailto:david.ferge@fdm-ius.eu" TargetMode="External"/><Relationship Id="rId80" Type="http://schemas.openxmlformats.org/officeDocument/2006/relationships/hyperlink" Target="mailto:gwolszczak@worldbank.org" TargetMode="External"/><Relationship Id="rId85" Type="http://schemas.openxmlformats.org/officeDocument/2006/relationships/hyperlink" Target="mailto:f.busillo@governo.it" TargetMode="External"/><Relationship Id="rId12" Type="http://schemas.openxmlformats.org/officeDocument/2006/relationships/hyperlink" Target="mailto:patrik.karlsson.ryberg@ri.se" TargetMode="External"/><Relationship Id="rId17" Type="http://schemas.openxmlformats.org/officeDocument/2006/relationships/hyperlink" Target="mailto:david.ferge@fdm-ius.eu" TargetMode="External"/><Relationship Id="rId33" Type="http://schemas.openxmlformats.org/officeDocument/2006/relationships/hyperlink" Target="mailto:Gunilla.Thorstensson@tillvaxtverket.se" TargetMode="External"/><Relationship Id="rId38" Type="http://schemas.openxmlformats.org/officeDocument/2006/relationships/hyperlink" Target="mailto:betty-ann.bryce@oecd.org" TargetMode="External"/><Relationship Id="rId59" Type="http://schemas.openxmlformats.org/officeDocument/2006/relationships/hyperlink" Target="mailto:lripoll@correu.escoladeltreball.org" TargetMode="External"/><Relationship Id="rId103" Type="http://schemas.openxmlformats.org/officeDocument/2006/relationships/hyperlink" Target="mailto:viktorija.trimbel@coinvest.lt" TargetMode="External"/><Relationship Id="rId108" Type="http://schemas.openxmlformats.org/officeDocument/2006/relationships/hyperlink" Target="mailto:silva.laure@gmail.com" TargetMode="External"/><Relationship Id="rId124" Type="http://schemas.openxmlformats.org/officeDocument/2006/relationships/hyperlink" Target="mailto:seamus.mcguinness@esri.ie" TargetMode="External"/><Relationship Id="rId129" Type="http://schemas.openxmlformats.org/officeDocument/2006/relationships/hyperlink" Target="mailto:Stientje.vanVeldhoven@wri.org;%20marloes.toonen@wri.org" TargetMode="External"/><Relationship Id="rId54" Type="http://schemas.openxmlformats.org/officeDocument/2006/relationships/hyperlink" Target="mailto:marino.cavallo@cittametropolitana.bo.it" TargetMode="External"/><Relationship Id="rId70" Type="http://schemas.openxmlformats.org/officeDocument/2006/relationships/hyperlink" Target="mailto:g.difalco@governo.it" TargetMode="External"/><Relationship Id="rId75" Type="http://schemas.openxmlformats.org/officeDocument/2006/relationships/hyperlink" Target="mailto:&#160;alice.borsari@eurac.edu" TargetMode="External"/><Relationship Id="rId91" Type="http://schemas.openxmlformats.org/officeDocument/2006/relationships/hyperlink" Target="mailto:matthew.bach@iclei.org" TargetMode="External"/><Relationship Id="rId96" Type="http://schemas.openxmlformats.org/officeDocument/2006/relationships/hyperlink" Target="mailto:sonia.matera@dblue.it" TargetMode="External"/><Relationship Id="rId1" Type="http://schemas.openxmlformats.org/officeDocument/2006/relationships/hyperlink" Target="mailto:h.m.groenboom@pl.hanze.nl" TargetMode="External"/><Relationship Id="rId6" Type="http://schemas.openxmlformats.org/officeDocument/2006/relationships/hyperlink" Target="mailto:Soraia.Rodrigues00@hotmail.com" TargetMode="External"/><Relationship Id="rId23" Type="http://schemas.openxmlformats.org/officeDocument/2006/relationships/hyperlink" Target="mailto:Haris.Biskos@urban-initiative.eu" TargetMode="External"/><Relationship Id="rId28" Type="http://schemas.openxmlformats.org/officeDocument/2006/relationships/hyperlink" Target="mailto:g.zendron@white-research.eu" TargetMode="External"/><Relationship Id="rId49" Type="http://schemas.openxmlformats.org/officeDocument/2006/relationships/hyperlink" Target="mailto:clouet@institute-urbanex.org" TargetMode="External"/><Relationship Id="rId114" Type="http://schemas.openxmlformats.org/officeDocument/2006/relationships/hyperlink" Target="mailto:federico.esu@climate-kic.org" TargetMode="External"/><Relationship Id="rId119" Type="http://schemas.openxmlformats.org/officeDocument/2006/relationships/hyperlink" Target="mailto:Stientje.vanVeldhoven@wri.org" TargetMode="External"/><Relationship Id="rId44" Type="http://schemas.openxmlformats.org/officeDocument/2006/relationships/hyperlink" Target="mailto:avintan@worldbank.org" TargetMode="External"/><Relationship Id="rId60" Type="http://schemas.openxmlformats.org/officeDocument/2006/relationships/hyperlink" Target="mailto:liuti@azione.com" TargetMode="External"/><Relationship Id="rId65" Type="http://schemas.openxmlformats.org/officeDocument/2006/relationships/hyperlink" Target="mailto:iris.kriikkula@turku.fi" TargetMode="External"/><Relationship Id="rId81" Type="http://schemas.openxmlformats.org/officeDocument/2006/relationships/hyperlink" Target="mailto:f.busillo@governo.it" TargetMode="External"/><Relationship Id="rId86" Type="http://schemas.openxmlformats.org/officeDocument/2006/relationships/hyperlink" Target="mailto:Kirsten.Koetter@mwike.nrw.de" TargetMode="External"/><Relationship Id="rId130" Type="http://schemas.openxmlformats.org/officeDocument/2006/relationships/hyperlink" Target="mailto:Ali.Hainoun@ait.ac.at" TargetMode="External"/><Relationship Id="rId135" Type="http://schemas.openxmlformats.org/officeDocument/2006/relationships/hyperlink" Target="mailto:mats.brandt@obotnia.fi" TargetMode="External"/><Relationship Id="rId13" Type="http://schemas.openxmlformats.org/officeDocument/2006/relationships/hyperlink" Target="mailto:&#160;Chiara.APREA@ec.europa.eu;%20Eszter.Wirth@cor.europa.eu" TargetMode="External"/><Relationship Id="rId18" Type="http://schemas.openxmlformats.org/officeDocument/2006/relationships/hyperlink" Target="mailto:clara.tripodi@justachange.pt" TargetMode="External"/><Relationship Id="rId39" Type="http://schemas.openxmlformats.org/officeDocument/2006/relationships/hyperlink" Target="mailto:moutsios.c@pste.gov.gr" TargetMode="External"/><Relationship Id="rId109" Type="http://schemas.openxmlformats.org/officeDocument/2006/relationships/hyperlink" Target="mailto:clouet@institute-urbanex.org" TargetMode="External"/><Relationship Id="rId34" Type="http://schemas.openxmlformats.org/officeDocument/2006/relationships/hyperlink" Target="mailto:alberto.minguela@climate-kic.org" TargetMode="External"/><Relationship Id="rId50" Type="http://schemas.openxmlformats.org/officeDocument/2006/relationships/hyperlink" Target="mailto:philipp.walter@iclei.org" TargetMode="External"/><Relationship Id="rId55" Type="http://schemas.openxmlformats.org/officeDocument/2006/relationships/hyperlink" Target="mailto:marino.cavallo@cittametropolitana.bo.it" TargetMode="External"/><Relationship Id="rId76" Type="http://schemas.openxmlformats.org/officeDocument/2006/relationships/hyperlink" Target="mailto:jplg@fct.unl.pt" TargetMode="External"/><Relationship Id="rId97" Type="http://schemas.openxmlformats.org/officeDocument/2006/relationships/hyperlink" Target="mailto:pablo.garcia@gencat.cat" TargetMode="External"/><Relationship Id="rId104" Type="http://schemas.openxmlformats.org/officeDocument/2006/relationships/hyperlink" Target="mailto:dainius.vilcinskas@ilte.lt" TargetMode="External"/><Relationship Id="rId120" Type="http://schemas.openxmlformats.org/officeDocument/2006/relationships/hyperlink" Target="mailto:federico.esu@climate-kic.org" TargetMode="External"/><Relationship Id="rId125" Type="http://schemas.openxmlformats.org/officeDocument/2006/relationships/hyperlink" Target="mailto:d.labonia@governo.it" TargetMode="External"/><Relationship Id="rId7" Type="http://schemas.openxmlformats.org/officeDocument/2006/relationships/hyperlink" Target="mailto:o.laurinemarie@gmail.com" TargetMode="External"/><Relationship Id="rId71" Type="http://schemas.openxmlformats.org/officeDocument/2006/relationships/hyperlink" Target="mailto:r.parlangeli@governo.it" TargetMode="External"/><Relationship Id="rId92" Type="http://schemas.openxmlformats.org/officeDocument/2006/relationships/hyperlink" Target="mailto:matthew.bach@iclei.org" TargetMode="External"/><Relationship Id="rId2" Type="http://schemas.openxmlformats.org/officeDocument/2006/relationships/hyperlink" Target="mailto:Svenja.Tams@hs-bremen.de" TargetMode="External"/><Relationship Id="rId29" Type="http://schemas.openxmlformats.org/officeDocument/2006/relationships/hyperlink" Target="mailto:stefan.greiving@tu-dortmund.de;%20natascha.ng@sei.org" TargetMode="External"/><Relationship Id="rId24" Type="http://schemas.openxmlformats.org/officeDocument/2006/relationships/hyperlink" Target="mailto:Irati.ICARDO-ISASA@ec.europa.eu" TargetMode="External"/><Relationship Id="rId40" Type="http://schemas.openxmlformats.org/officeDocument/2006/relationships/hyperlink" Target="mailto:Rudiger.Ahrend@oecd.org" TargetMode="External"/><Relationship Id="rId45" Type="http://schemas.openxmlformats.org/officeDocument/2006/relationships/hyperlink" Target="mailto:mionescuheroiu@worldbank.org" TargetMode="External"/><Relationship Id="rId66" Type="http://schemas.openxmlformats.org/officeDocument/2006/relationships/hyperlink" Target="mailto:jan.gimkiewicz@uba.de" TargetMode="External"/><Relationship Id="rId87" Type="http://schemas.openxmlformats.org/officeDocument/2006/relationships/hyperlink" Target="mailto:Irati.ICARDO-ISASA@ec.europa.eu;%20Theodora.FLIKAS1@ec.europa.eu" TargetMode="External"/><Relationship Id="rId110" Type="http://schemas.openxmlformats.org/officeDocument/2006/relationships/hyperlink" Target="mailto:philipp.walter@iclei.org" TargetMode="External"/><Relationship Id="rId115" Type="http://schemas.openxmlformats.org/officeDocument/2006/relationships/hyperlink" Target="mailto:rosanna.haider@chiemgau.bayern" TargetMode="External"/><Relationship Id="rId131" Type="http://schemas.openxmlformats.org/officeDocument/2006/relationships/hyperlink" Target="mailto:viktorija.trimbel@coinvest.lt" TargetMode="External"/><Relationship Id="rId136" Type="http://schemas.openxmlformats.org/officeDocument/2006/relationships/hyperlink" Target="mailto:deniz.ciftci@undp.org" TargetMode="External"/><Relationship Id="rId61" Type="http://schemas.openxmlformats.org/officeDocument/2006/relationships/hyperlink" Target="mailto:yiannisk@kekdafni.gr" TargetMode="External"/><Relationship Id="rId82" Type="http://schemas.openxmlformats.org/officeDocument/2006/relationships/hyperlink" Target="mailto:Kirsten.Koetter@mwike.nrw.de" TargetMode="External"/><Relationship Id="rId19" Type="http://schemas.openxmlformats.org/officeDocument/2006/relationships/hyperlink" Target="mailto:david.ferge@fdm-ius.eu" TargetMode="External"/><Relationship Id="rId14" Type="http://schemas.openxmlformats.org/officeDocument/2006/relationships/hyperlink" Target="mailto:gabriele.marzano@regione.emilia-romagna.it" TargetMode="External"/><Relationship Id="rId30" Type="http://schemas.openxmlformats.org/officeDocument/2006/relationships/hyperlink" Target="mailto:martin.gauk@espon.eu" TargetMode="External"/><Relationship Id="rId35" Type="http://schemas.openxmlformats.org/officeDocument/2006/relationships/hyperlink" Target="mailto:communication@urban-initiative.eu%20;" TargetMode="External"/><Relationship Id="rId56" Type="http://schemas.openxmlformats.org/officeDocument/2006/relationships/hyperlink" Target="mailto:l.palego@t33.it" TargetMode="External"/><Relationship Id="rId77" Type="http://schemas.openxmlformats.org/officeDocument/2006/relationships/hyperlink" Target="mailto:l.acquaviva@gmail.com" TargetMode="External"/><Relationship Id="rId100" Type="http://schemas.openxmlformats.org/officeDocument/2006/relationships/hyperlink" Target="mailto:sonia.matera@dblue.it" TargetMode="External"/><Relationship Id="rId105" Type="http://schemas.openxmlformats.org/officeDocument/2006/relationships/hyperlink" Target="mailto:silva.laure@gmail.com" TargetMode="External"/><Relationship Id="rId126" Type="http://schemas.openxmlformats.org/officeDocument/2006/relationships/hyperlink" Target="mailto:d.labonia@governo.it" TargetMode="External"/><Relationship Id="rId8" Type="http://schemas.openxmlformats.org/officeDocument/2006/relationships/hyperlink" Target="mailto:noeliarodriguez1900@gmail.com;%20hola@b4c.es" TargetMode="External"/><Relationship Id="rId51" Type="http://schemas.openxmlformats.org/officeDocument/2006/relationships/hyperlink" Target="mailto:marino.cavallo@cittametropolitana.bo.it" TargetMode="External"/><Relationship Id="rId72" Type="http://schemas.openxmlformats.org/officeDocument/2006/relationships/hyperlink" Target="mailto:g.difalco@governo.it" TargetMode="External"/><Relationship Id="rId93" Type="http://schemas.openxmlformats.org/officeDocument/2006/relationships/hyperlink" Target="mailto:sporsf@ebrd.com" TargetMode="External"/><Relationship Id="rId98" Type="http://schemas.openxmlformats.org/officeDocument/2006/relationships/hyperlink" Target="mailto:pablo.garcia@gencat.cat" TargetMode="External"/><Relationship Id="rId121" Type="http://schemas.openxmlformats.org/officeDocument/2006/relationships/hyperlink" Target="mailto:silva.laure@gmail.com" TargetMode="External"/><Relationship Id="rId3" Type="http://schemas.openxmlformats.org/officeDocument/2006/relationships/hyperlink" Target="mailto:dorinagjipali@uamd.edu.al" TargetMode="External"/><Relationship Id="rId25" Type="http://schemas.openxmlformats.org/officeDocument/2006/relationships/hyperlink" Target="mailto:p.meister-broekema@pl.hanze.nl%20;%20anne-katrine.ebbesen@nordregio.org" TargetMode="External"/><Relationship Id="rId46" Type="http://schemas.openxmlformats.org/officeDocument/2006/relationships/hyperlink" Target="mailto:gwolszczak@worldbank.org" TargetMode="External"/><Relationship Id="rId67" Type="http://schemas.openxmlformats.org/officeDocument/2006/relationships/hyperlink" Target="mailto:szabo.mariann@gtk.bme.hu" TargetMode="External"/><Relationship Id="rId116" Type="http://schemas.openxmlformats.org/officeDocument/2006/relationships/hyperlink" Target="mailto:Stientje.vanVeldhoven@wri.org" TargetMode="External"/><Relationship Id="rId20" Type="http://schemas.openxmlformats.org/officeDocument/2006/relationships/hyperlink" Target="mailto:RKrusna@lb.lt" TargetMode="External"/><Relationship Id="rId41" Type="http://schemas.openxmlformats.org/officeDocument/2006/relationships/hyperlink" Target="mailto:Rudiger.Ahrend@oecd.org" TargetMode="External"/><Relationship Id="rId62" Type="http://schemas.openxmlformats.org/officeDocument/2006/relationships/hyperlink" Target="mailto:lripoll@correu.escoladeltreball.org" TargetMode="External"/><Relationship Id="rId83" Type="http://schemas.openxmlformats.org/officeDocument/2006/relationships/hyperlink" Target="mailto:f.busillo@governo.it" TargetMode="External"/><Relationship Id="rId88" Type="http://schemas.openxmlformats.org/officeDocument/2006/relationships/hyperlink" Target="mailto:sporsf@ebrd.com" TargetMode="External"/><Relationship Id="rId111" Type="http://schemas.openxmlformats.org/officeDocument/2006/relationships/hyperlink" Target="mailto:Haris.Biskos@urban-initiative.eu%20;%20nadia.siokou@urban-initiative.eu" TargetMode="External"/><Relationship Id="rId132" Type="http://schemas.openxmlformats.org/officeDocument/2006/relationships/hyperlink" Target="mailto:mustafa.fazlioglu@eeas.europa.eu" TargetMode="External"/><Relationship Id="rId15" Type="http://schemas.openxmlformats.org/officeDocument/2006/relationships/hyperlink" Target="mailto:gabriele.marzano@regione.emilia-romagna.it" TargetMode="External"/><Relationship Id="rId36" Type="http://schemas.openxmlformats.org/officeDocument/2006/relationships/hyperlink" Target="mailto:betty-ann.bryce@oecd.org" TargetMode="External"/><Relationship Id="rId57" Type="http://schemas.openxmlformats.org/officeDocument/2006/relationships/hyperlink" Target="mailto:liuti@azione.com" TargetMode="External"/><Relationship Id="rId106" Type="http://schemas.openxmlformats.org/officeDocument/2006/relationships/hyperlink" Target="mailto:g.zendron@white-research.eu;%20apanori@plandevel.auth.gr" TargetMode="External"/><Relationship Id="rId127" Type="http://schemas.openxmlformats.org/officeDocument/2006/relationships/hyperlink" Target="mailto:d.labonia@governo.it" TargetMode="External"/><Relationship Id="rId10" Type="http://schemas.openxmlformats.org/officeDocument/2006/relationships/hyperlink" Target="mailto:patrik.karlsson.ryberg@ri.se" TargetMode="External"/><Relationship Id="rId31" Type="http://schemas.openxmlformats.org/officeDocument/2006/relationships/hyperlink" Target="mailto:martin.gauk@espon.eu" TargetMode="External"/><Relationship Id="rId52" Type="http://schemas.openxmlformats.org/officeDocument/2006/relationships/hyperlink" Target="mailto:clouet@institute-urbanex.org" TargetMode="External"/><Relationship Id="rId73" Type="http://schemas.openxmlformats.org/officeDocument/2006/relationships/hyperlink" Target="mailto:r.parlangeli@governo.it" TargetMode="External"/><Relationship Id="rId78" Type="http://schemas.openxmlformats.org/officeDocument/2006/relationships/hyperlink" Target="mailto:&#160;l.acquaviva@gmail.com" TargetMode="External"/><Relationship Id="rId94" Type="http://schemas.openxmlformats.org/officeDocument/2006/relationships/hyperlink" Target="mailto:sonia.matera@dblue.it" TargetMode="External"/><Relationship Id="rId99" Type="http://schemas.openxmlformats.org/officeDocument/2006/relationships/hyperlink" Target="mailto:sonia.matera@dblue.it" TargetMode="External"/><Relationship Id="rId101" Type="http://schemas.openxmlformats.org/officeDocument/2006/relationships/hyperlink" Target="mailto:viktorija.trimbel@coinvest.lt" TargetMode="External"/><Relationship Id="rId122" Type="http://schemas.openxmlformats.org/officeDocument/2006/relationships/hyperlink" Target="mailto:seamus.mcguinness@esri.ie" TargetMode="External"/><Relationship Id="rId4" Type="http://schemas.openxmlformats.org/officeDocument/2006/relationships/hyperlink" Target="mailto:Soraia.Rodrigues00@hotmail.com" TargetMode="External"/><Relationship Id="rId9" Type="http://schemas.openxmlformats.org/officeDocument/2006/relationships/hyperlink" Target="mailto:paola.valandro@art-er.it" TargetMode="External"/><Relationship Id="rId26" Type="http://schemas.openxmlformats.org/officeDocument/2006/relationships/hyperlink" Target="mailto:wies.ettema@denhaag.nl" TargetMode="External"/><Relationship Id="rId47" Type="http://schemas.openxmlformats.org/officeDocument/2006/relationships/hyperlink" Target="mailto:clouet@institute-urbanex.org" TargetMode="External"/><Relationship Id="rId68" Type="http://schemas.openxmlformats.org/officeDocument/2006/relationships/hyperlink" Target="mailto:iris.kriikkula@turku.fi" TargetMode="External"/><Relationship Id="rId89" Type="http://schemas.openxmlformats.org/officeDocument/2006/relationships/hyperlink" Target="mailto:matthew.bach@iclei.org" TargetMode="External"/><Relationship Id="rId112" Type="http://schemas.openxmlformats.org/officeDocument/2006/relationships/hyperlink" Target="mailto:marta.kolimaga@crido.pl" TargetMode="External"/><Relationship Id="rId133" Type="http://schemas.openxmlformats.org/officeDocument/2006/relationships/hyperlink" Target="mailto:noeliarodriguez1900@gmail.com;%20hola@b4c.e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viszoczky.emese@maltai.hu" TargetMode="External"/><Relationship Id="rId18" Type="http://schemas.openxmlformats.org/officeDocument/2006/relationships/hyperlink" Target="mailto:aparol@lublin.eu" TargetMode="External"/><Relationship Id="rId26" Type="http://schemas.openxmlformats.org/officeDocument/2006/relationships/hyperlink" Target="mailto:f.lebus@climatealliance.org" TargetMode="External"/><Relationship Id="rId39" Type="http://schemas.openxmlformats.org/officeDocument/2006/relationships/hyperlink" Target="mailto:francisco.carvalho@labpaisagem.pt" TargetMode="External"/><Relationship Id="rId21" Type="http://schemas.openxmlformats.org/officeDocument/2006/relationships/hyperlink" Target="mailto:aparol@lublin.eu" TargetMode="External"/><Relationship Id="rId34" Type="http://schemas.openxmlformats.org/officeDocument/2006/relationships/hyperlink" Target="mailto:m.stassi@pcm.gov.it" TargetMode="External"/><Relationship Id="rId42" Type="http://schemas.openxmlformats.org/officeDocument/2006/relationships/hyperlink" Target="mailto:giulia.viero@ieecp.org" TargetMode="External"/><Relationship Id="rId47" Type="http://schemas.openxmlformats.org/officeDocument/2006/relationships/hyperlink" Target="mailto:anna.mansson@energikontorsyd.se" TargetMode="External"/><Relationship Id="rId50" Type="http://schemas.openxmlformats.org/officeDocument/2006/relationships/hyperlink" Target="mailto:m.stassi@pcm.gov.it" TargetMode="External"/><Relationship Id="rId55" Type="http://schemas.openxmlformats.org/officeDocument/2006/relationships/hyperlink" Target="mailto:g.gambino@iaraosta.it" TargetMode="External"/><Relationship Id="rId63" Type="http://schemas.openxmlformats.org/officeDocument/2006/relationships/printerSettings" Target="../printerSettings/printerSettings1.bin"/><Relationship Id="rId7" Type="http://schemas.openxmlformats.org/officeDocument/2006/relationships/hyperlink" Target="mailto:mafe@vardebib.dk" TargetMode="External"/><Relationship Id="rId2" Type="http://schemas.openxmlformats.org/officeDocument/2006/relationships/hyperlink" Target="mailto:zuzendaria@fpsanturtzilh.eus" TargetMode="External"/><Relationship Id="rId16" Type="http://schemas.openxmlformats.org/officeDocument/2006/relationships/hyperlink" Target="mailto:volha.prokharava@tesim-cbc.eu" TargetMode="External"/><Relationship Id="rId29" Type="http://schemas.openxmlformats.org/officeDocument/2006/relationships/hyperlink" Target="mailto:m.boutin@climatealliance.org" TargetMode="External"/><Relationship Id="rId11" Type="http://schemas.openxmlformats.org/officeDocument/2006/relationships/hyperlink" Target="mailto:Maria-Inmaculada.PEREZ-ROCHA@ec.europa.eu" TargetMode="External"/><Relationship Id="rId24" Type="http://schemas.openxmlformats.org/officeDocument/2006/relationships/hyperlink" Target="mailto:camilla@camillawinter.se" TargetMode="External"/><Relationship Id="rId32" Type="http://schemas.openxmlformats.org/officeDocument/2006/relationships/hyperlink" Target="mailto:antti.kotimaa@savonia.fi" TargetMode="External"/><Relationship Id="rId37" Type="http://schemas.openxmlformats.org/officeDocument/2006/relationships/hyperlink" Target="mailto:Solveig.Stornes@mrfylke.no" TargetMode="External"/><Relationship Id="rId40" Type="http://schemas.openxmlformats.org/officeDocument/2006/relationships/hyperlink" Target="mailto:francisco.carvalho@labpaisagem.pt" TargetMode="External"/><Relationship Id="rId45" Type="http://schemas.openxmlformats.org/officeDocument/2006/relationships/hyperlink" Target="mailto:giulia.viero@ieecp.org" TargetMode="External"/><Relationship Id="rId53" Type="http://schemas.openxmlformats.org/officeDocument/2006/relationships/hyperlink" Target="mailto:v.sciucchini@pcm.gov.it" TargetMode="External"/><Relationship Id="rId58" Type="http://schemas.openxmlformats.org/officeDocument/2006/relationships/hyperlink" Target="mailto:marina.malossi@aessenergy.it" TargetMode="External"/><Relationship Id="rId5" Type="http://schemas.openxmlformats.org/officeDocument/2006/relationships/hyperlink" Target="mailto:p.strosser@acteon-environment.eu" TargetMode="External"/><Relationship Id="rId61" Type="http://schemas.openxmlformats.org/officeDocument/2006/relationships/hyperlink" Target="mailto:Lucia.SALGADO-BAENA@ec.europa.eu%20;%20Astrid.NEDEE@ec.europa.eu" TargetMode="External"/><Relationship Id="rId19" Type="http://schemas.openxmlformats.org/officeDocument/2006/relationships/hyperlink" Target="mailto:gabriele.stonkiene@klaipeda.lt" TargetMode="External"/><Relationship Id="rId14" Type="http://schemas.openxmlformats.org/officeDocument/2006/relationships/hyperlink" Target="mailto:viszoczky.emese@maltai.hu" TargetMode="External"/><Relationship Id="rId22" Type="http://schemas.openxmlformats.org/officeDocument/2006/relationships/hyperlink" Target="mailto:aparol@lublin.eu" TargetMode="External"/><Relationship Id="rId27" Type="http://schemas.openxmlformats.org/officeDocument/2006/relationships/hyperlink" Target="mailto:m.boutin@climatealliance.org" TargetMode="External"/><Relationship Id="rId30" Type="http://schemas.openxmlformats.org/officeDocument/2006/relationships/hyperlink" Target="mailto:antti.kotimaa@savonia.fi" TargetMode="External"/><Relationship Id="rId35" Type="http://schemas.openxmlformats.org/officeDocument/2006/relationships/hyperlink" Target="mailto:v.sciucchini@pcm.gov.it" TargetMode="External"/><Relationship Id="rId43" Type="http://schemas.openxmlformats.org/officeDocument/2006/relationships/hyperlink" Target="mailto:varvesi@aisfor.it" TargetMode="External"/><Relationship Id="rId48" Type="http://schemas.openxmlformats.org/officeDocument/2006/relationships/hyperlink" Target="mailto:marina.malossi@aessenergy.it" TargetMode="External"/><Relationship Id="rId56" Type="http://schemas.openxmlformats.org/officeDocument/2006/relationships/hyperlink" Target="mailto:m.merlet@iaraosta.it" TargetMode="External"/><Relationship Id="rId8" Type="http://schemas.openxmlformats.org/officeDocument/2006/relationships/hyperlink" Target="mailto:pia.blomstrom@obotnia.fi" TargetMode="External"/><Relationship Id="rId51" Type="http://schemas.openxmlformats.org/officeDocument/2006/relationships/hyperlink" Target="mailto:v.sciucchini@pcm.gov.it" TargetMode="External"/><Relationship Id="rId3" Type="http://schemas.openxmlformats.org/officeDocument/2006/relationships/hyperlink" Target="mailto:camilla@camillawinter.se" TargetMode="External"/><Relationship Id="rId12" Type="http://schemas.openxmlformats.org/officeDocument/2006/relationships/hyperlink" Target="mailto:amin@isocarp-institute.org%20;%20neli.georgieva@strath.ac.uk" TargetMode="External"/><Relationship Id="rId17" Type="http://schemas.openxmlformats.org/officeDocument/2006/relationships/hyperlink" Target="mailto:m.soucasse@interregeurope.eu" TargetMode="External"/><Relationship Id="rId25" Type="http://schemas.openxmlformats.org/officeDocument/2006/relationships/hyperlink" Target="mailto:i.Astrauskaite@interregeurope.eu" TargetMode="External"/><Relationship Id="rId33" Type="http://schemas.openxmlformats.org/officeDocument/2006/relationships/hyperlink" Target="mailto:jenny.ferry@regionvasterbotten.se" TargetMode="External"/><Relationship Id="rId38" Type="http://schemas.openxmlformats.org/officeDocument/2006/relationships/hyperlink" Target="mailto:Solveig.Stornes@mrfylke.no" TargetMode="External"/><Relationship Id="rId46" Type="http://schemas.openxmlformats.org/officeDocument/2006/relationships/hyperlink" Target="mailto:varvesi@aisfor.it" TargetMode="External"/><Relationship Id="rId59" Type="http://schemas.openxmlformats.org/officeDocument/2006/relationships/hyperlink" Target="mailto:luka.mihailovic@budva.me" TargetMode="External"/><Relationship Id="rId20" Type="http://schemas.openxmlformats.org/officeDocument/2006/relationships/hyperlink" Target="mailto:gabriele.stonkiene@klaipeda.lt" TargetMode="External"/><Relationship Id="rId41" Type="http://schemas.openxmlformats.org/officeDocument/2006/relationships/hyperlink" Target="mailto:giulia.viero@ieecp.org" TargetMode="External"/><Relationship Id="rId54" Type="http://schemas.openxmlformats.org/officeDocument/2006/relationships/hyperlink" Target="mailto:g.gambino@iaraosta.it" TargetMode="External"/><Relationship Id="rId62" Type="http://schemas.openxmlformats.org/officeDocument/2006/relationships/hyperlink" Target="mailto:vittoria.torrisi@youthforum.org%20;%20francesco.zollo@youthforum.org" TargetMode="External"/><Relationship Id="rId1" Type="http://schemas.openxmlformats.org/officeDocument/2006/relationships/hyperlink" Target="mailto:Corina-Luciana.PIRLECI@ec.europa.eu" TargetMode="External"/><Relationship Id="rId6" Type="http://schemas.openxmlformats.org/officeDocument/2006/relationships/hyperlink" Target="mailto:pia.blomstrom@obotnia.fi" TargetMode="External"/><Relationship Id="rId15" Type="http://schemas.openxmlformats.org/officeDocument/2006/relationships/hyperlink" Target="mailto:Sara.GAYARRE-LETE@ec.europa.eu" TargetMode="External"/><Relationship Id="rId23" Type="http://schemas.openxmlformats.org/officeDocument/2006/relationships/hyperlink" Target="mailto:gabriele.stonkiene@klaipeda.lt" TargetMode="External"/><Relationship Id="rId28" Type="http://schemas.openxmlformats.org/officeDocument/2006/relationships/hyperlink" Target="mailto:f.lebus@climatealliance.org" TargetMode="External"/><Relationship Id="rId36" Type="http://schemas.openxmlformats.org/officeDocument/2006/relationships/hyperlink" Target="mailto:Solveig.Stornes@mrfylke.no" TargetMode="External"/><Relationship Id="rId49" Type="http://schemas.openxmlformats.org/officeDocument/2006/relationships/hyperlink" Target="mailto:anna.mansson@energikontorsyd.se" TargetMode="External"/><Relationship Id="rId57" Type="http://schemas.openxmlformats.org/officeDocument/2006/relationships/hyperlink" Target="mailto:m.merlet@iaraosta.it" TargetMode="External"/><Relationship Id="rId10" Type="http://schemas.openxmlformats.org/officeDocument/2006/relationships/hyperlink" Target="mailto:jolien@vlaanderen-circulair.be" TargetMode="External"/><Relationship Id="rId31" Type="http://schemas.openxmlformats.org/officeDocument/2006/relationships/hyperlink" Target="mailto:jenny.ferry@regionvasterbotten.se" TargetMode="External"/><Relationship Id="rId44" Type="http://schemas.openxmlformats.org/officeDocument/2006/relationships/hyperlink" Target="mailto:vvarvesi@aisfor.it" TargetMode="External"/><Relationship Id="rId52" Type="http://schemas.openxmlformats.org/officeDocument/2006/relationships/hyperlink" Target="mailto:m.stassi@pcm.gov.it" TargetMode="External"/><Relationship Id="rId60" Type="http://schemas.openxmlformats.org/officeDocument/2006/relationships/hyperlink" Target="mailto:nadja.vukasovic@kotor.me" TargetMode="External"/><Relationship Id="rId4" Type="http://schemas.openxmlformats.org/officeDocument/2006/relationships/hyperlink" Target="mailto:zuzendaria@fpsanturtzilh.eus" TargetMode="External"/><Relationship Id="rId9" Type="http://schemas.openxmlformats.org/officeDocument/2006/relationships/hyperlink" Target="mailto:communication@urban-initiative.eu;%20eleni@urban-initiative.eu"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saracino@ccci.org.cy" TargetMode="External"/><Relationship Id="rId3" Type="http://schemas.openxmlformats.org/officeDocument/2006/relationships/hyperlink" Target="mailto:denisa.lazurca@nord-vest.ro;%20ovidiu.marginean@nord-vest.ro" TargetMode="External"/><Relationship Id="rId7" Type="http://schemas.openxmlformats.org/officeDocument/2006/relationships/hyperlink" Target="mailto:rosariaagroalimentare@gmail.com" TargetMode="External"/><Relationship Id="rId2" Type="http://schemas.openxmlformats.org/officeDocument/2006/relationships/hyperlink" Target="mailto:consiliul@hincesti.md" TargetMode="External"/><Relationship Id="rId1" Type="http://schemas.openxmlformats.org/officeDocument/2006/relationships/hyperlink" Target="mailto:denisa.lazurca@nord-vest.ro" TargetMode="External"/><Relationship Id="rId6" Type="http://schemas.openxmlformats.org/officeDocument/2006/relationships/hyperlink" Target="tel:+393381530330" TargetMode="External"/><Relationship Id="rId5" Type="http://schemas.openxmlformats.org/officeDocument/2006/relationships/hyperlink" Target="mailto:caccamo@corfilac.it" TargetMode="External"/><Relationship Id="rId4" Type="http://schemas.openxmlformats.org/officeDocument/2006/relationships/hyperlink" Target="mailto:frederico.duarte@tecnico.ulisboa.p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guillemporpro@gmail.com" TargetMode="External"/><Relationship Id="rId2" Type="http://schemas.openxmlformats.org/officeDocument/2006/relationships/hyperlink" Target="mailto:hannutaavitsainen27@gmail.com" TargetMode="External"/><Relationship Id="rId1" Type="http://schemas.openxmlformats.org/officeDocument/2006/relationships/hyperlink" Target="mailto:mary_foti@yahoo.gr" TargetMode="External"/><Relationship Id="rId5" Type="http://schemas.openxmlformats.org/officeDocument/2006/relationships/hyperlink" Target="mailto:k.kaszubski@radioolsztyn.pl" TargetMode="External"/><Relationship Id="rId4" Type="http://schemas.openxmlformats.org/officeDocument/2006/relationships/hyperlink" Target="mailto:christoph@cschwaiger.com;%20christoph@makeitinthenorth.n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b.los@rug.nl" TargetMode="External"/><Relationship Id="rId3" Type="http://schemas.openxmlformats.org/officeDocument/2006/relationships/hyperlink" Target="mailto:tom.brokel@uis.no" TargetMode="External"/><Relationship Id="rId7" Type="http://schemas.openxmlformats.org/officeDocument/2006/relationships/hyperlink" Target="mailto:alexander.ferstl@ec.europa.eu" TargetMode="External"/><Relationship Id="rId12" Type="http://schemas.openxmlformats.org/officeDocument/2006/relationships/table" Target="../tables/table1.xml"/><Relationship Id="rId2" Type="http://schemas.openxmlformats.org/officeDocument/2006/relationships/hyperlink" Target="mailto:Chloe.LE-COQ@assas-universite.fr" TargetMode="External"/><Relationship Id="rId1" Type="http://schemas.openxmlformats.org/officeDocument/2006/relationships/hyperlink" Target="mailto:b.los@rug.nl" TargetMode="External"/><Relationship Id="rId6" Type="http://schemas.openxmlformats.org/officeDocument/2006/relationships/hyperlink" Target="mailto:michaela.dolezalova@ext.ec.europa.eu" TargetMode="External"/><Relationship Id="rId11" Type="http://schemas.openxmlformats.org/officeDocument/2006/relationships/hyperlink" Target="mailto:Rafal.Weron@pwr.edu.pl" TargetMode="External"/><Relationship Id="rId5" Type="http://schemas.openxmlformats.org/officeDocument/2006/relationships/hyperlink" Target="mailto:ludmila.majlathova@ec.europa.eu" TargetMode="External"/><Relationship Id="rId10" Type="http://schemas.openxmlformats.org/officeDocument/2006/relationships/hyperlink" Target="mailto:Chloe.LE-COQ@assas-universite.fr" TargetMode="External"/><Relationship Id="rId4" Type="http://schemas.openxmlformats.org/officeDocument/2006/relationships/hyperlink" Target="mailto:Rafal.Weron@pwr.edu.pl" TargetMode="External"/><Relationship Id="rId9" Type="http://schemas.openxmlformats.org/officeDocument/2006/relationships/hyperlink" Target="mailto:tom.brokel@uis.no"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principi@iridra.com" TargetMode="External"/><Relationship Id="rId18" Type="http://schemas.openxmlformats.org/officeDocument/2006/relationships/hyperlink" Target="mailto:cesar.henriques@ecox.pt" TargetMode="External"/><Relationship Id="rId26" Type="http://schemas.openxmlformats.org/officeDocument/2006/relationships/hyperlink" Target="mailto:tf@monocab-system.com" TargetMode="External"/><Relationship Id="rId39" Type="http://schemas.openxmlformats.org/officeDocument/2006/relationships/hyperlink" Target="mailto:solvita.udre@ventspils.lv" TargetMode="External"/><Relationship Id="rId21" Type="http://schemas.openxmlformats.org/officeDocument/2006/relationships/hyperlink" Target="mailto:f.dellanna@aqp.it" TargetMode="External"/><Relationship Id="rId34" Type="http://schemas.openxmlformats.org/officeDocument/2006/relationships/hyperlink" Target="mailto:jolanta.perek-bialas@uj.edu.pl" TargetMode="External"/><Relationship Id="rId42" Type="http://schemas.openxmlformats.org/officeDocument/2006/relationships/hyperlink" Target="mailto:jmoreira@amp.pt" TargetMode="External"/><Relationship Id="rId47" Type="http://schemas.openxmlformats.org/officeDocument/2006/relationships/hyperlink" Target="mailto:e.buivydiene@labiblioteka.lt" TargetMode="External"/><Relationship Id="rId50" Type="http://schemas.openxmlformats.org/officeDocument/2006/relationships/hyperlink" Target="mailto:pati.sophie@gmail.com" TargetMode="External"/><Relationship Id="rId55" Type="http://schemas.openxmlformats.org/officeDocument/2006/relationships/hyperlink" Target="mailto:n.peeva@api.bg" TargetMode="External"/><Relationship Id="rId7" Type="http://schemas.openxmlformats.org/officeDocument/2006/relationships/hyperlink" Target="mailto:secretary@cpsbb.eu" TargetMode="External"/><Relationship Id="rId2" Type="http://schemas.openxmlformats.org/officeDocument/2006/relationships/hyperlink" Target="mailto:s.valentini@iaraosta.it" TargetMode="External"/><Relationship Id="rId16" Type="http://schemas.openxmlformats.org/officeDocument/2006/relationships/hyperlink" Target="mailto:katrien.wijns@natuurpunt.be" TargetMode="External"/><Relationship Id="rId29" Type="http://schemas.openxmlformats.org/officeDocument/2006/relationships/hyperlink" Target="mailto:z.peteva@api.bg" TargetMode="External"/><Relationship Id="rId11" Type="http://schemas.openxmlformats.org/officeDocument/2006/relationships/hyperlink" Target="mailto:lennart.joelsson@joan.ax" TargetMode="External"/><Relationship Id="rId24" Type="http://schemas.openxmlformats.org/officeDocument/2006/relationships/hyperlink" Target="mailto:rita.sukyte@langasiateiti.lt" TargetMode="External"/><Relationship Id="rId32" Type="http://schemas.openxmlformats.org/officeDocument/2006/relationships/hyperlink" Target="mailto:anna.horakova@nudz.cz" TargetMode="External"/><Relationship Id="rId37" Type="http://schemas.openxmlformats.org/officeDocument/2006/relationships/hyperlink" Target="mailto:marialetizia.diliberti@regione.sicilia.it" TargetMode="External"/><Relationship Id="rId40" Type="http://schemas.openxmlformats.org/officeDocument/2006/relationships/hyperlink" Target="mailto:ieva.gaigala@fm.gov.lv" TargetMode="External"/><Relationship Id="rId45" Type="http://schemas.openxmlformats.org/officeDocument/2006/relationships/hyperlink" Target="mailto:anapaula.mesquita@magellancircle.eu" TargetMode="External"/><Relationship Id="rId53" Type="http://schemas.openxmlformats.org/officeDocument/2006/relationships/hyperlink" Target="mailto:anna.bawol@pkpcargoterminale.com" TargetMode="External"/><Relationship Id="rId5" Type="http://schemas.openxmlformats.org/officeDocument/2006/relationships/hyperlink" Target="mailto:gechev@cpsbb.eu" TargetMode="External"/><Relationship Id="rId10" Type="http://schemas.openxmlformats.org/officeDocument/2006/relationships/hyperlink" Target="mailto:kairi.joesalu@ha.ax" TargetMode="External"/><Relationship Id="rId19" Type="http://schemas.openxmlformats.org/officeDocument/2006/relationships/hyperlink" Target="mailto:comercial@ecox.pt" TargetMode="External"/><Relationship Id="rId31" Type="http://schemas.openxmlformats.org/officeDocument/2006/relationships/hyperlink" Target="mailto:ruben.bruyneel@kortrijk.be" TargetMode="External"/><Relationship Id="rId44" Type="http://schemas.openxmlformats.org/officeDocument/2006/relationships/hyperlink" Target="mailto:apabreu@amp.pt" TargetMode="External"/><Relationship Id="rId52" Type="http://schemas.openxmlformats.org/officeDocument/2006/relationships/hyperlink" Target="mailto:cezary.klimont@pkpcargoterminale.com" TargetMode="External"/><Relationship Id="rId4" Type="http://schemas.openxmlformats.org/officeDocument/2006/relationships/hyperlink" Target="mailto:joliveira@citeve.pt" TargetMode="External"/><Relationship Id="rId9" Type="http://schemas.openxmlformats.org/officeDocument/2006/relationships/hyperlink" Target="mailto:mateusz.stankiewicz@wasat.pl" TargetMode="External"/><Relationship Id="rId14" Type="http://schemas.openxmlformats.org/officeDocument/2006/relationships/hyperlink" Target="mailto:levent.gorgu@ucd.ie" TargetMode="External"/><Relationship Id="rId22" Type="http://schemas.openxmlformats.org/officeDocument/2006/relationships/hyperlink" Target="mailto:amazepa@um.swinoujscie.pl" TargetMode="External"/><Relationship Id="rId27" Type="http://schemas.openxmlformats.org/officeDocument/2006/relationships/hyperlink" Target="mailto:martin.griese@th-owl.de" TargetMode="External"/><Relationship Id="rId30" Type="http://schemas.openxmlformats.org/officeDocument/2006/relationships/hyperlink" Target="mailto:barbara.deman@kortrijk.be" TargetMode="External"/><Relationship Id="rId35" Type="http://schemas.openxmlformats.org/officeDocument/2006/relationships/hyperlink" Target="mailto:ociepkamiasik@gmail.com" TargetMode="External"/><Relationship Id="rId43" Type="http://schemas.openxmlformats.org/officeDocument/2006/relationships/hyperlink" Target="mailto:claudia.alves@magellancircle.eu" TargetMode="External"/><Relationship Id="rId48" Type="http://schemas.openxmlformats.org/officeDocument/2006/relationships/hyperlink" Target="mailto:betty@shankillwomenscentre.org" TargetMode="External"/><Relationship Id="rId8" Type="http://schemas.openxmlformats.org/officeDocument/2006/relationships/hyperlink" Target="mailto:bartosz.buszke@wasat.pl" TargetMode="External"/><Relationship Id="rId51" Type="http://schemas.openxmlformats.org/officeDocument/2006/relationships/hyperlink" Target="mailto:co.cultured280@gmail.com" TargetMode="External"/><Relationship Id="rId3" Type="http://schemas.openxmlformats.org/officeDocument/2006/relationships/hyperlink" Target="mailto:montse@texfor.es" TargetMode="External"/><Relationship Id="rId12" Type="http://schemas.openxmlformats.org/officeDocument/2006/relationships/hyperlink" Target="mailto:b.sarnari@svimed.eu" TargetMode="External"/><Relationship Id="rId17" Type="http://schemas.openxmlformats.org/officeDocument/2006/relationships/hyperlink" Target="mailto:stefan.versweyveld@natuurpunt.be" TargetMode="External"/><Relationship Id="rId25" Type="http://schemas.openxmlformats.org/officeDocument/2006/relationships/hyperlink" Target="mailto:feried.al-hamdawi@th-owl.de" TargetMode="External"/><Relationship Id="rId33" Type="http://schemas.openxmlformats.org/officeDocument/2006/relationships/hyperlink" Target="mailto:antonin.sebela@nudz.cz" TargetMode="External"/><Relationship Id="rId38" Type="http://schemas.openxmlformats.org/officeDocument/2006/relationships/hyperlink" Target="mailto:g.losapio@consorzionova.it" TargetMode="External"/><Relationship Id="rId46" Type="http://schemas.openxmlformats.org/officeDocument/2006/relationships/hyperlink" Target="mailto:j.kilciauskas@labiblioteka.lt" TargetMode="External"/><Relationship Id="rId20" Type="http://schemas.openxmlformats.org/officeDocument/2006/relationships/hyperlink" Target="mailto:m.mantuano@greece-italy.eu" TargetMode="External"/><Relationship Id="rId41" Type="http://schemas.openxmlformats.org/officeDocument/2006/relationships/hyperlink" Target="mailto:jorgesequeira@cm-sjm.pt" TargetMode="External"/><Relationship Id="rId54" Type="http://schemas.openxmlformats.org/officeDocument/2006/relationships/hyperlink" Target="mailto:&#160;zimecki@inet.pl" TargetMode="External"/><Relationship Id="rId1" Type="http://schemas.openxmlformats.org/officeDocument/2006/relationships/hyperlink" Target="mailto:l.vernetti@iaraosta.it" TargetMode="External"/><Relationship Id="rId6" Type="http://schemas.openxmlformats.org/officeDocument/2006/relationships/hyperlink" Target="mailto:georgiev@cpsbb.eu" TargetMode="External"/><Relationship Id="rId15" Type="http://schemas.openxmlformats.org/officeDocument/2006/relationships/hyperlink" Target="mailto:rui.carrilho.gomes@tecnico.ulisboa.pt" TargetMode="External"/><Relationship Id="rId23" Type="http://schemas.openxmlformats.org/officeDocument/2006/relationships/hyperlink" Target="mailto:tomas.misevicius@vssa.lt" TargetMode="External"/><Relationship Id="rId28" Type="http://schemas.openxmlformats.org/officeDocument/2006/relationships/hyperlink" Target="mailto:v.atanasov@api.bg" TargetMode="External"/><Relationship Id="rId36" Type="http://schemas.openxmlformats.org/officeDocument/2006/relationships/hyperlink" Target="mailto:r.venneri@regione.puglia.it" TargetMode="External"/><Relationship Id="rId49" Type="http://schemas.openxmlformats.org/officeDocument/2006/relationships/hyperlink" Target="mailto:Lesley-anne@shankillwomenscentr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0844-C36F-40DA-890D-0F8D02D90E97}">
  <sheetPr filterMode="1"/>
  <dimension ref="A1:CH134"/>
  <sheetViews>
    <sheetView zoomScaleNormal="90" workbookViewId="0">
      <pane xSplit="5" ySplit="2" topLeftCell="BY3" activePane="bottomRight" state="frozen"/>
      <selection pane="topRight" activeCell="F1" sqref="F1"/>
      <selection pane="bottomLeft" activeCell="A3" sqref="A3"/>
      <selection pane="bottomRight" activeCell="BS17" sqref="BS17"/>
    </sheetView>
  </sheetViews>
  <sheetFormatPr baseColWidth="10" defaultColWidth="9.1640625" defaultRowHeight="21.5" customHeight="1"/>
  <cols>
    <col min="1" max="1" width="23.33203125" style="229" customWidth="1"/>
    <col min="2" max="2" width="10" style="229" customWidth="1"/>
    <col min="3" max="3" width="11.5" style="229" customWidth="1"/>
    <col min="4" max="4" width="14.83203125" style="229" customWidth="1"/>
    <col min="5" max="5" width="9.1640625" style="230" customWidth="1"/>
    <col min="6" max="13" width="13" style="229" customWidth="1"/>
    <col min="14" max="15" width="9.1640625" style="229" customWidth="1"/>
    <col min="16" max="18" width="13" style="229" customWidth="1"/>
    <col min="19" max="21" width="13" style="1" customWidth="1"/>
    <col min="22" max="22" width="13" style="44" customWidth="1"/>
    <col min="23" max="44" width="13" style="1" customWidth="1"/>
    <col min="45" max="45" width="9.1640625" style="1" customWidth="1"/>
    <col min="46" max="46" width="13" style="1" customWidth="1"/>
    <col min="47" max="47" width="13" style="1" bestFit="1" customWidth="1"/>
    <col min="48" max="48" width="13" style="1" customWidth="1"/>
    <col min="49" max="49" width="16" style="1" customWidth="1"/>
    <col min="50" max="50" width="19" style="1" customWidth="1"/>
    <col min="51" max="51" width="6" style="1" customWidth="1"/>
    <col min="52" max="53" width="13" style="1" customWidth="1"/>
    <col min="54" max="54" width="14.5" style="1" customWidth="1"/>
    <col min="55" max="55" width="10" style="1" customWidth="1"/>
    <col min="56" max="56" width="11.33203125" style="1" customWidth="1"/>
    <col min="57" max="57" width="14.5" style="1" customWidth="1"/>
    <col min="58" max="58" width="13" style="1" customWidth="1"/>
    <col min="59" max="59" width="12.1640625" style="1" customWidth="1"/>
    <col min="60" max="73" width="13" style="1" customWidth="1"/>
    <col min="74" max="74" width="16.33203125" style="1" customWidth="1"/>
    <col min="75" max="83" width="13" style="1" customWidth="1"/>
    <col min="84" max="86" width="26.5" style="1" customWidth="1"/>
    <col min="87" max="16384" width="9.1640625" style="1"/>
  </cols>
  <sheetData>
    <row r="1" spans="1:86" s="31" customFormat="1" ht="38" customHeight="1">
      <c r="A1" s="1004" t="s">
        <v>0</v>
      </c>
      <c r="B1" s="1004"/>
      <c r="C1" s="1004"/>
      <c r="D1" s="1004"/>
      <c r="E1" s="1004"/>
      <c r="F1" s="1004"/>
      <c r="G1" s="1004"/>
      <c r="H1" s="1004"/>
      <c r="I1" s="1004"/>
      <c r="J1" s="1004"/>
      <c r="K1" s="1004"/>
      <c r="L1" s="1004"/>
      <c r="M1" s="1004"/>
      <c r="N1" s="1004"/>
      <c r="O1" s="1004"/>
      <c r="P1" s="1004"/>
      <c r="Q1" s="1004"/>
      <c r="R1" s="1004"/>
      <c r="S1" s="1004"/>
      <c r="T1" s="1004"/>
      <c r="U1" s="1004"/>
      <c r="V1" s="1004"/>
      <c r="W1" s="1004"/>
      <c r="X1" s="1004"/>
      <c r="Y1" s="1004"/>
      <c r="Z1" s="1004"/>
      <c r="AA1" s="1004"/>
      <c r="AB1" s="1004"/>
      <c r="AC1" s="1004"/>
      <c r="AD1" s="1004"/>
      <c r="AE1" s="1004"/>
      <c r="AF1" s="1004"/>
      <c r="AG1" s="1004"/>
      <c r="AH1" s="1004"/>
      <c r="AI1" s="1004"/>
      <c r="AJ1" s="1004"/>
      <c r="AK1" s="1004"/>
      <c r="AL1" s="1004"/>
      <c r="AM1" s="1004"/>
      <c r="AN1" s="1004"/>
      <c r="AO1" s="1004"/>
      <c r="AP1" s="1004"/>
      <c r="AQ1" s="1004"/>
      <c r="AR1" s="1004"/>
      <c r="AS1" s="1004"/>
      <c r="AT1" s="1007" t="s">
        <v>1</v>
      </c>
      <c r="AU1" s="1007"/>
      <c r="AV1" s="1007"/>
      <c r="AW1" s="1007"/>
      <c r="AX1" s="1007"/>
      <c r="AY1" s="1007"/>
      <c r="AZ1" s="1007"/>
      <c r="BA1" s="1007"/>
      <c r="BB1" s="1007"/>
      <c r="BC1" s="1007"/>
      <c r="BD1" s="1007"/>
      <c r="BE1" s="1007"/>
      <c r="BF1" s="1007"/>
      <c r="BG1" s="193"/>
      <c r="BH1" s="193"/>
      <c r="BI1" s="1008" t="s">
        <v>2</v>
      </c>
      <c r="BJ1" s="1008"/>
      <c r="BK1" s="1008"/>
      <c r="BL1" s="1008"/>
      <c r="BM1" s="1001" t="s">
        <v>3</v>
      </c>
      <c r="BN1" s="1001"/>
      <c r="BO1" s="1001"/>
      <c r="BP1" s="1001"/>
      <c r="BQ1" s="1001"/>
      <c r="BR1" s="1001"/>
      <c r="BS1" s="1001"/>
      <c r="BT1" s="1001"/>
      <c r="BU1" s="1001"/>
      <c r="BV1" s="1001"/>
      <c r="BW1" s="1078"/>
      <c r="BX1" s="1079"/>
      <c r="BY1" s="1079"/>
      <c r="BZ1" s="1079"/>
      <c r="CA1" s="1079"/>
      <c r="CB1" s="1079"/>
      <c r="CC1" s="1079"/>
      <c r="CD1" s="1079"/>
      <c r="CE1" s="1080"/>
      <c r="CF1" s="1003" t="s">
        <v>4</v>
      </c>
      <c r="CG1" s="1003"/>
      <c r="CH1" s="1003"/>
    </row>
    <row r="2" spans="1:86" s="31" customFormat="1" ht="60.5" customHeight="1">
      <c r="A2" s="231" t="s">
        <v>5</v>
      </c>
      <c r="B2" s="231" t="s">
        <v>6</v>
      </c>
      <c r="C2" s="231" t="s">
        <v>7</v>
      </c>
      <c r="D2" s="231" t="s">
        <v>8</v>
      </c>
      <c r="E2" s="232" t="s">
        <v>9</v>
      </c>
      <c r="F2" s="231" t="s">
        <v>10</v>
      </c>
      <c r="G2" s="231" t="s">
        <v>11</v>
      </c>
      <c r="H2" s="231" t="s">
        <v>12</v>
      </c>
      <c r="I2" s="231" t="s">
        <v>13</v>
      </c>
      <c r="J2" s="231" t="s">
        <v>14</v>
      </c>
      <c r="K2" s="231" t="s">
        <v>15</v>
      </c>
      <c r="L2" s="231" t="s">
        <v>16</v>
      </c>
      <c r="M2" s="231" t="s">
        <v>17</v>
      </c>
      <c r="N2" s="231" t="s">
        <v>18</v>
      </c>
      <c r="O2" s="231" t="s">
        <v>19</v>
      </c>
      <c r="P2" s="231" t="s">
        <v>20</v>
      </c>
      <c r="Q2" s="231" t="s">
        <v>21</v>
      </c>
      <c r="R2" s="231" t="s">
        <v>22</v>
      </c>
      <c r="S2" s="231" t="s">
        <v>23</v>
      </c>
      <c r="T2" s="231" t="s">
        <v>24</v>
      </c>
      <c r="U2" s="231" t="s">
        <v>25</v>
      </c>
      <c r="V2" s="231" t="s">
        <v>26</v>
      </c>
      <c r="W2" s="231" t="s">
        <v>27</v>
      </c>
      <c r="X2" s="231" t="s">
        <v>28</v>
      </c>
      <c r="Y2" s="231" t="s">
        <v>29</v>
      </c>
      <c r="Z2" s="231" t="s">
        <v>30</v>
      </c>
      <c r="AA2" s="231" t="s">
        <v>31</v>
      </c>
      <c r="AB2" s="231" t="s">
        <v>32</v>
      </c>
      <c r="AC2" s="231" t="s">
        <v>33</v>
      </c>
      <c r="AD2" s="231" t="s">
        <v>34</v>
      </c>
      <c r="AE2" s="231" t="s">
        <v>35</v>
      </c>
      <c r="AF2" s="231" t="s">
        <v>36</v>
      </c>
      <c r="AG2" s="231" t="s">
        <v>37</v>
      </c>
      <c r="AH2" s="231" t="s">
        <v>38</v>
      </c>
      <c r="AI2" s="231" t="s">
        <v>39</v>
      </c>
      <c r="AJ2" s="231" t="s">
        <v>40</v>
      </c>
      <c r="AK2" s="231" t="s">
        <v>41</v>
      </c>
      <c r="AL2" s="231" t="s">
        <v>42</v>
      </c>
      <c r="AM2" s="231" t="s">
        <v>43</v>
      </c>
      <c r="AN2" s="231" t="s">
        <v>44</v>
      </c>
      <c r="AO2" s="231" t="s">
        <v>45</v>
      </c>
      <c r="AP2" s="231" t="s">
        <v>46</v>
      </c>
      <c r="AQ2" s="231" t="s">
        <v>47</v>
      </c>
      <c r="AR2" s="233" t="s">
        <v>48</v>
      </c>
      <c r="AS2" s="233" t="s">
        <v>49</v>
      </c>
      <c r="AT2" s="234" t="s">
        <v>50</v>
      </c>
      <c r="AU2" s="234" t="s">
        <v>51</v>
      </c>
      <c r="AV2" s="234" t="s">
        <v>19</v>
      </c>
      <c r="AW2" s="234" t="s">
        <v>52</v>
      </c>
      <c r="AX2" s="234" t="s">
        <v>53</v>
      </c>
      <c r="AY2" s="234" t="s">
        <v>54</v>
      </c>
      <c r="AZ2" s="234" t="s">
        <v>55</v>
      </c>
      <c r="BA2" s="234" t="s">
        <v>56</v>
      </c>
      <c r="BB2" s="234" t="s">
        <v>57</v>
      </c>
      <c r="BC2" s="234" t="s">
        <v>58</v>
      </c>
      <c r="BD2" s="234" t="s">
        <v>59</v>
      </c>
      <c r="BE2" s="234" t="s">
        <v>60</v>
      </c>
      <c r="BF2" s="234" t="s">
        <v>61</v>
      </c>
      <c r="BG2" s="234" t="s">
        <v>62</v>
      </c>
      <c r="BH2" s="234" t="s">
        <v>63</v>
      </c>
      <c r="BI2" s="235" t="s">
        <v>64</v>
      </c>
      <c r="BJ2" s="235" t="s">
        <v>65</v>
      </c>
      <c r="BK2" s="235" t="s">
        <v>66</v>
      </c>
      <c r="BL2" s="235" t="s">
        <v>67</v>
      </c>
      <c r="BM2" s="118" t="s">
        <v>68</v>
      </c>
      <c r="BN2" s="118" t="s">
        <v>69</v>
      </c>
      <c r="BO2" s="118" t="s">
        <v>57</v>
      </c>
      <c r="BP2" s="118" t="s">
        <v>70</v>
      </c>
      <c r="BQ2" s="118" t="s">
        <v>71</v>
      </c>
      <c r="BR2" s="118" t="s">
        <v>72</v>
      </c>
      <c r="BS2" s="118" t="s">
        <v>73</v>
      </c>
      <c r="BT2" s="118" t="s">
        <v>70</v>
      </c>
      <c r="BU2" s="118" t="s">
        <v>71</v>
      </c>
      <c r="BV2" s="118" t="s">
        <v>74</v>
      </c>
      <c r="BW2" s="120">
        <v>45943</v>
      </c>
      <c r="BX2" s="204">
        <v>45944</v>
      </c>
      <c r="BY2" s="204">
        <v>45945</v>
      </c>
      <c r="BZ2" s="203" t="s">
        <v>75</v>
      </c>
      <c r="CA2" s="203" t="s">
        <v>76</v>
      </c>
      <c r="CB2" s="203" t="s">
        <v>77</v>
      </c>
      <c r="CC2" s="203" t="s">
        <v>78</v>
      </c>
      <c r="CD2" s="119" t="s">
        <v>79</v>
      </c>
      <c r="CE2" s="119" t="s">
        <v>80</v>
      </c>
      <c r="CF2" s="121" t="s">
        <v>81</v>
      </c>
      <c r="CG2" s="121" t="s">
        <v>82</v>
      </c>
      <c r="CH2" s="121" t="s">
        <v>83</v>
      </c>
    </row>
    <row r="3" spans="1:86" ht="21.5" customHeight="1">
      <c r="A3" s="236">
        <v>45944</v>
      </c>
      <c r="B3" s="237" t="s">
        <v>84</v>
      </c>
      <c r="C3" s="238">
        <v>45943</v>
      </c>
      <c r="D3" s="238">
        <v>45945</v>
      </c>
      <c r="E3" s="239">
        <v>1965</v>
      </c>
      <c r="F3" s="240" t="s">
        <v>85</v>
      </c>
      <c r="G3" s="237" t="s">
        <v>86</v>
      </c>
      <c r="H3" s="237" t="s">
        <v>87</v>
      </c>
      <c r="I3" s="241" t="s">
        <v>88</v>
      </c>
      <c r="J3" s="237" t="s">
        <v>89</v>
      </c>
      <c r="K3" s="237" t="s">
        <v>90</v>
      </c>
      <c r="L3" s="237" t="s">
        <v>91</v>
      </c>
      <c r="M3" s="237" t="s">
        <v>88</v>
      </c>
      <c r="N3" s="237" t="s">
        <v>92</v>
      </c>
      <c r="O3" s="237" t="s">
        <v>93</v>
      </c>
      <c r="P3" s="237" t="s">
        <v>94</v>
      </c>
      <c r="Q3" s="237" t="s">
        <v>95</v>
      </c>
      <c r="R3" s="237" t="s">
        <v>96</v>
      </c>
      <c r="S3" s="237" t="s">
        <v>97</v>
      </c>
      <c r="T3" s="245" t="s">
        <v>98</v>
      </c>
      <c r="U3" s="237" t="s">
        <v>89</v>
      </c>
      <c r="V3" s="243">
        <v>0</v>
      </c>
      <c r="W3" s="237"/>
      <c r="X3" s="237"/>
      <c r="Y3" s="237"/>
      <c r="Z3" s="237"/>
      <c r="AA3" s="237"/>
      <c r="AB3" s="237"/>
      <c r="AC3" s="237"/>
      <c r="AD3" s="237"/>
      <c r="AE3" s="237"/>
      <c r="AF3" s="237" t="s">
        <v>89</v>
      </c>
      <c r="AG3" s="244">
        <v>0</v>
      </c>
      <c r="AH3" s="111"/>
      <c r="AI3" s="111"/>
      <c r="AJ3" s="111"/>
      <c r="AK3" s="111"/>
      <c r="AL3" s="111"/>
      <c r="AM3" s="111"/>
      <c r="AN3" s="111"/>
      <c r="AO3" s="111"/>
      <c r="AP3" s="111"/>
      <c r="AQ3" s="237" t="s">
        <v>99</v>
      </c>
      <c r="AR3" s="111" t="s">
        <v>88</v>
      </c>
      <c r="AS3" s="111" t="s">
        <v>88</v>
      </c>
      <c r="AT3" s="456"/>
      <c r="AU3" s="456"/>
      <c r="AV3" s="456"/>
      <c r="AW3" s="938" t="s">
        <v>88</v>
      </c>
      <c r="AX3" s="456" t="s">
        <v>88</v>
      </c>
      <c r="AY3" s="456" t="s">
        <v>89</v>
      </c>
      <c r="AZ3" s="456" t="s">
        <v>88</v>
      </c>
      <c r="BA3" s="456" t="s">
        <v>88</v>
      </c>
      <c r="BB3" s="456" t="s">
        <v>88</v>
      </c>
      <c r="BC3" s="456" t="s">
        <v>88</v>
      </c>
      <c r="BD3" s="456" t="s">
        <v>88</v>
      </c>
      <c r="BE3" s="456" t="s">
        <v>88</v>
      </c>
      <c r="BF3" s="456" t="s">
        <v>88</v>
      </c>
      <c r="BG3" s="456" t="s">
        <v>89</v>
      </c>
      <c r="BH3" s="456" t="s">
        <v>88</v>
      </c>
      <c r="BI3" s="456" t="s">
        <v>88</v>
      </c>
      <c r="BJ3" s="456" t="s">
        <v>88</v>
      </c>
      <c r="BK3" s="456" t="s">
        <v>88</v>
      </c>
      <c r="BL3" s="456" t="s">
        <v>88</v>
      </c>
      <c r="BM3" s="939" t="s">
        <v>88</v>
      </c>
      <c r="BN3" s="939" t="s">
        <v>88</v>
      </c>
      <c r="BO3" s="939" t="s">
        <v>88</v>
      </c>
      <c r="BP3" s="939" t="s">
        <v>88</v>
      </c>
      <c r="BQ3" s="939" t="s">
        <v>88</v>
      </c>
      <c r="BR3" s="939" t="s">
        <v>88</v>
      </c>
      <c r="BS3" s="939" t="s">
        <v>88</v>
      </c>
      <c r="BT3" s="939" t="s">
        <v>88</v>
      </c>
      <c r="BU3" s="939" t="s">
        <v>88</v>
      </c>
      <c r="BV3" s="939" t="s">
        <v>88</v>
      </c>
      <c r="BW3" s="940"/>
      <c r="BX3" s="456"/>
      <c r="BY3" s="456"/>
      <c r="BZ3" s="941"/>
      <c r="CA3" s="941"/>
      <c r="CB3" s="941"/>
      <c r="CC3" s="456" t="s">
        <v>88</v>
      </c>
      <c r="CD3" s="942" t="s">
        <v>88</v>
      </c>
      <c r="CE3" s="456" t="s">
        <v>88</v>
      </c>
      <c r="CF3" s="456" t="s">
        <v>88</v>
      </c>
      <c r="CG3" s="456" t="s">
        <v>88</v>
      </c>
      <c r="CH3" s="456" t="s">
        <v>88</v>
      </c>
    </row>
    <row r="4" spans="1:86" ht="21.5" customHeight="1">
      <c r="A4" s="988">
        <v>45944</v>
      </c>
      <c r="B4" s="977" t="s">
        <v>100</v>
      </c>
      <c r="C4" s="976">
        <v>45943</v>
      </c>
      <c r="D4" s="976">
        <v>45945</v>
      </c>
      <c r="E4" s="978">
        <v>1969</v>
      </c>
      <c r="F4" s="986" t="s">
        <v>101</v>
      </c>
      <c r="G4" s="977" t="s">
        <v>86</v>
      </c>
      <c r="H4" s="977" t="s">
        <v>102</v>
      </c>
      <c r="I4" s="987">
        <v>19692590</v>
      </c>
      <c r="J4" s="977" t="s">
        <v>97</v>
      </c>
      <c r="K4" s="977" t="s">
        <v>103</v>
      </c>
      <c r="L4" s="977" t="s">
        <v>104</v>
      </c>
      <c r="M4" s="977" t="s">
        <v>88</v>
      </c>
      <c r="N4" s="977" t="s">
        <v>105</v>
      </c>
      <c r="O4" s="969" t="s">
        <v>106</v>
      </c>
      <c r="P4" s="969" t="s">
        <v>107</v>
      </c>
      <c r="Q4" s="977" t="s">
        <v>108</v>
      </c>
      <c r="R4" s="977" t="s">
        <v>109</v>
      </c>
      <c r="S4" s="977" t="s">
        <v>110</v>
      </c>
      <c r="T4" s="1002" t="s">
        <v>98</v>
      </c>
      <c r="U4" s="1005" t="s">
        <v>97</v>
      </c>
      <c r="V4" s="973">
        <v>2</v>
      </c>
      <c r="W4" s="977" t="s">
        <v>111</v>
      </c>
      <c r="X4" s="977" t="s">
        <v>112</v>
      </c>
      <c r="Y4" s="1006" t="s">
        <v>113</v>
      </c>
      <c r="Z4" s="964" t="s">
        <v>114</v>
      </c>
      <c r="AA4" s="964" t="s">
        <v>115</v>
      </c>
      <c r="AB4" s="1006" t="s">
        <v>116</v>
      </c>
      <c r="AC4" s="964" t="s">
        <v>88</v>
      </c>
      <c r="AD4" s="964" t="s">
        <v>88</v>
      </c>
      <c r="AE4" s="964" t="s">
        <v>88</v>
      </c>
      <c r="AF4" s="964" t="s">
        <v>97</v>
      </c>
      <c r="AG4" s="965">
        <v>2</v>
      </c>
      <c r="AH4" s="964" t="s">
        <v>111</v>
      </c>
      <c r="AI4" s="964" t="s">
        <v>112</v>
      </c>
      <c r="AJ4" s="964" t="s">
        <v>113</v>
      </c>
      <c r="AK4" s="964" t="s">
        <v>114</v>
      </c>
      <c r="AL4" s="964" t="s">
        <v>115</v>
      </c>
      <c r="AM4" s="964" t="s">
        <v>116</v>
      </c>
      <c r="AN4" s="964" t="s">
        <v>88</v>
      </c>
      <c r="AO4" s="964" t="s">
        <v>88</v>
      </c>
      <c r="AP4" s="964" t="s">
        <v>88</v>
      </c>
      <c r="AQ4" s="964" t="s">
        <v>117</v>
      </c>
      <c r="AR4" s="964" t="s">
        <v>118</v>
      </c>
      <c r="AS4" s="964" t="s">
        <v>119</v>
      </c>
      <c r="AT4" s="331" t="s">
        <v>111</v>
      </c>
      <c r="AU4" s="331" t="s">
        <v>112</v>
      </c>
      <c r="AV4" s="331" t="s">
        <v>113</v>
      </c>
      <c r="AW4" s="332">
        <v>353892541846</v>
      </c>
      <c r="AX4" s="331" t="s">
        <v>120</v>
      </c>
      <c r="AY4" s="331" t="s">
        <v>97</v>
      </c>
      <c r="AZ4" s="331" t="s">
        <v>121</v>
      </c>
      <c r="BA4" s="331" t="s">
        <v>122</v>
      </c>
      <c r="BB4" s="333">
        <v>45943</v>
      </c>
      <c r="BC4" s="331" t="s">
        <v>123</v>
      </c>
      <c r="BD4" s="331" t="s">
        <v>122</v>
      </c>
      <c r="BE4" s="333">
        <v>45945</v>
      </c>
      <c r="BF4" s="331" t="s">
        <v>124</v>
      </c>
      <c r="BG4" s="331" t="s">
        <v>97</v>
      </c>
      <c r="BH4" s="331" t="s">
        <v>125</v>
      </c>
      <c r="BI4" s="132" t="s">
        <v>98</v>
      </c>
      <c r="BJ4" s="132" t="s">
        <v>98</v>
      </c>
      <c r="BK4" s="132" t="s">
        <v>98</v>
      </c>
      <c r="BL4" s="667" t="s">
        <v>98</v>
      </c>
      <c r="BM4" s="111" t="s">
        <v>122</v>
      </c>
      <c r="BN4" s="29" t="s">
        <v>126</v>
      </c>
      <c r="BO4" s="658">
        <v>45943</v>
      </c>
      <c r="BP4" s="659">
        <v>0.64236111111111116</v>
      </c>
      <c r="BQ4" s="660" t="s">
        <v>127</v>
      </c>
      <c r="BR4" s="111" t="s">
        <v>122</v>
      </c>
      <c r="BS4" s="658">
        <v>45945</v>
      </c>
      <c r="BT4" s="659">
        <v>0.88888888888888884</v>
      </c>
      <c r="BU4" s="660" t="s">
        <v>128</v>
      </c>
      <c r="BV4" s="661">
        <v>259.70999999999998</v>
      </c>
      <c r="BW4" s="741">
        <v>1</v>
      </c>
      <c r="BX4" s="132">
        <v>1</v>
      </c>
      <c r="BY4" s="661"/>
      <c r="BZ4" s="483">
        <v>45943</v>
      </c>
      <c r="CA4" s="483">
        <v>45945</v>
      </c>
      <c r="CB4" s="483"/>
      <c r="CC4" s="111">
        <f>BW4+BX4+BY4</f>
        <v>2</v>
      </c>
      <c r="CD4" s="220" t="s">
        <v>88</v>
      </c>
      <c r="CE4" s="111" t="s">
        <v>88</v>
      </c>
      <c r="CF4" s="111" t="s">
        <v>88</v>
      </c>
      <c r="CG4" s="111" t="s">
        <v>88</v>
      </c>
      <c r="CH4" s="111" t="s">
        <v>88</v>
      </c>
    </row>
    <row r="5" spans="1:86" ht="21.5" hidden="1" customHeight="1">
      <c r="A5" s="989"/>
      <c r="B5" s="977"/>
      <c r="C5" s="977"/>
      <c r="D5" s="977"/>
      <c r="E5" s="978"/>
      <c r="F5" s="986"/>
      <c r="G5" s="977"/>
      <c r="H5" s="977"/>
      <c r="I5" s="987"/>
      <c r="J5" s="977"/>
      <c r="K5" s="977"/>
      <c r="L5" s="977"/>
      <c r="M5" s="977"/>
      <c r="N5" s="977"/>
      <c r="O5" s="969"/>
      <c r="P5" s="969"/>
      <c r="Q5" s="977"/>
      <c r="R5" s="977"/>
      <c r="S5" s="977"/>
      <c r="T5" s="1002"/>
      <c r="U5" s="1005"/>
      <c r="V5" s="973"/>
      <c r="W5" s="977" t="s">
        <v>88</v>
      </c>
      <c r="X5" s="977" t="s">
        <v>88</v>
      </c>
      <c r="Y5" s="1006"/>
      <c r="Z5" s="964" t="s">
        <v>88</v>
      </c>
      <c r="AA5" s="964"/>
      <c r="AB5" s="1006"/>
      <c r="AC5" s="964"/>
      <c r="AD5" s="964"/>
      <c r="AE5" s="964"/>
      <c r="AF5" s="964" t="s">
        <v>88</v>
      </c>
      <c r="AG5" s="965" t="s">
        <v>88</v>
      </c>
      <c r="AH5" s="964" t="s">
        <v>88</v>
      </c>
      <c r="AI5" s="964" t="s">
        <v>88</v>
      </c>
      <c r="AJ5" s="964" t="s">
        <v>88</v>
      </c>
      <c r="AK5" s="964" t="s">
        <v>88</v>
      </c>
      <c r="AL5" s="964" t="s">
        <v>88</v>
      </c>
      <c r="AM5" s="964" t="s">
        <v>88</v>
      </c>
      <c r="AN5" s="964" t="s">
        <v>88</v>
      </c>
      <c r="AO5" s="964" t="s">
        <v>88</v>
      </c>
      <c r="AP5" s="964" t="s">
        <v>88</v>
      </c>
      <c r="AQ5" s="964" t="s">
        <v>88</v>
      </c>
      <c r="AR5" s="964" t="s">
        <v>88</v>
      </c>
      <c r="AS5" s="964" t="s">
        <v>88</v>
      </c>
      <c r="AT5" s="331" t="s">
        <v>114</v>
      </c>
      <c r="AU5" s="331" t="s">
        <v>115</v>
      </c>
      <c r="AV5" s="331" t="s">
        <v>116</v>
      </c>
      <c r="AW5" s="332">
        <v>48784939432</v>
      </c>
      <c r="AX5" s="331" t="s">
        <v>129</v>
      </c>
      <c r="AY5" s="331" t="s">
        <v>97</v>
      </c>
      <c r="AZ5" s="331" t="s">
        <v>121</v>
      </c>
      <c r="BA5" s="331" t="s">
        <v>130</v>
      </c>
      <c r="BB5" s="333">
        <v>45943</v>
      </c>
      <c r="BC5" s="331">
        <v>1000</v>
      </c>
      <c r="BD5" s="331" t="s">
        <v>130</v>
      </c>
      <c r="BE5" s="333">
        <v>45945</v>
      </c>
      <c r="BF5" s="331">
        <v>1500</v>
      </c>
      <c r="BG5" s="331" t="s">
        <v>97</v>
      </c>
      <c r="BH5" s="331" t="s">
        <v>131</v>
      </c>
      <c r="BI5" s="132" t="s">
        <v>98</v>
      </c>
      <c r="BJ5" s="132" t="s">
        <v>98</v>
      </c>
      <c r="BK5" s="132" t="s">
        <v>98</v>
      </c>
      <c r="BL5" s="667" t="s">
        <v>98</v>
      </c>
      <c r="BM5" s="111" t="s">
        <v>130</v>
      </c>
      <c r="BN5" s="29" t="s">
        <v>126</v>
      </c>
      <c r="BO5" s="658">
        <v>45943</v>
      </c>
      <c r="BP5" s="659">
        <v>0.43402777777777779</v>
      </c>
      <c r="BQ5" s="660" t="s">
        <v>132</v>
      </c>
      <c r="BR5" s="111" t="s">
        <v>130</v>
      </c>
      <c r="BS5" s="658">
        <v>45945</v>
      </c>
      <c r="BT5" s="659">
        <v>0.63888888888888884</v>
      </c>
      <c r="BU5" s="660" t="s">
        <v>133</v>
      </c>
      <c r="BV5" s="662">
        <v>512.02</v>
      </c>
      <c r="BW5" s="741">
        <v>1</v>
      </c>
      <c r="BX5" s="132">
        <v>1</v>
      </c>
      <c r="BY5" s="662"/>
      <c r="BZ5" s="483">
        <v>45943</v>
      </c>
      <c r="CA5" s="483">
        <v>45945</v>
      </c>
      <c r="CB5" s="483"/>
      <c r="CC5" s="111">
        <f>BW5+BX5+BY5</f>
        <v>2</v>
      </c>
      <c r="CD5" s="220" t="s">
        <v>88</v>
      </c>
      <c r="CE5" s="111" t="s">
        <v>88</v>
      </c>
      <c r="CF5" s="111" t="s">
        <v>88</v>
      </c>
      <c r="CG5" s="111" t="s">
        <v>88</v>
      </c>
      <c r="CH5" s="111" t="s">
        <v>88</v>
      </c>
    </row>
    <row r="6" spans="1:86" ht="21.5" customHeight="1">
      <c r="A6" s="988">
        <v>45945</v>
      </c>
      <c r="B6" s="977" t="s">
        <v>84</v>
      </c>
      <c r="C6" s="976">
        <v>45943</v>
      </c>
      <c r="D6" s="976">
        <v>45945</v>
      </c>
      <c r="E6" s="978">
        <v>2026</v>
      </c>
      <c r="F6" s="986" t="s">
        <v>134</v>
      </c>
      <c r="G6" s="977" t="s">
        <v>135</v>
      </c>
      <c r="H6" s="977" t="s">
        <v>87</v>
      </c>
      <c r="I6" s="987" t="s">
        <v>88</v>
      </c>
      <c r="J6" s="977" t="s">
        <v>89</v>
      </c>
      <c r="K6" s="969" t="s">
        <v>136</v>
      </c>
      <c r="L6" s="969" t="s">
        <v>91</v>
      </c>
      <c r="M6" s="969" t="s">
        <v>88</v>
      </c>
      <c r="N6" s="969" t="s">
        <v>137</v>
      </c>
      <c r="O6" s="969" t="s">
        <v>138</v>
      </c>
      <c r="P6" s="969" t="s">
        <v>139</v>
      </c>
      <c r="Q6" s="969" t="s">
        <v>140</v>
      </c>
      <c r="R6" s="969" t="s">
        <v>141</v>
      </c>
      <c r="S6" s="969" t="s">
        <v>97</v>
      </c>
      <c r="T6" s="974" t="s">
        <v>98</v>
      </c>
      <c r="U6" s="969" t="s">
        <v>97</v>
      </c>
      <c r="V6" s="973">
        <v>3</v>
      </c>
      <c r="W6" s="969" t="s">
        <v>142</v>
      </c>
      <c r="X6" s="969" t="s">
        <v>143</v>
      </c>
      <c r="Y6" s="970" t="s">
        <v>144</v>
      </c>
      <c r="Z6" s="969" t="s">
        <v>145</v>
      </c>
      <c r="AA6" s="969" t="s">
        <v>146</v>
      </c>
      <c r="AB6" s="970" t="s">
        <v>147</v>
      </c>
      <c r="AC6" s="969" t="s">
        <v>148</v>
      </c>
      <c r="AD6" s="969" t="s">
        <v>149</v>
      </c>
      <c r="AE6" s="970" t="s">
        <v>150</v>
      </c>
      <c r="AF6" s="969" t="s">
        <v>97</v>
      </c>
      <c r="AG6" s="965">
        <v>3</v>
      </c>
      <c r="AH6" s="964" t="s">
        <v>142</v>
      </c>
      <c r="AI6" s="964" t="s">
        <v>143</v>
      </c>
      <c r="AJ6" s="964" t="s">
        <v>144</v>
      </c>
      <c r="AK6" s="964" t="s">
        <v>145</v>
      </c>
      <c r="AL6" s="964" t="s">
        <v>146</v>
      </c>
      <c r="AM6" s="964" t="s">
        <v>147</v>
      </c>
      <c r="AN6" s="964" t="s">
        <v>148</v>
      </c>
      <c r="AO6" s="964" t="s">
        <v>149</v>
      </c>
      <c r="AP6" s="964" t="s">
        <v>150</v>
      </c>
      <c r="AQ6" s="964" t="s">
        <v>99</v>
      </c>
      <c r="AR6" s="964" t="s">
        <v>88</v>
      </c>
      <c r="AS6" s="1018" t="s">
        <v>151</v>
      </c>
      <c r="AT6" s="456" t="s">
        <v>142</v>
      </c>
      <c r="AU6" s="456" t="s">
        <v>143</v>
      </c>
      <c r="AV6" s="456" t="s">
        <v>144</v>
      </c>
      <c r="AW6" s="332" t="s">
        <v>88</v>
      </c>
      <c r="AX6" s="331" t="s">
        <v>88</v>
      </c>
      <c r="AY6" s="331" t="s">
        <v>89</v>
      </c>
      <c r="AZ6" s="331" t="s">
        <v>88</v>
      </c>
      <c r="BA6" s="331" t="s">
        <v>88</v>
      </c>
      <c r="BB6" s="333">
        <v>45943</v>
      </c>
      <c r="BC6" s="331" t="s">
        <v>88</v>
      </c>
      <c r="BD6" s="331" t="s">
        <v>88</v>
      </c>
      <c r="BE6" s="333">
        <v>45945</v>
      </c>
      <c r="BF6" s="331" t="s">
        <v>88</v>
      </c>
      <c r="BG6" s="331" t="s">
        <v>97</v>
      </c>
      <c r="BH6" s="331" t="s">
        <v>88</v>
      </c>
      <c r="BI6" s="132" t="s">
        <v>98</v>
      </c>
      <c r="BJ6" s="132" t="s">
        <v>98</v>
      </c>
      <c r="BK6" s="132" t="s">
        <v>98</v>
      </c>
      <c r="BL6" s="667" t="s">
        <v>98</v>
      </c>
      <c r="BM6" s="456" t="s">
        <v>88</v>
      </c>
      <c r="BN6" s="456" t="s">
        <v>88</v>
      </c>
      <c r="BO6" s="456" t="s">
        <v>88</v>
      </c>
      <c r="BP6" s="456" t="s">
        <v>88</v>
      </c>
      <c r="BQ6" s="456" t="s">
        <v>88</v>
      </c>
      <c r="BR6" s="456" t="s">
        <v>88</v>
      </c>
      <c r="BS6" s="456" t="s">
        <v>88</v>
      </c>
      <c r="BT6" s="456" t="s">
        <v>88</v>
      </c>
      <c r="BU6" s="456" t="s">
        <v>88</v>
      </c>
      <c r="BV6" s="456" t="s">
        <v>88</v>
      </c>
      <c r="BW6" s="741">
        <v>1</v>
      </c>
      <c r="BX6" s="132">
        <v>1</v>
      </c>
      <c r="BY6" s="111"/>
      <c r="BZ6" s="483">
        <v>45943</v>
      </c>
      <c r="CA6" s="483">
        <v>45945</v>
      </c>
      <c r="CB6" s="111"/>
      <c r="CC6" s="111" t="s">
        <v>88</v>
      </c>
      <c r="CD6" s="220" t="s">
        <v>88</v>
      </c>
      <c r="CE6" s="111" t="s">
        <v>88</v>
      </c>
      <c r="CF6" s="111" t="s">
        <v>88</v>
      </c>
      <c r="CG6" s="111" t="s">
        <v>88</v>
      </c>
      <c r="CH6" s="111" t="s">
        <v>88</v>
      </c>
    </row>
    <row r="7" spans="1:86" ht="21.5" hidden="1" customHeight="1">
      <c r="A7" s="989"/>
      <c r="B7" s="977"/>
      <c r="C7" s="977"/>
      <c r="D7" s="977"/>
      <c r="E7" s="978"/>
      <c r="F7" s="986"/>
      <c r="G7" s="977"/>
      <c r="H7" s="977"/>
      <c r="I7" s="987"/>
      <c r="J7" s="977"/>
      <c r="K7" s="969"/>
      <c r="L7" s="969"/>
      <c r="M7" s="969"/>
      <c r="N7" s="969"/>
      <c r="O7" s="969"/>
      <c r="P7" s="969"/>
      <c r="Q7" s="969"/>
      <c r="R7" s="969"/>
      <c r="S7" s="969" t="s">
        <v>88</v>
      </c>
      <c r="T7" s="974"/>
      <c r="U7" s="969" t="s">
        <v>88</v>
      </c>
      <c r="V7" s="973" t="s">
        <v>88</v>
      </c>
      <c r="W7" s="969" t="s">
        <v>88</v>
      </c>
      <c r="X7" s="969" t="s">
        <v>88</v>
      </c>
      <c r="Y7" s="970"/>
      <c r="Z7" s="969"/>
      <c r="AA7" s="969"/>
      <c r="AB7" s="970"/>
      <c r="AC7" s="969"/>
      <c r="AD7" s="969"/>
      <c r="AE7" s="970"/>
      <c r="AF7" s="969"/>
      <c r="AG7" s="965"/>
      <c r="AH7" s="964"/>
      <c r="AI7" s="964"/>
      <c r="AJ7" s="964" t="s">
        <v>88</v>
      </c>
      <c r="AK7" s="964" t="s">
        <v>88</v>
      </c>
      <c r="AL7" s="964" t="s">
        <v>88</v>
      </c>
      <c r="AM7" s="964" t="s">
        <v>88</v>
      </c>
      <c r="AN7" s="964" t="s">
        <v>88</v>
      </c>
      <c r="AO7" s="964" t="s">
        <v>88</v>
      </c>
      <c r="AP7" s="964" t="s">
        <v>88</v>
      </c>
      <c r="AQ7" s="964" t="s">
        <v>88</v>
      </c>
      <c r="AR7" s="964" t="s">
        <v>88</v>
      </c>
      <c r="AS7" s="1018"/>
      <c r="AT7" s="331" t="s">
        <v>145</v>
      </c>
      <c r="AU7" s="331" t="s">
        <v>146</v>
      </c>
      <c r="AV7" s="331" t="s">
        <v>147</v>
      </c>
      <c r="AW7" s="334" t="s">
        <v>152</v>
      </c>
      <c r="AX7" s="334" t="s">
        <v>153</v>
      </c>
      <c r="AY7" s="331" t="s">
        <v>97</v>
      </c>
      <c r="AZ7" s="334" t="s">
        <v>154</v>
      </c>
      <c r="BA7" s="334" t="s">
        <v>155</v>
      </c>
      <c r="BB7" s="333">
        <v>45943</v>
      </c>
      <c r="BC7" s="334" t="s">
        <v>156</v>
      </c>
      <c r="BD7" s="334" t="s">
        <v>155</v>
      </c>
      <c r="BE7" s="333">
        <v>45945</v>
      </c>
      <c r="BF7" s="334" t="s">
        <v>157</v>
      </c>
      <c r="BG7" s="331" t="s">
        <v>97</v>
      </c>
      <c r="BH7" s="334" t="s">
        <v>158</v>
      </c>
      <c r="BI7" s="132" t="s">
        <v>98</v>
      </c>
      <c r="BJ7" s="132" t="s">
        <v>98</v>
      </c>
      <c r="BK7" s="132" t="s">
        <v>98</v>
      </c>
      <c r="BL7" s="667" t="s">
        <v>98</v>
      </c>
      <c r="BM7" s="113" t="s">
        <v>155</v>
      </c>
      <c r="BN7" s="660" t="s">
        <v>159</v>
      </c>
      <c r="BO7" s="658">
        <v>45943</v>
      </c>
      <c r="BP7" s="659">
        <v>0.36944444444444446</v>
      </c>
      <c r="BQ7" s="111" t="s">
        <v>88</v>
      </c>
      <c r="BR7" s="113" t="s">
        <v>155</v>
      </c>
      <c r="BS7" s="658">
        <v>45945</v>
      </c>
      <c r="BT7" s="659">
        <v>0.68194444444444446</v>
      </c>
      <c r="BU7" s="111" t="s">
        <v>88</v>
      </c>
      <c r="BV7" s="661">
        <v>392.59</v>
      </c>
      <c r="BW7" s="741">
        <v>1</v>
      </c>
      <c r="BX7" s="132">
        <v>1</v>
      </c>
      <c r="BY7" s="662"/>
      <c r="BZ7" s="483">
        <v>45943</v>
      </c>
      <c r="CA7" s="483">
        <v>45945</v>
      </c>
      <c r="CB7" s="483"/>
      <c r="CC7" s="111">
        <f>BW7+BX7+BY7</f>
        <v>2</v>
      </c>
      <c r="CD7" s="220" t="s">
        <v>88</v>
      </c>
      <c r="CE7" s="111" t="s">
        <v>88</v>
      </c>
      <c r="CF7" s="111" t="s">
        <v>88</v>
      </c>
      <c r="CG7" s="111" t="s">
        <v>88</v>
      </c>
      <c r="CH7" s="111" t="s">
        <v>88</v>
      </c>
    </row>
    <row r="8" spans="1:86" ht="30" hidden="1" customHeight="1">
      <c r="A8" s="989"/>
      <c r="B8" s="977"/>
      <c r="C8" s="977"/>
      <c r="D8" s="977"/>
      <c r="E8" s="978"/>
      <c r="F8" s="986"/>
      <c r="G8" s="977"/>
      <c r="H8" s="977"/>
      <c r="I8" s="987"/>
      <c r="J8" s="977"/>
      <c r="K8" s="969"/>
      <c r="L8" s="969"/>
      <c r="M8" s="969"/>
      <c r="N8" s="969"/>
      <c r="O8" s="969"/>
      <c r="P8" s="969"/>
      <c r="Q8" s="969"/>
      <c r="R8" s="969"/>
      <c r="S8" s="969" t="s">
        <v>88</v>
      </c>
      <c r="T8" s="974"/>
      <c r="U8" s="969" t="s">
        <v>88</v>
      </c>
      <c r="V8" s="973" t="s">
        <v>88</v>
      </c>
      <c r="W8" s="969" t="s">
        <v>88</v>
      </c>
      <c r="X8" s="969" t="s">
        <v>88</v>
      </c>
      <c r="Y8" s="970"/>
      <c r="Z8" s="969"/>
      <c r="AA8" s="969"/>
      <c r="AB8" s="970"/>
      <c r="AC8" s="969"/>
      <c r="AD8" s="969"/>
      <c r="AE8" s="970"/>
      <c r="AF8" s="969"/>
      <c r="AG8" s="965"/>
      <c r="AH8" s="964"/>
      <c r="AI8" s="964"/>
      <c r="AJ8" s="964" t="s">
        <v>88</v>
      </c>
      <c r="AK8" s="964" t="s">
        <v>88</v>
      </c>
      <c r="AL8" s="964" t="s">
        <v>88</v>
      </c>
      <c r="AM8" s="964" t="s">
        <v>88</v>
      </c>
      <c r="AN8" s="964" t="s">
        <v>88</v>
      </c>
      <c r="AO8" s="964" t="s">
        <v>88</v>
      </c>
      <c r="AP8" s="964" t="s">
        <v>88</v>
      </c>
      <c r="AQ8" s="964" t="s">
        <v>88</v>
      </c>
      <c r="AR8" s="964" t="s">
        <v>88</v>
      </c>
      <c r="AS8" s="1018"/>
      <c r="AT8" s="331" t="s">
        <v>148</v>
      </c>
      <c r="AU8" s="331" t="s">
        <v>149</v>
      </c>
      <c r="AV8" s="331" t="s">
        <v>150</v>
      </c>
      <c r="AW8" s="335">
        <v>355689022333</v>
      </c>
      <c r="AX8" s="331" t="s">
        <v>160</v>
      </c>
      <c r="AY8" s="331" t="s">
        <v>97</v>
      </c>
      <c r="AZ8" s="331" t="s">
        <v>121</v>
      </c>
      <c r="BA8" s="331" t="s">
        <v>161</v>
      </c>
      <c r="BB8" s="333">
        <v>45943</v>
      </c>
      <c r="BC8" s="331" t="s">
        <v>162</v>
      </c>
      <c r="BD8" s="331" t="s">
        <v>161</v>
      </c>
      <c r="BE8" s="333">
        <v>45945</v>
      </c>
      <c r="BF8" s="331" t="s">
        <v>162</v>
      </c>
      <c r="BG8" s="331" t="s">
        <v>97</v>
      </c>
      <c r="BH8" s="331"/>
      <c r="BI8" s="132" t="s">
        <v>98</v>
      </c>
      <c r="BJ8" s="132" t="s">
        <v>98</v>
      </c>
      <c r="BK8" s="132" t="s">
        <v>98</v>
      </c>
      <c r="BL8" s="667" t="s">
        <v>98</v>
      </c>
      <c r="BM8" s="111" t="s">
        <v>161</v>
      </c>
      <c r="BN8" s="29" t="s">
        <v>126</v>
      </c>
      <c r="BO8" s="658">
        <v>45943</v>
      </c>
      <c r="BP8" s="659">
        <v>0.39583333333333331</v>
      </c>
      <c r="BQ8" s="660" t="s">
        <v>163</v>
      </c>
      <c r="BR8" s="111" t="s">
        <v>161</v>
      </c>
      <c r="BS8" s="658">
        <v>45945</v>
      </c>
      <c r="BT8" s="659">
        <v>0.72916666666666663</v>
      </c>
      <c r="BU8" s="660" t="s">
        <v>164</v>
      </c>
      <c r="BV8" s="661">
        <v>487.82</v>
      </c>
      <c r="BW8" s="741">
        <v>1</v>
      </c>
      <c r="BX8" s="132">
        <v>1</v>
      </c>
      <c r="BY8" s="111"/>
      <c r="BZ8" s="483">
        <v>45943</v>
      </c>
      <c r="CA8" s="483">
        <v>45945</v>
      </c>
      <c r="CB8" s="483"/>
      <c r="CC8" s="111">
        <f>BW8+BX8+BY8</f>
        <v>2</v>
      </c>
      <c r="CD8" s="220" t="s">
        <v>88</v>
      </c>
      <c r="CE8" s="111" t="s">
        <v>88</v>
      </c>
      <c r="CF8" s="111" t="s">
        <v>88</v>
      </c>
      <c r="CG8" s="111" t="s">
        <v>88</v>
      </c>
      <c r="CH8" s="111" t="s">
        <v>88</v>
      </c>
    </row>
    <row r="9" spans="1:86" ht="60.5" hidden="1" customHeight="1">
      <c r="A9" s="377">
        <v>45944</v>
      </c>
      <c r="B9" s="237" t="s">
        <v>165</v>
      </c>
      <c r="C9" s="238">
        <v>45943</v>
      </c>
      <c r="D9" s="238">
        <v>45945</v>
      </c>
      <c r="E9" s="239">
        <v>2027</v>
      </c>
      <c r="F9" s="240" t="s">
        <v>166</v>
      </c>
      <c r="G9" s="237" t="s">
        <v>167</v>
      </c>
      <c r="H9" s="237" t="s">
        <v>102</v>
      </c>
      <c r="I9" s="241">
        <v>20272512</v>
      </c>
      <c r="J9" s="237" t="s">
        <v>97</v>
      </c>
      <c r="K9" s="237" t="s">
        <v>168</v>
      </c>
      <c r="L9" s="237" t="s">
        <v>169</v>
      </c>
      <c r="M9" s="237" t="s">
        <v>88</v>
      </c>
      <c r="N9" s="237" t="s">
        <v>170</v>
      </c>
      <c r="O9" s="237" t="s">
        <v>171</v>
      </c>
      <c r="P9" s="237" t="s">
        <v>172</v>
      </c>
      <c r="Q9" s="237" t="s">
        <v>173</v>
      </c>
      <c r="R9" s="237" t="s">
        <v>174</v>
      </c>
      <c r="S9" s="111" t="s">
        <v>175</v>
      </c>
      <c r="T9" s="132" t="s">
        <v>98</v>
      </c>
      <c r="U9" s="111" t="s">
        <v>97</v>
      </c>
      <c r="V9" s="243">
        <v>1</v>
      </c>
      <c r="W9" s="111" t="s">
        <v>176</v>
      </c>
      <c r="X9" s="111" t="s">
        <v>177</v>
      </c>
      <c r="Y9" s="284" t="s">
        <v>178</v>
      </c>
      <c r="Z9" s="111" t="s">
        <v>88</v>
      </c>
      <c r="AA9" s="111" t="s">
        <v>88</v>
      </c>
      <c r="AB9" s="111" t="s">
        <v>88</v>
      </c>
      <c r="AC9" s="111" t="s">
        <v>88</v>
      </c>
      <c r="AD9" s="111" t="s">
        <v>88</v>
      </c>
      <c r="AE9" s="111" t="s">
        <v>88</v>
      </c>
      <c r="AF9" s="111" t="s">
        <v>88</v>
      </c>
      <c r="AG9" s="244">
        <v>1</v>
      </c>
      <c r="AH9" s="111" t="s">
        <v>176</v>
      </c>
      <c r="AI9" s="111" t="s">
        <v>177</v>
      </c>
      <c r="AJ9" s="284" t="s">
        <v>178</v>
      </c>
      <c r="AK9" s="111" t="s">
        <v>88</v>
      </c>
      <c r="AL9" s="111" t="s">
        <v>88</v>
      </c>
      <c r="AM9" s="111" t="s">
        <v>88</v>
      </c>
      <c r="AN9" s="111" t="s">
        <v>88</v>
      </c>
      <c r="AO9" s="111" t="s">
        <v>88</v>
      </c>
      <c r="AP9" s="111" t="s">
        <v>88</v>
      </c>
      <c r="AQ9" s="111" t="s">
        <v>88</v>
      </c>
      <c r="AR9" s="111" t="s">
        <v>88</v>
      </c>
      <c r="AS9" s="111" t="s">
        <v>88</v>
      </c>
      <c r="AT9" s="331" t="s">
        <v>176</v>
      </c>
      <c r="AU9" s="331" t="s">
        <v>179</v>
      </c>
      <c r="AV9" s="343" t="s">
        <v>178</v>
      </c>
      <c r="AW9" s="332" t="s">
        <v>180</v>
      </c>
      <c r="AX9" s="332" t="s">
        <v>181</v>
      </c>
      <c r="AY9" s="331" t="s">
        <v>97</v>
      </c>
      <c r="AZ9" s="349" t="s">
        <v>121</v>
      </c>
      <c r="BA9" s="349" t="s">
        <v>182</v>
      </c>
      <c r="BB9" s="333">
        <v>45943</v>
      </c>
      <c r="BC9" s="349" t="s">
        <v>183</v>
      </c>
      <c r="BD9" s="349" t="s">
        <v>182</v>
      </c>
      <c r="BE9" s="333">
        <v>45945</v>
      </c>
      <c r="BF9" s="349"/>
      <c r="BG9" s="331" t="s">
        <v>97</v>
      </c>
      <c r="BH9" s="331" t="s">
        <v>88</v>
      </c>
      <c r="BI9" s="132" t="s">
        <v>98</v>
      </c>
      <c r="BJ9" s="132" t="s">
        <v>98</v>
      </c>
      <c r="BK9" s="132" t="s">
        <v>98</v>
      </c>
      <c r="BL9" s="667" t="s">
        <v>98</v>
      </c>
      <c r="BM9" s="113" t="s">
        <v>182</v>
      </c>
      <c r="BN9" s="29" t="s">
        <v>126</v>
      </c>
      <c r="BO9" s="663">
        <v>45943</v>
      </c>
      <c r="BP9" s="664">
        <v>0.70486111111111116</v>
      </c>
      <c r="BQ9" s="665" t="s">
        <v>184</v>
      </c>
      <c r="BR9" s="113" t="s">
        <v>182</v>
      </c>
      <c r="BS9" s="663">
        <v>45945</v>
      </c>
      <c r="BT9" s="664">
        <v>0.40625</v>
      </c>
      <c r="BU9" s="665" t="s">
        <v>185</v>
      </c>
      <c r="BV9" s="666">
        <v>251.82</v>
      </c>
      <c r="BW9" s="741">
        <v>1</v>
      </c>
      <c r="BX9" s="132">
        <v>1</v>
      </c>
      <c r="BY9" s="111"/>
      <c r="BZ9" s="483">
        <v>45943</v>
      </c>
      <c r="CA9" s="483">
        <v>45945</v>
      </c>
      <c r="CB9" s="483"/>
      <c r="CC9" s="111">
        <f>BW9+BX9+BY9</f>
        <v>2</v>
      </c>
      <c r="CD9" s="220" t="s">
        <v>88</v>
      </c>
      <c r="CE9" s="111" t="s">
        <v>88</v>
      </c>
      <c r="CF9" s="111" t="s">
        <v>88</v>
      </c>
      <c r="CG9" s="111" t="s">
        <v>88</v>
      </c>
      <c r="CH9" s="111" t="s">
        <v>88</v>
      </c>
    </row>
    <row r="10" spans="1:86" ht="34" customHeight="1">
      <c r="A10" s="988">
        <v>45945</v>
      </c>
      <c r="B10" s="977" t="s">
        <v>186</v>
      </c>
      <c r="C10" s="976">
        <v>45943</v>
      </c>
      <c r="D10" s="976">
        <v>45945</v>
      </c>
      <c r="E10" s="978">
        <v>2046</v>
      </c>
      <c r="F10" s="971" t="s">
        <v>187</v>
      </c>
      <c r="G10" s="977" t="s">
        <v>167</v>
      </c>
      <c r="H10" s="969" t="s">
        <v>102</v>
      </c>
      <c r="I10" s="984" t="s">
        <v>88</v>
      </c>
      <c r="J10" s="969" t="s">
        <v>89</v>
      </c>
      <c r="K10" s="969" t="s">
        <v>188</v>
      </c>
      <c r="L10" s="969" t="s">
        <v>189</v>
      </c>
      <c r="M10" s="969" t="s">
        <v>88</v>
      </c>
      <c r="N10" s="969" t="s">
        <v>190</v>
      </c>
      <c r="O10" s="969" t="s">
        <v>191</v>
      </c>
      <c r="P10" s="969" t="s">
        <v>192</v>
      </c>
      <c r="Q10" s="969" t="s">
        <v>193</v>
      </c>
      <c r="R10" s="969" t="s">
        <v>194</v>
      </c>
      <c r="S10" s="969" t="s">
        <v>110</v>
      </c>
      <c r="T10" s="974" t="s">
        <v>98</v>
      </c>
      <c r="U10" s="969" t="s">
        <v>97</v>
      </c>
      <c r="V10" s="973">
        <v>2</v>
      </c>
      <c r="W10" s="969" t="s">
        <v>195</v>
      </c>
      <c r="X10" s="969" t="s">
        <v>196</v>
      </c>
      <c r="Y10" s="1006" t="s">
        <v>197</v>
      </c>
      <c r="Z10" s="964" t="s">
        <v>198</v>
      </c>
      <c r="AA10" s="963" t="s">
        <v>199</v>
      </c>
      <c r="AB10" s="1006" t="s">
        <v>200</v>
      </c>
      <c r="AC10" s="964" t="s">
        <v>88</v>
      </c>
      <c r="AD10" s="964" t="s">
        <v>88</v>
      </c>
      <c r="AE10" s="964" t="s">
        <v>97</v>
      </c>
      <c r="AF10" s="964"/>
      <c r="AG10" s="965">
        <v>2</v>
      </c>
      <c r="AH10" s="964" t="s">
        <v>195</v>
      </c>
      <c r="AI10" s="964" t="s">
        <v>196</v>
      </c>
      <c r="AJ10" s="964" t="s">
        <v>197</v>
      </c>
      <c r="AK10" s="964" t="s">
        <v>198</v>
      </c>
      <c r="AL10" s="963" t="s">
        <v>199</v>
      </c>
      <c r="AM10" s="963" t="s">
        <v>200</v>
      </c>
      <c r="AN10" s="964" t="s">
        <v>88</v>
      </c>
      <c r="AO10" s="964" t="s">
        <v>88</v>
      </c>
      <c r="AP10" s="964" t="s">
        <v>88</v>
      </c>
      <c r="AQ10" s="1016" t="s">
        <v>201</v>
      </c>
      <c r="AR10" s="964" t="s">
        <v>88</v>
      </c>
      <c r="AS10" s="964" t="s">
        <v>202</v>
      </c>
      <c r="AT10" s="331" t="s">
        <v>195</v>
      </c>
      <c r="AU10" s="331" t="s">
        <v>196</v>
      </c>
      <c r="AV10" s="331" t="s">
        <v>197</v>
      </c>
      <c r="AW10" s="336">
        <v>351919291238</v>
      </c>
      <c r="AX10" s="337" t="s">
        <v>203</v>
      </c>
      <c r="AY10" s="331" t="s">
        <v>97</v>
      </c>
      <c r="AZ10" s="337" t="s">
        <v>121</v>
      </c>
      <c r="BA10" s="337" t="s">
        <v>204</v>
      </c>
      <c r="BB10" s="333">
        <v>45943</v>
      </c>
      <c r="BC10" s="338">
        <v>0.375</v>
      </c>
      <c r="BD10" s="337" t="s">
        <v>204</v>
      </c>
      <c r="BE10" s="333">
        <v>45945</v>
      </c>
      <c r="BF10" s="339">
        <v>0.70833333333333337</v>
      </c>
      <c r="BG10" s="331" t="s">
        <v>97</v>
      </c>
      <c r="BH10" s="337" t="s">
        <v>205</v>
      </c>
      <c r="BI10" s="132" t="s">
        <v>98</v>
      </c>
      <c r="BJ10" s="111"/>
      <c r="BK10" s="111" t="s">
        <v>88</v>
      </c>
      <c r="BL10" s="219" t="s">
        <v>88</v>
      </c>
      <c r="BM10" s="111" t="s">
        <v>88</v>
      </c>
      <c r="BN10" s="111" t="s">
        <v>88</v>
      </c>
      <c r="BO10" s="111" t="s">
        <v>88</v>
      </c>
      <c r="BP10" s="111" t="s">
        <v>88</v>
      </c>
      <c r="BQ10" s="111" t="s">
        <v>88</v>
      </c>
      <c r="BR10" s="111" t="s">
        <v>88</v>
      </c>
      <c r="BS10" s="111" t="s">
        <v>88</v>
      </c>
      <c r="BT10" s="111" t="s">
        <v>88</v>
      </c>
      <c r="BU10" s="111" t="s">
        <v>88</v>
      </c>
      <c r="BV10" s="111" t="s">
        <v>88</v>
      </c>
      <c r="BW10" s="772"/>
      <c r="BX10" s="737"/>
      <c r="BY10" s="111"/>
      <c r="BZ10" s="111" t="s">
        <v>88</v>
      </c>
      <c r="CA10" s="111" t="s">
        <v>88</v>
      </c>
      <c r="CB10" s="111"/>
      <c r="CC10" s="111">
        <f>BW10+BX10+BY10</f>
        <v>0</v>
      </c>
      <c r="CD10" s="220" t="s">
        <v>88</v>
      </c>
      <c r="CE10" s="111" t="s">
        <v>88</v>
      </c>
      <c r="CF10" s="111" t="s">
        <v>88</v>
      </c>
      <c r="CG10" s="111" t="s">
        <v>88</v>
      </c>
      <c r="CH10" s="111" t="s">
        <v>88</v>
      </c>
    </row>
    <row r="11" spans="1:86" s="673" customFormat="1" ht="37" hidden="1" customHeight="1">
      <c r="A11" s="989"/>
      <c r="B11" s="977"/>
      <c r="C11" s="977"/>
      <c r="D11" s="977"/>
      <c r="E11" s="978"/>
      <c r="F11" s="971"/>
      <c r="G11" s="977"/>
      <c r="H11" s="969"/>
      <c r="I11" s="984"/>
      <c r="J11" s="969"/>
      <c r="K11" s="969"/>
      <c r="L11" s="969"/>
      <c r="M11" s="969"/>
      <c r="N11" s="969" t="s">
        <v>88</v>
      </c>
      <c r="O11" s="969" t="s">
        <v>88</v>
      </c>
      <c r="P11" s="969" t="s">
        <v>88</v>
      </c>
      <c r="Q11" s="969" t="s">
        <v>88</v>
      </c>
      <c r="R11" s="969" t="s">
        <v>88</v>
      </c>
      <c r="S11" s="969" t="s">
        <v>88</v>
      </c>
      <c r="T11" s="974"/>
      <c r="U11" s="969" t="s">
        <v>88</v>
      </c>
      <c r="V11" s="973" t="s">
        <v>88</v>
      </c>
      <c r="W11" s="969" t="s">
        <v>88</v>
      </c>
      <c r="X11" s="969" t="s">
        <v>88</v>
      </c>
      <c r="Y11" s="1006"/>
      <c r="Z11" s="964"/>
      <c r="AA11" s="963"/>
      <c r="AB11" s="1006"/>
      <c r="AC11" s="964"/>
      <c r="AD11" s="964"/>
      <c r="AE11" s="964"/>
      <c r="AF11" s="964"/>
      <c r="AG11" s="965"/>
      <c r="AH11" s="964"/>
      <c r="AI11" s="964"/>
      <c r="AJ11" s="964"/>
      <c r="AK11" s="964"/>
      <c r="AL11" s="963"/>
      <c r="AM11" s="963"/>
      <c r="AN11" s="964" t="s">
        <v>88</v>
      </c>
      <c r="AO11" s="964" t="s">
        <v>88</v>
      </c>
      <c r="AP11" s="964"/>
      <c r="AQ11" s="1016"/>
      <c r="AR11" s="964" t="s">
        <v>88</v>
      </c>
      <c r="AS11" s="964" t="s">
        <v>88</v>
      </c>
      <c r="AT11" s="449" t="s">
        <v>198</v>
      </c>
      <c r="AU11" s="449" t="s">
        <v>199</v>
      </c>
      <c r="AV11" s="449" t="s">
        <v>200</v>
      </c>
      <c r="AW11" s="450" t="s">
        <v>88</v>
      </c>
      <c r="AX11" s="449" t="s">
        <v>88</v>
      </c>
      <c r="AY11" s="449" t="s">
        <v>89</v>
      </c>
      <c r="AZ11" s="449" t="s">
        <v>88</v>
      </c>
      <c r="BA11" s="449" t="s">
        <v>88</v>
      </c>
      <c r="BB11" s="449" t="s">
        <v>88</v>
      </c>
      <c r="BC11" s="449" t="s">
        <v>88</v>
      </c>
      <c r="BD11" s="449" t="s">
        <v>88</v>
      </c>
      <c r="BE11" s="449" t="s">
        <v>88</v>
      </c>
      <c r="BF11" s="449" t="s">
        <v>88</v>
      </c>
      <c r="BG11" s="449" t="s">
        <v>89</v>
      </c>
      <c r="BH11" s="449" t="s">
        <v>88</v>
      </c>
      <c r="BI11" s="449" t="s">
        <v>88</v>
      </c>
      <c r="BJ11" s="449" t="s">
        <v>88</v>
      </c>
      <c r="BK11" s="449" t="s">
        <v>88</v>
      </c>
      <c r="BL11" s="671" t="s">
        <v>88</v>
      </c>
      <c r="BM11" s="449" t="s">
        <v>88</v>
      </c>
      <c r="BN11" s="449" t="s">
        <v>88</v>
      </c>
      <c r="BO11" s="449" t="s">
        <v>88</v>
      </c>
      <c r="BP11" s="449" t="s">
        <v>88</v>
      </c>
      <c r="BQ11" s="449" t="s">
        <v>88</v>
      </c>
      <c r="BR11" s="449" t="s">
        <v>88</v>
      </c>
      <c r="BS11" s="449" t="s">
        <v>88</v>
      </c>
      <c r="BT11" s="449" t="s">
        <v>88</v>
      </c>
      <c r="BU11" s="449" t="s">
        <v>88</v>
      </c>
      <c r="BV11" s="449" t="s">
        <v>88</v>
      </c>
      <c r="BW11" s="743">
        <v>0</v>
      </c>
      <c r="BX11" s="688">
        <v>0</v>
      </c>
      <c r="BY11" s="449"/>
      <c r="BZ11" s="449" t="s">
        <v>88</v>
      </c>
      <c r="CA11" s="449" t="s">
        <v>88</v>
      </c>
      <c r="CB11" s="449"/>
      <c r="CC11" s="449" t="s">
        <v>88</v>
      </c>
      <c r="CD11" s="672" t="s">
        <v>88</v>
      </c>
      <c r="CE11" s="449" t="s">
        <v>88</v>
      </c>
      <c r="CF11" s="449" t="s">
        <v>88</v>
      </c>
      <c r="CG11" s="449" t="s">
        <v>88</v>
      </c>
      <c r="CH11" s="449" t="s">
        <v>88</v>
      </c>
    </row>
    <row r="12" spans="1:86" ht="75" customHeight="1">
      <c r="A12" s="997">
        <v>45945</v>
      </c>
      <c r="B12" s="977" t="s">
        <v>206</v>
      </c>
      <c r="C12" s="976">
        <v>45945</v>
      </c>
      <c r="D12" s="976">
        <v>45946</v>
      </c>
      <c r="E12" s="978">
        <v>2110</v>
      </c>
      <c r="F12" s="971" t="s">
        <v>207</v>
      </c>
      <c r="G12" s="969" t="s">
        <v>86</v>
      </c>
      <c r="H12" s="969" t="s">
        <v>87</v>
      </c>
      <c r="I12" s="984">
        <v>21102359</v>
      </c>
      <c r="J12" s="969" t="s">
        <v>97</v>
      </c>
      <c r="K12" s="969" t="s">
        <v>208</v>
      </c>
      <c r="L12" s="969" t="s">
        <v>169</v>
      </c>
      <c r="M12" s="969" t="s">
        <v>88</v>
      </c>
      <c r="N12" s="969" t="s">
        <v>209</v>
      </c>
      <c r="O12" s="969" t="s">
        <v>210</v>
      </c>
      <c r="P12" s="969" t="s">
        <v>211</v>
      </c>
      <c r="Q12" s="969" t="s">
        <v>140</v>
      </c>
      <c r="R12" s="969" t="s">
        <v>88</v>
      </c>
      <c r="S12" s="969" t="s">
        <v>110</v>
      </c>
      <c r="T12" s="974" t="s">
        <v>98</v>
      </c>
      <c r="U12" s="969" t="s">
        <v>97</v>
      </c>
      <c r="V12" s="973">
        <v>3</v>
      </c>
      <c r="W12" s="969" t="s">
        <v>212</v>
      </c>
      <c r="X12" s="969" t="s">
        <v>213</v>
      </c>
      <c r="Y12" s="1010" t="s">
        <v>214</v>
      </c>
      <c r="Z12" s="969" t="s">
        <v>215</v>
      </c>
      <c r="AA12" s="969" t="s">
        <v>216</v>
      </c>
      <c r="AB12" s="1010" t="s">
        <v>217</v>
      </c>
      <c r="AC12" s="969" t="s">
        <v>218</v>
      </c>
      <c r="AD12" s="969" t="s">
        <v>219</v>
      </c>
      <c r="AE12" s="1010" t="s">
        <v>220</v>
      </c>
      <c r="AF12" s="969" t="s">
        <v>97</v>
      </c>
      <c r="AG12" s="973">
        <v>3</v>
      </c>
      <c r="AH12" s="969" t="s">
        <v>212</v>
      </c>
      <c r="AI12" s="969" t="s">
        <v>213</v>
      </c>
      <c r="AJ12" s="1014" t="s">
        <v>214</v>
      </c>
      <c r="AK12" s="969" t="s">
        <v>215</v>
      </c>
      <c r="AL12" s="969" t="s">
        <v>216</v>
      </c>
      <c r="AM12" s="1014" t="s">
        <v>217</v>
      </c>
      <c r="AN12" s="969" t="s">
        <v>218</v>
      </c>
      <c r="AO12" s="969" t="s">
        <v>219</v>
      </c>
      <c r="AP12" s="1014" t="s">
        <v>220</v>
      </c>
      <c r="AQ12" s="969" t="s">
        <v>221</v>
      </c>
      <c r="AR12" s="969" t="s">
        <v>88</v>
      </c>
      <c r="AS12" s="969" t="s">
        <v>88</v>
      </c>
      <c r="AT12" s="331" t="s">
        <v>212</v>
      </c>
      <c r="AU12" s="331" t="s">
        <v>213</v>
      </c>
      <c r="AV12" s="331" t="s">
        <v>214</v>
      </c>
      <c r="AW12" s="340" t="s">
        <v>222</v>
      </c>
      <c r="AX12" s="340" t="s">
        <v>223</v>
      </c>
      <c r="AY12" s="331" t="s">
        <v>97</v>
      </c>
      <c r="AZ12" s="340" t="s">
        <v>154</v>
      </c>
      <c r="BA12" s="340" t="s">
        <v>224</v>
      </c>
      <c r="BB12" s="333">
        <v>45945</v>
      </c>
      <c r="BC12" s="340" t="s">
        <v>225</v>
      </c>
      <c r="BD12" s="340" t="s">
        <v>224</v>
      </c>
      <c r="BE12" s="333">
        <v>45946</v>
      </c>
      <c r="BF12" s="340"/>
      <c r="BG12" s="331" t="s">
        <v>97</v>
      </c>
      <c r="BH12" s="340" t="s">
        <v>226</v>
      </c>
      <c r="BI12" s="445" t="s">
        <v>88</v>
      </c>
      <c r="BJ12" s="445" t="s">
        <v>88</v>
      </c>
      <c r="BK12" s="445" t="s">
        <v>88</v>
      </c>
      <c r="BL12" s="668" t="s">
        <v>88</v>
      </c>
      <c r="BM12" s="445" t="s">
        <v>88</v>
      </c>
      <c r="BN12" s="445" t="s">
        <v>88</v>
      </c>
      <c r="BO12" s="445" t="s">
        <v>88</v>
      </c>
      <c r="BP12" s="445" t="s">
        <v>88</v>
      </c>
      <c r="BQ12" s="445" t="s">
        <v>88</v>
      </c>
      <c r="BR12" s="445" t="s">
        <v>88</v>
      </c>
      <c r="BS12" s="445" t="s">
        <v>88</v>
      </c>
      <c r="BT12" s="445" t="s">
        <v>88</v>
      </c>
      <c r="BU12" s="445" t="s">
        <v>88</v>
      </c>
      <c r="BV12" s="445" t="s">
        <v>88</v>
      </c>
      <c r="BW12" s="741">
        <v>1</v>
      </c>
      <c r="BX12" s="445"/>
      <c r="BY12" s="111"/>
      <c r="BZ12" s="445" t="s">
        <v>88</v>
      </c>
      <c r="CA12" s="445" t="s">
        <v>88</v>
      </c>
      <c r="CB12" s="445"/>
      <c r="CC12" s="445" t="s">
        <v>88</v>
      </c>
      <c r="CD12" s="669" t="s">
        <v>88</v>
      </c>
      <c r="CE12" s="445" t="s">
        <v>88</v>
      </c>
      <c r="CF12" s="675" t="s">
        <v>227</v>
      </c>
      <c r="CG12" s="676" t="s">
        <v>228</v>
      </c>
      <c r="CH12" s="111" t="s">
        <v>88</v>
      </c>
    </row>
    <row r="13" spans="1:86" ht="44.25" hidden="1" customHeight="1">
      <c r="A13" s="998"/>
      <c r="B13" s="977"/>
      <c r="C13" s="977"/>
      <c r="D13" s="977"/>
      <c r="E13" s="978"/>
      <c r="F13" s="971"/>
      <c r="G13" s="969"/>
      <c r="H13" s="969"/>
      <c r="I13" s="984"/>
      <c r="J13" s="969"/>
      <c r="K13" s="969"/>
      <c r="L13" s="969"/>
      <c r="M13" s="969" t="s">
        <v>88</v>
      </c>
      <c r="N13" s="969" t="s">
        <v>88</v>
      </c>
      <c r="O13" s="969" t="s">
        <v>88</v>
      </c>
      <c r="P13" s="969" t="s">
        <v>88</v>
      </c>
      <c r="Q13" s="969" t="s">
        <v>88</v>
      </c>
      <c r="R13" s="969" t="s">
        <v>88</v>
      </c>
      <c r="S13" s="969" t="s">
        <v>88</v>
      </c>
      <c r="T13" s="974"/>
      <c r="U13" s="969" t="s">
        <v>88</v>
      </c>
      <c r="V13" s="973" t="s">
        <v>88</v>
      </c>
      <c r="W13" s="969" t="s">
        <v>88</v>
      </c>
      <c r="X13" s="969" t="s">
        <v>88</v>
      </c>
      <c r="Y13" s="1019" t="s">
        <v>88</v>
      </c>
      <c r="Z13" s="969" t="s">
        <v>88</v>
      </c>
      <c r="AA13" s="969"/>
      <c r="AB13" s="1019" t="s">
        <v>88</v>
      </c>
      <c r="AC13" s="969" t="s">
        <v>88</v>
      </c>
      <c r="AD13" s="969" t="s">
        <v>88</v>
      </c>
      <c r="AE13" s="1019" t="s">
        <v>88</v>
      </c>
      <c r="AF13" s="969" t="s">
        <v>88</v>
      </c>
      <c r="AG13" s="973" t="s">
        <v>88</v>
      </c>
      <c r="AH13" s="969" t="s">
        <v>88</v>
      </c>
      <c r="AI13" s="969" t="s">
        <v>88</v>
      </c>
      <c r="AJ13" s="969" t="s">
        <v>88</v>
      </c>
      <c r="AK13" s="969" t="s">
        <v>88</v>
      </c>
      <c r="AL13" s="969"/>
      <c r="AM13" s="969" t="s">
        <v>88</v>
      </c>
      <c r="AN13" s="969" t="s">
        <v>88</v>
      </c>
      <c r="AO13" s="969" t="s">
        <v>88</v>
      </c>
      <c r="AP13" s="969" t="s">
        <v>88</v>
      </c>
      <c r="AQ13" s="969" t="s">
        <v>88</v>
      </c>
      <c r="AR13" s="969" t="s">
        <v>88</v>
      </c>
      <c r="AS13" s="969" t="s">
        <v>88</v>
      </c>
      <c r="AT13" s="331" t="s">
        <v>218</v>
      </c>
      <c r="AU13" s="331" t="s">
        <v>219</v>
      </c>
      <c r="AV13" s="343" t="s">
        <v>220</v>
      </c>
      <c r="AW13" s="332">
        <v>358405899485</v>
      </c>
      <c r="AX13" s="331" t="s">
        <v>229</v>
      </c>
      <c r="AY13" s="331" t="s">
        <v>97</v>
      </c>
      <c r="AZ13" s="434" t="s">
        <v>121</v>
      </c>
      <c r="BA13" s="434" t="s">
        <v>230</v>
      </c>
      <c r="BB13" s="333">
        <v>45943</v>
      </c>
      <c r="BC13" s="434" t="s">
        <v>231</v>
      </c>
      <c r="BD13" s="434" t="s">
        <v>230</v>
      </c>
      <c r="BE13" s="333">
        <v>45946</v>
      </c>
      <c r="BF13" s="602" t="s">
        <v>232</v>
      </c>
      <c r="BG13" s="331" t="s">
        <v>97</v>
      </c>
      <c r="BH13" s="331" t="s">
        <v>88</v>
      </c>
      <c r="BI13" s="111" t="s">
        <v>88</v>
      </c>
      <c r="BJ13" s="111" t="s">
        <v>88</v>
      </c>
      <c r="BK13" s="111" t="s">
        <v>88</v>
      </c>
      <c r="BL13" s="219" t="s">
        <v>88</v>
      </c>
      <c r="BM13" s="656" t="s">
        <v>230</v>
      </c>
      <c r="BN13" s="29" t="s">
        <v>126</v>
      </c>
      <c r="BO13" s="111" t="s">
        <v>88</v>
      </c>
      <c r="BP13" s="111" t="s">
        <v>88</v>
      </c>
      <c r="BQ13" s="111" t="s">
        <v>88</v>
      </c>
      <c r="BR13" s="656" t="s">
        <v>230</v>
      </c>
      <c r="BS13" s="111" t="s">
        <v>88</v>
      </c>
      <c r="BT13" s="111" t="s">
        <v>88</v>
      </c>
      <c r="BU13" s="111" t="s">
        <v>88</v>
      </c>
      <c r="BV13" s="111" t="s">
        <v>88</v>
      </c>
      <c r="BW13" s="772"/>
      <c r="BX13" s="737"/>
      <c r="BY13" s="111"/>
      <c r="BZ13" s="111" t="s">
        <v>88</v>
      </c>
      <c r="CA13" s="111" t="s">
        <v>88</v>
      </c>
      <c r="CB13" s="111"/>
      <c r="CC13" s="111" t="s">
        <v>88</v>
      </c>
      <c r="CD13" s="220" t="s">
        <v>88</v>
      </c>
      <c r="CE13" s="111" t="s">
        <v>88</v>
      </c>
      <c r="CF13" s="111" t="s">
        <v>233</v>
      </c>
      <c r="CG13" s="519" t="s">
        <v>234</v>
      </c>
      <c r="CH13" s="111" t="s">
        <v>88</v>
      </c>
    </row>
    <row r="14" spans="1:86" ht="24.75" hidden="1" customHeight="1">
      <c r="A14" s="998"/>
      <c r="B14" s="977"/>
      <c r="C14" s="977"/>
      <c r="D14" s="977"/>
      <c r="E14" s="978"/>
      <c r="F14" s="971"/>
      <c r="G14" s="969"/>
      <c r="H14" s="969"/>
      <c r="I14" s="984"/>
      <c r="J14" s="969"/>
      <c r="K14" s="969"/>
      <c r="L14" s="969"/>
      <c r="M14" s="969" t="s">
        <v>88</v>
      </c>
      <c r="N14" s="969" t="s">
        <v>88</v>
      </c>
      <c r="O14" s="969" t="s">
        <v>88</v>
      </c>
      <c r="P14" s="969" t="s">
        <v>88</v>
      </c>
      <c r="Q14" s="969" t="s">
        <v>88</v>
      </c>
      <c r="R14" s="969" t="s">
        <v>88</v>
      </c>
      <c r="S14" s="969" t="s">
        <v>88</v>
      </c>
      <c r="T14" s="974"/>
      <c r="U14" s="969" t="s">
        <v>88</v>
      </c>
      <c r="V14" s="973" t="s">
        <v>88</v>
      </c>
      <c r="W14" s="969" t="s">
        <v>88</v>
      </c>
      <c r="X14" s="969" t="s">
        <v>88</v>
      </c>
      <c r="Y14" s="1019" t="s">
        <v>88</v>
      </c>
      <c r="Z14" s="969" t="s">
        <v>88</v>
      </c>
      <c r="AA14" s="969"/>
      <c r="AB14" s="1019" t="s">
        <v>88</v>
      </c>
      <c r="AC14" s="969" t="s">
        <v>88</v>
      </c>
      <c r="AD14" s="969" t="s">
        <v>88</v>
      </c>
      <c r="AE14" s="1019" t="s">
        <v>88</v>
      </c>
      <c r="AF14" s="969" t="s">
        <v>88</v>
      </c>
      <c r="AG14" s="973" t="s">
        <v>88</v>
      </c>
      <c r="AH14" s="969" t="s">
        <v>88</v>
      </c>
      <c r="AI14" s="969" t="s">
        <v>88</v>
      </c>
      <c r="AJ14" s="969" t="s">
        <v>88</v>
      </c>
      <c r="AK14" s="969" t="s">
        <v>88</v>
      </c>
      <c r="AL14" s="969"/>
      <c r="AM14" s="969" t="s">
        <v>88</v>
      </c>
      <c r="AN14" s="969" t="s">
        <v>88</v>
      </c>
      <c r="AO14" s="969" t="s">
        <v>88</v>
      </c>
      <c r="AP14" s="969" t="s">
        <v>88</v>
      </c>
      <c r="AQ14" s="969" t="s">
        <v>88</v>
      </c>
      <c r="AR14" s="969" t="s">
        <v>88</v>
      </c>
      <c r="AS14" s="969" t="s">
        <v>88</v>
      </c>
      <c r="AT14" s="331" t="s">
        <v>215</v>
      </c>
      <c r="AU14" s="331" t="s">
        <v>216</v>
      </c>
      <c r="AV14" s="331" t="s">
        <v>217</v>
      </c>
      <c r="AW14" s="334" t="s">
        <v>235</v>
      </c>
      <c r="AX14" s="334" t="s">
        <v>236</v>
      </c>
      <c r="AY14" s="331" t="s">
        <v>97</v>
      </c>
      <c r="AZ14" s="334" t="s">
        <v>121</v>
      </c>
      <c r="BA14" s="334" t="s">
        <v>237</v>
      </c>
      <c r="BB14" s="333">
        <v>45945</v>
      </c>
      <c r="BC14" s="334" t="s">
        <v>238</v>
      </c>
      <c r="BD14" s="334" t="s">
        <v>237</v>
      </c>
      <c r="BE14" s="333">
        <v>45945</v>
      </c>
      <c r="BF14" s="334" t="s">
        <v>239</v>
      </c>
      <c r="BG14" s="331" t="s">
        <v>97</v>
      </c>
      <c r="BH14" s="340"/>
      <c r="BI14" s="132" t="s">
        <v>98</v>
      </c>
      <c r="BJ14" s="132" t="s">
        <v>98</v>
      </c>
      <c r="BK14" s="132" t="s">
        <v>98</v>
      </c>
      <c r="BL14" s="667" t="s">
        <v>98</v>
      </c>
      <c r="BM14" s="113" t="s">
        <v>237</v>
      </c>
      <c r="BN14" s="29" t="s">
        <v>126</v>
      </c>
      <c r="BO14" s="658">
        <v>45943</v>
      </c>
      <c r="BP14" s="659">
        <v>0.75</v>
      </c>
      <c r="BQ14" s="660" t="s">
        <v>240</v>
      </c>
      <c r="BR14" s="113" t="s">
        <v>237</v>
      </c>
      <c r="BS14" s="658">
        <v>45945</v>
      </c>
      <c r="BT14" s="659">
        <v>0.89583333333333337</v>
      </c>
      <c r="BU14" s="660" t="s">
        <v>241</v>
      </c>
      <c r="BV14" s="662">
        <v>406.27</v>
      </c>
      <c r="BW14" s="741">
        <v>1</v>
      </c>
      <c r="BX14" s="132">
        <v>1</v>
      </c>
      <c r="BY14" s="619">
        <v>0</v>
      </c>
      <c r="BZ14" s="483">
        <v>45943</v>
      </c>
      <c r="CA14" s="483">
        <v>45945</v>
      </c>
      <c r="CB14" s="483"/>
      <c r="CC14" s="111">
        <f>BW14+BX14+BY14</f>
        <v>2</v>
      </c>
      <c r="CD14" s="220" t="s">
        <v>88</v>
      </c>
      <c r="CE14" s="111" t="s">
        <v>88</v>
      </c>
      <c r="CF14" s="111" t="s">
        <v>88</v>
      </c>
      <c r="CG14" s="111" t="s">
        <v>88</v>
      </c>
      <c r="CH14" s="111" t="s">
        <v>88</v>
      </c>
    </row>
    <row r="15" spans="1:86" ht="27" customHeight="1">
      <c r="A15" s="236">
        <v>45944</v>
      </c>
      <c r="B15" s="237" t="s">
        <v>242</v>
      </c>
      <c r="C15" s="238">
        <v>45943</v>
      </c>
      <c r="D15" s="238">
        <v>45945</v>
      </c>
      <c r="E15" s="239">
        <v>2112</v>
      </c>
      <c r="F15" s="240" t="s">
        <v>243</v>
      </c>
      <c r="G15" s="237" t="s">
        <v>86</v>
      </c>
      <c r="H15" s="237" t="s">
        <v>102</v>
      </c>
      <c r="I15" s="241" t="s">
        <v>88</v>
      </c>
      <c r="J15" s="237" t="s">
        <v>89</v>
      </c>
      <c r="K15" s="237" t="s">
        <v>244</v>
      </c>
      <c r="L15" s="237" t="s">
        <v>245</v>
      </c>
      <c r="M15" s="237" t="s">
        <v>88</v>
      </c>
      <c r="N15" s="237" t="s">
        <v>246</v>
      </c>
      <c r="O15" s="237" t="s">
        <v>247</v>
      </c>
      <c r="P15" s="237" t="s">
        <v>248</v>
      </c>
      <c r="Q15" s="237" t="s">
        <v>249</v>
      </c>
      <c r="R15" s="237" t="s">
        <v>250</v>
      </c>
      <c r="S15" s="237" t="s">
        <v>251</v>
      </c>
      <c r="T15" s="245" t="s">
        <v>98</v>
      </c>
      <c r="U15" s="247" t="s">
        <v>97</v>
      </c>
      <c r="V15" s="243">
        <v>1</v>
      </c>
      <c r="W15" s="247" t="s">
        <v>252</v>
      </c>
      <c r="X15" s="247" t="s">
        <v>253</v>
      </c>
      <c r="Y15" s="248" t="s">
        <v>254</v>
      </c>
      <c r="Z15" s="249" t="s">
        <v>255</v>
      </c>
      <c r="AA15" s="249" t="s">
        <v>255</v>
      </c>
      <c r="AB15" s="249" t="s">
        <v>255</v>
      </c>
      <c r="AC15" s="249" t="s">
        <v>255</v>
      </c>
      <c r="AD15" s="249" t="s">
        <v>255</v>
      </c>
      <c r="AE15" s="249" t="s">
        <v>255</v>
      </c>
      <c r="AF15" s="247" t="s">
        <v>97</v>
      </c>
      <c r="AG15" s="244">
        <v>1</v>
      </c>
      <c r="AH15" s="111" t="s">
        <v>252</v>
      </c>
      <c r="AI15" s="111" t="s">
        <v>253</v>
      </c>
      <c r="AJ15" s="111" t="s">
        <v>254</v>
      </c>
      <c r="AK15" s="250" t="s">
        <v>255</v>
      </c>
      <c r="AL15" s="250" t="s">
        <v>255</v>
      </c>
      <c r="AM15" s="250" t="s">
        <v>255</v>
      </c>
      <c r="AN15" s="250" t="s">
        <v>255</v>
      </c>
      <c r="AO15" s="250" t="s">
        <v>255</v>
      </c>
      <c r="AP15" s="250" t="s">
        <v>255</v>
      </c>
      <c r="AQ15" s="247" t="s">
        <v>256</v>
      </c>
      <c r="AR15" s="111" t="s">
        <v>118</v>
      </c>
      <c r="AS15" s="111" t="s">
        <v>257</v>
      </c>
      <c r="AT15" s="341" t="s">
        <v>252</v>
      </c>
      <c r="AU15" s="341" t="s">
        <v>253</v>
      </c>
      <c r="AV15" s="341" t="s">
        <v>254</v>
      </c>
      <c r="AW15" s="332" t="s">
        <v>258</v>
      </c>
      <c r="AX15" s="331" t="s">
        <v>259</v>
      </c>
      <c r="AY15" s="331" t="s">
        <v>97</v>
      </c>
      <c r="AZ15" s="331" t="s">
        <v>121</v>
      </c>
      <c r="BA15" s="331" t="s">
        <v>260</v>
      </c>
      <c r="BB15" s="333">
        <v>45943</v>
      </c>
      <c r="BC15" s="331" t="s">
        <v>261</v>
      </c>
      <c r="BD15" s="331" t="s">
        <v>260</v>
      </c>
      <c r="BE15" s="333">
        <v>45945</v>
      </c>
      <c r="BF15" s="331" t="s">
        <v>262</v>
      </c>
      <c r="BG15" s="331" t="s">
        <v>97</v>
      </c>
      <c r="BH15" s="331"/>
      <c r="BI15" s="132" t="s">
        <v>98</v>
      </c>
      <c r="BJ15" s="132" t="s">
        <v>98</v>
      </c>
      <c r="BK15" s="132" t="s">
        <v>98</v>
      </c>
      <c r="BL15" s="667" t="s">
        <v>98</v>
      </c>
      <c r="BM15" s="519" t="s">
        <v>260</v>
      </c>
      <c r="BN15" s="29" t="s">
        <v>126</v>
      </c>
      <c r="BO15" s="663">
        <v>45943</v>
      </c>
      <c r="BP15" s="664">
        <v>0.69444444444444442</v>
      </c>
      <c r="BQ15" s="665" t="s">
        <v>263</v>
      </c>
      <c r="BR15" s="519" t="s">
        <v>260</v>
      </c>
      <c r="BS15" s="663">
        <v>45945</v>
      </c>
      <c r="BT15" s="664">
        <v>0.4861111111111111</v>
      </c>
      <c r="BU15" s="665" t="s">
        <v>264</v>
      </c>
      <c r="BV15" s="666">
        <v>653.1</v>
      </c>
      <c r="BW15" s="741">
        <v>1</v>
      </c>
      <c r="BX15" s="132">
        <v>1</v>
      </c>
      <c r="BY15" s="111"/>
      <c r="BZ15" s="483">
        <v>45943</v>
      </c>
      <c r="CA15" s="483">
        <v>45945</v>
      </c>
      <c r="CB15" s="483"/>
      <c r="CC15" s="111">
        <f>BW15+BX15+BY15</f>
        <v>2</v>
      </c>
      <c r="CD15" s="220" t="s">
        <v>88</v>
      </c>
      <c r="CE15" s="111" t="s">
        <v>88</v>
      </c>
      <c r="CF15" s="480" t="s">
        <v>265</v>
      </c>
      <c r="CG15" s="481" t="s">
        <v>266</v>
      </c>
      <c r="CH15" s="480" t="s">
        <v>267</v>
      </c>
    </row>
    <row r="16" spans="1:86" ht="46" hidden="1" customHeight="1">
      <c r="A16" s="238">
        <v>45945</v>
      </c>
      <c r="B16" s="237" t="s">
        <v>242</v>
      </c>
      <c r="C16" s="238">
        <v>45945</v>
      </c>
      <c r="D16" s="238">
        <v>45946</v>
      </c>
      <c r="E16" s="239">
        <v>2113</v>
      </c>
      <c r="F16" s="240" t="s">
        <v>268</v>
      </c>
      <c r="G16" s="237" t="s">
        <v>135</v>
      </c>
      <c r="H16" s="237" t="s">
        <v>102</v>
      </c>
      <c r="I16" s="241" t="s">
        <v>88</v>
      </c>
      <c r="J16" s="237" t="s">
        <v>89</v>
      </c>
      <c r="K16" s="237" t="s">
        <v>269</v>
      </c>
      <c r="L16" s="237" t="s">
        <v>270</v>
      </c>
      <c r="M16" s="237" t="s">
        <v>88</v>
      </c>
      <c r="N16" s="237" t="s">
        <v>271</v>
      </c>
      <c r="O16" s="237" t="s">
        <v>272</v>
      </c>
      <c r="P16" s="237" t="s">
        <v>273</v>
      </c>
      <c r="Q16" s="237" t="s">
        <v>249</v>
      </c>
      <c r="R16" s="237" t="s">
        <v>274</v>
      </c>
      <c r="S16" s="111" t="s">
        <v>88</v>
      </c>
      <c r="T16" s="111" t="s">
        <v>88</v>
      </c>
      <c r="U16" s="111" t="s">
        <v>88</v>
      </c>
      <c r="V16" s="243" t="s">
        <v>88</v>
      </c>
      <c r="W16" s="111" t="s">
        <v>88</v>
      </c>
      <c r="X16" s="111" t="s">
        <v>88</v>
      </c>
      <c r="Y16" s="111" t="s">
        <v>88</v>
      </c>
      <c r="Z16" s="111" t="s">
        <v>88</v>
      </c>
      <c r="AA16" s="111" t="s">
        <v>88</v>
      </c>
      <c r="AB16" s="111" t="s">
        <v>88</v>
      </c>
      <c r="AC16" s="111" t="s">
        <v>88</v>
      </c>
      <c r="AD16" s="111" t="s">
        <v>88</v>
      </c>
      <c r="AE16" s="111" t="s">
        <v>88</v>
      </c>
      <c r="AF16" s="111" t="s">
        <v>88</v>
      </c>
      <c r="AG16" s="244" t="s">
        <v>88</v>
      </c>
      <c r="AH16" s="111" t="s">
        <v>88</v>
      </c>
      <c r="AI16" s="111" t="s">
        <v>88</v>
      </c>
      <c r="AJ16" s="111" t="s">
        <v>88</v>
      </c>
      <c r="AK16" s="111" t="s">
        <v>88</v>
      </c>
      <c r="AL16" s="111" t="s">
        <v>88</v>
      </c>
      <c r="AM16" s="111" t="s">
        <v>88</v>
      </c>
      <c r="AN16" s="111" t="s">
        <v>88</v>
      </c>
      <c r="AO16" s="111" t="s">
        <v>88</v>
      </c>
      <c r="AP16" s="111" t="s">
        <v>88</v>
      </c>
      <c r="AQ16" s="111" t="s">
        <v>88</v>
      </c>
      <c r="AR16" s="111" t="s">
        <v>88</v>
      </c>
      <c r="AS16" s="111" t="s">
        <v>88</v>
      </c>
      <c r="AT16" s="456"/>
      <c r="AU16" s="456"/>
      <c r="AV16" s="456"/>
      <c r="AW16" s="938" t="s">
        <v>88</v>
      </c>
      <c r="AX16" s="456" t="s">
        <v>88</v>
      </c>
      <c r="AY16" s="456"/>
      <c r="AZ16" s="456"/>
      <c r="BA16" s="456"/>
      <c r="BB16" s="456"/>
      <c r="BC16" s="456"/>
      <c r="BD16" s="456"/>
      <c r="BE16" s="456"/>
      <c r="BF16" s="456"/>
      <c r="BG16" s="456"/>
      <c r="BH16" s="456" t="s">
        <v>88</v>
      </c>
      <c r="BI16" s="456" t="s">
        <v>88</v>
      </c>
      <c r="BJ16" s="456" t="s">
        <v>88</v>
      </c>
      <c r="BK16" s="456" t="s">
        <v>88</v>
      </c>
      <c r="BL16" s="456" t="s">
        <v>88</v>
      </c>
      <c r="BM16" s="939" t="s">
        <v>88</v>
      </c>
      <c r="BN16" s="939" t="s">
        <v>88</v>
      </c>
      <c r="BO16" s="939" t="s">
        <v>88</v>
      </c>
      <c r="BP16" s="939" t="s">
        <v>88</v>
      </c>
      <c r="BQ16" s="939" t="s">
        <v>88</v>
      </c>
      <c r="BR16" s="939" t="s">
        <v>88</v>
      </c>
      <c r="BS16" s="939" t="s">
        <v>88</v>
      </c>
      <c r="BT16" s="939" t="s">
        <v>88</v>
      </c>
      <c r="BU16" s="939" t="s">
        <v>88</v>
      </c>
      <c r="BV16" s="939" t="s">
        <v>88</v>
      </c>
      <c r="BW16" s="940"/>
      <c r="BX16" s="456"/>
      <c r="BY16" s="456"/>
      <c r="BZ16" s="941"/>
      <c r="CA16" s="941"/>
      <c r="CB16" s="941"/>
      <c r="CC16" s="456" t="s">
        <v>88</v>
      </c>
      <c r="CD16" s="942" t="s">
        <v>88</v>
      </c>
      <c r="CE16" s="456" t="s">
        <v>88</v>
      </c>
      <c r="CF16" s="456" t="s">
        <v>88</v>
      </c>
      <c r="CG16" s="456" t="s">
        <v>88</v>
      </c>
      <c r="CH16" s="456" t="s">
        <v>88</v>
      </c>
    </row>
    <row r="17" spans="1:86" ht="63" customHeight="1">
      <c r="A17" s="997">
        <v>45945</v>
      </c>
      <c r="B17" s="977" t="s">
        <v>242</v>
      </c>
      <c r="C17" s="976">
        <v>45945</v>
      </c>
      <c r="D17" s="975">
        <v>45946</v>
      </c>
      <c r="E17" s="978">
        <v>2117</v>
      </c>
      <c r="F17" s="971" t="s">
        <v>275</v>
      </c>
      <c r="G17" s="969" t="s">
        <v>167</v>
      </c>
      <c r="H17" s="969" t="s">
        <v>102</v>
      </c>
      <c r="I17" s="984" t="s">
        <v>88</v>
      </c>
      <c r="J17" s="969" t="s">
        <v>89</v>
      </c>
      <c r="K17" s="969" t="s">
        <v>276</v>
      </c>
      <c r="L17" s="969" t="s">
        <v>189</v>
      </c>
      <c r="M17" s="969" t="s">
        <v>88</v>
      </c>
      <c r="N17" s="969" t="s">
        <v>277</v>
      </c>
      <c r="O17" s="969" t="s">
        <v>278</v>
      </c>
      <c r="P17" s="969" t="s">
        <v>279</v>
      </c>
      <c r="Q17" s="969" t="s">
        <v>140</v>
      </c>
      <c r="R17" s="969" t="s">
        <v>280</v>
      </c>
      <c r="S17" s="969" t="s">
        <v>110</v>
      </c>
      <c r="T17" s="974" t="s">
        <v>98</v>
      </c>
      <c r="U17" s="969" t="s">
        <v>97</v>
      </c>
      <c r="V17" s="973">
        <v>2</v>
      </c>
      <c r="W17" s="969" t="s">
        <v>281</v>
      </c>
      <c r="X17" s="969" t="s">
        <v>282</v>
      </c>
      <c r="Y17" s="970" t="s">
        <v>283</v>
      </c>
      <c r="Z17" s="969" t="s">
        <v>284</v>
      </c>
      <c r="AA17" s="969" t="s">
        <v>285</v>
      </c>
      <c r="AB17" s="970" t="s">
        <v>286</v>
      </c>
      <c r="AC17" s="969"/>
      <c r="AD17" s="969"/>
      <c r="AE17" s="1017"/>
      <c r="AF17" s="969" t="s">
        <v>97</v>
      </c>
      <c r="AG17" s="973">
        <v>3</v>
      </c>
      <c r="AH17" s="969" t="s">
        <v>281</v>
      </c>
      <c r="AI17" s="969" t="s">
        <v>282</v>
      </c>
      <c r="AJ17" s="969" t="s">
        <v>283</v>
      </c>
      <c r="AK17" s="969" t="s">
        <v>284</v>
      </c>
      <c r="AL17" s="969" t="s">
        <v>285</v>
      </c>
      <c r="AM17" s="969" t="s">
        <v>286</v>
      </c>
      <c r="AN17" s="969" t="s">
        <v>287</v>
      </c>
      <c r="AO17" s="969" t="s">
        <v>288</v>
      </c>
      <c r="AP17" s="969" t="s">
        <v>289</v>
      </c>
      <c r="AQ17" s="969" t="s">
        <v>290</v>
      </c>
      <c r="AR17" s="969" t="s">
        <v>88</v>
      </c>
      <c r="AS17" s="969" t="s">
        <v>291</v>
      </c>
      <c r="AT17" s="331" t="s">
        <v>281</v>
      </c>
      <c r="AU17" s="331" t="s">
        <v>282</v>
      </c>
      <c r="AV17" s="331" t="s">
        <v>283</v>
      </c>
      <c r="AW17" s="340" t="s">
        <v>292</v>
      </c>
      <c r="AX17" s="331" t="s">
        <v>293</v>
      </c>
      <c r="AY17" s="331" t="s">
        <v>97</v>
      </c>
      <c r="AZ17" s="340" t="s">
        <v>121</v>
      </c>
      <c r="BA17" s="340" t="s">
        <v>294</v>
      </c>
      <c r="BB17" s="333">
        <v>45943</v>
      </c>
      <c r="BC17" s="340"/>
      <c r="BD17" s="340" t="s">
        <v>294</v>
      </c>
      <c r="BE17" s="333">
        <v>45946</v>
      </c>
      <c r="BF17" s="340"/>
      <c r="BG17" s="331" t="s">
        <v>97</v>
      </c>
      <c r="BH17" s="340" t="s">
        <v>295</v>
      </c>
      <c r="BI17" s="132" t="s">
        <v>98</v>
      </c>
      <c r="BJ17" s="132" t="s">
        <v>98</v>
      </c>
      <c r="BK17" s="132" t="s">
        <v>98</v>
      </c>
      <c r="BL17" s="667" t="s">
        <v>98</v>
      </c>
      <c r="BM17" s="391" t="s">
        <v>296</v>
      </c>
      <c r="BN17" s="29" t="s">
        <v>126</v>
      </c>
      <c r="BO17" s="663">
        <v>45943</v>
      </c>
      <c r="BP17" s="692">
        <v>0.52430555555555558</v>
      </c>
      <c r="BQ17" s="111" t="s">
        <v>297</v>
      </c>
      <c r="BR17" s="391" t="s">
        <v>296</v>
      </c>
      <c r="BS17" s="663">
        <v>45946</v>
      </c>
      <c r="BT17" s="692">
        <v>0.49305555555555558</v>
      </c>
      <c r="BU17" s="111" t="s">
        <v>298</v>
      </c>
      <c r="BV17" s="111" t="s">
        <v>88</v>
      </c>
      <c r="BW17" s="744">
        <v>1</v>
      </c>
      <c r="BX17" s="738">
        <v>1</v>
      </c>
      <c r="BY17" s="132">
        <v>1</v>
      </c>
      <c r="BZ17" s="111" t="s">
        <v>88</v>
      </c>
      <c r="CA17" s="111" t="s">
        <v>88</v>
      </c>
      <c r="CB17" s="111"/>
      <c r="CC17" s="111" t="s">
        <v>88</v>
      </c>
      <c r="CD17" s="220" t="s">
        <v>88</v>
      </c>
      <c r="CE17" s="111" t="s">
        <v>88</v>
      </c>
      <c r="CF17" s="394" t="s">
        <v>299</v>
      </c>
      <c r="CG17" s="195" t="s">
        <v>300</v>
      </c>
      <c r="CH17" s="111" t="s">
        <v>88</v>
      </c>
    </row>
    <row r="18" spans="1:86" ht="45.5" hidden="1" customHeight="1">
      <c r="A18" s="998"/>
      <c r="B18" s="977"/>
      <c r="C18" s="977"/>
      <c r="D18" s="975"/>
      <c r="E18" s="978"/>
      <c r="F18" s="971"/>
      <c r="G18" s="969" t="s">
        <v>88</v>
      </c>
      <c r="H18" s="969" t="s">
        <v>88</v>
      </c>
      <c r="I18" s="984" t="s">
        <v>88</v>
      </c>
      <c r="J18" s="969" t="s">
        <v>88</v>
      </c>
      <c r="K18" s="969" t="s">
        <v>88</v>
      </c>
      <c r="L18" s="969" t="s">
        <v>88</v>
      </c>
      <c r="M18" s="969" t="s">
        <v>88</v>
      </c>
      <c r="N18" s="969" t="s">
        <v>88</v>
      </c>
      <c r="O18" s="969" t="s">
        <v>88</v>
      </c>
      <c r="P18" s="969" t="s">
        <v>88</v>
      </c>
      <c r="Q18" s="969" t="s">
        <v>88</v>
      </c>
      <c r="R18" s="969" t="s">
        <v>88</v>
      </c>
      <c r="S18" s="969" t="s">
        <v>88</v>
      </c>
      <c r="T18" s="974"/>
      <c r="U18" s="969" t="s">
        <v>88</v>
      </c>
      <c r="V18" s="973" t="s">
        <v>88</v>
      </c>
      <c r="W18" s="969" t="s">
        <v>88</v>
      </c>
      <c r="X18" s="969" t="s">
        <v>88</v>
      </c>
      <c r="Y18" s="970"/>
      <c r="Z18" s="969" t="s">
        <v>88</v>
      </c>
      <c r="AA18" s="969" t="s">
        <v>88</v>
      </c>
      <c r="AB18" s="970"/>
      <c r="AC18" s="969"/>
      <c r="AD18" s="969"/>
      <c r="AE18" s="1017"/>
      <c r="AF18" s="969" t="s">
        <v>88</v>
      </c>
      <c r="AG18" s="973" t="s">
        <v>88</v>
      </c>
      <c r="AH18" s="969" t="s">
        <v>88</v>
      </c>
      <c r="AI18" s="969" t="s">
        <v>88</v>
      </c>
      <c r="AJ18" s="969"/>
      <c r="AK18" s="969" t="s">
        <v>88</v>
      </c>
      <c r="AL18" s="969" t="s">
        <v>88</v>
      </c>
      <c r="AM18" s="969"/>
      <c r="AN18" s="969" t="s">
        <v>88</v>
      </c>
      <c r="AO18" s="969" t="s">
        <v>88</v>
      </c>
      <c r="AP18" s="969"/>
      <c r="AQ18" s="969" t="s">
        <v>88</v>
      </c>
      <c r="AR18" s="969" t="s">
        <v>88</v>
      </c>
      <c r="AS18" s="969" t="s">
        <v>88</v>
      </c>
      <c r="AT18" s="331" t="s">
        <v>284</v>
      </c>
      <c r="AU18" s="331" t="s">
        <v>285</v>
      </c>
      <c r="AV18" s="331" t="s">
        <v>286</v>
      </c>
      <c r="AW18" s="332">
        <v>33685516610</v>
      </c>
      <c r="AX18" s="331" t="s">
        <v>293</v>
      </c>
      <c r="AY18" s="331" t="s">
        <v>97</v>
      </c>
      <c r="AZ18" s="331" t="s">
        <v>121</v>
      </c>
      <c r="BA18" s="331" t="s">
        <v>301</v>
      </c>
      <c r="BB18" s="333">
        <v>45945</v>
      </c>
      <c r="BC18" s="331" t="s">
        <v>302</v>
      </c>
      <c r="BD18" s="331" t="s">
        <v>303</v>
      </c>
      <c r="BE18" s="333">
        <v>45945</v>
      </c>
      <c r="BF18" s="331" t="s">
        <v>302</v>
      </c>
      <c r="BG18" s="331" t="s">
        <v>97</v>
      </c>
      <c r="BH18" s="331" t="s">
        <v>304</v>
      </c>
      <c r="BI18" s="111" t="s">
        <v>88</v>
      </c>
      <c r="BJ18" s="111" t="s">
        <v>88</v>
      </c>
      <c r="BK18" s="111" t="s">
        <v>88</v>
      </c>
      <c r="BL18" s="219" t="s">
        <v>88</v>
      </c>
      <c r="BM18" s="111" t="s">
        <v>88</v>
      </c>
      <c r="BN18" s="111" t="s">
        <v>88</v>
      </c>
      <c r="BO18" s="111" t="s">
        <v>88</v>
      </c>
      <c r="BP18" s="111" t="s">
        <v>88</v>
      </c>
      <c r="BQ18" s="111" t="s">
        <v>88</v>
      </c>
      <c r="BR18" s="111" t="s">
        <v>88</v>
      </c>
      <c r="BS18" s="111" t="s">
        <v>88</v>
      </c>
      <c r="BT18" s="111" t="s">
        <v>88</v>
      </c>
      <c r="BU18" s="111" t="s">
        <v>88</v>
      </c>
      <c r="BV18" s="111" t="s">
        <v>88</v>
      </c>
      <c r="BW18" s="772"/>
      <c r="BX18" s="111"/>
      <c r="BY18" s="619">
        <v>0</v>
      </c>
      <c r="BZ18" s="111" t="s">
        <v>88</v>
      </c>
      <c r="CA18" s="111" t="s">
        <v>88</v>
      </c>
      <c r="CB18" s="111"/>
      <c r="CC18" s="111" t="s">
        <v>88</v>
      </c>
      <c r="CD18" s="220" t="s">
        <v>88</v>
      </c>
      <c r="CE18" s="111" t="s">
        <v>88</v>
      </c>
      <c r="CF18" s="394" t="s">
        <v>305</v>
      </c>
      <c r="CG18" s="195" t="s">
        <v>306</v>
      </c>
      <c r="CH18" s="111" t="s">
        <v>88</v>
      </c>
    </row>
    <row r="19" spans="1:86" ht="41.5" hidden="1" customHeight="1">
      <c r="A19" s="998"/>
      <c r="B19" s="977"/>
      <c r="C19" s="977"/>
      <c r="D19" s="975"/>
      <c r="E19" s="978"/>
      <c r="F19" s="971"/>
      <c r="G19" s="969" t="s">
        <v>88</v>
      </c>
      <c r="H19" s="969" t="s">
        <v>88</v>
      </c>
      <c r="I19" s="984" t="s">
        <v>88</v>
      </c>
      <c r="J19" s="969" t="s">
        <v>88</v>
      </c>
      <c r="K19" s="969" t="s">
        <v>88</v>
      </c>
      <c r="L19" s="969" t="s">
        <v>88</v>
      </c>
      <c r="M19" s="969" t="s">
        <v>88</v>
      </c>
      <c r="N19" s="969" t="s">
        <v>88</v>
      </c>
      <c r="O19" s="969" t="s">
        <v>88</v>
      </c>
      <c r="P19" s="969" t="s">
        <v>88</v>
      </c>
      <c r="Q19" s="969" t="s">
        <v>88</v>
      </c>
      <c r="R19" s="969" t="s">
        <v>88</v>
      </c>
      <c r="S19" s="969" t="s">
        <v>88</v>
      </c>
      <c r="T19" s="974"/>
      <c r="U19" s="969" t="s">
        <v>88</v>
      </c>
      <c r="V19" s="973" t="s">
        <v>88</v>
      </c>
      <c r="W19" s="969" t="s">
        <v>88</v>
      </c>
      <c r="X19" s="969" t="s">
        <v>88</v>
      </c>
      <c r="Y19" s="970"/>
      <c r="Z19" s="969" t="s">
        <v>88</v>
      </c>
      <c r="AA19" s="969" t="s">
        <v>88</v>
      </c>
      <c r="AB19" s="970"/>
      <c r="AC19" s="969"/>
      <c r="AD19" s="969"/>
      <c r="AE19" s="1017"/>
      <c r="AF19" s="969" t="s">
        <v>88</v>
      </c>
      <c r="AG19" s="973" t="s">
        <v>88</v>
      </c>
      <c r="AH19" s="969" t="s">
        <v>88</v>
      </c>
      <c r="AI19" s="969" t="s">
        <v>88</v>
      </c>
      <c r="AJ19" s="969"/>
      <c r="AK19" s="969" t="s">
        <v>88</v>
      </c>
      <c r="AL19" s="969" t="s">
        <v>88</v>
      </c>
      <c r="AM19" s="969"/>
      <c r="AN19" s="969" t="s">
        <v>88</v>
      </c>
      <c r="AO19" s="969" t="s">
        <v>88</v>
      </c>
      <c r="AP19" s="969"/>
      <c r="AQ19" s="969" t="s">
        <v>88</v>
      </c>
      <c r="AR19" s="969" t="s">
        <v>88</v>
      </c>
      <c r="AS19" s="969" t="s">
        <v>88</v>
      </c>
      <c r="AT19" s="331" t="s">
        <v>287</v>
      </c>
      <c r="AU19" s="331" t="s">
        <v>288</v>
      </c>
      <c r="AV19" s="343" t="s">
        <v>289</v>
      </c>
      <c r="AW19" s="332">
        <v>34662431372</v>
      </c>
      <c r="AX19" s="331" t="s">
        <v>293</v>
      </c>
      <c r="AY19" s="331" t="s">
        <v>97</v>
      </c>
      <c r="AZ19" s="434" t="s">
        <v>121</v>
      </c>
      <c r="BA19" s="434" t="s">
        <v>307</v>
      </c>
      <c r="BB19" s="333">
        <v>45943</v>
      </c>
      <c r="BC19" s="606">
        <v>0.33333333333333331</v>
      </c>
      <c r="BD19" s="434" t="s">
        <v>307</v>
      </c>
      <c r="BE19" s="333">
        <v>45945</v>
      </c>
      <c r="BF19" s="606">
        <v>0.75</v>
      </c>
      <c r="BG19" s="331" t="s">
        <v>97</v>
      </c>
      <c r="BH19" s="271" t="s">
        <v>308</v>
      </c>
      <c r="BI19" s="132" t="s">
        <v>98</v>
      </c>
      <c r="BJ19" s="132" t="s">
        <v>98</v>
      </c>
      <c r="BK19" s="132" t="s">
        <v>98</v>
      </c>
      <c r="BL19" s="667" t="s">
        <v>98</v>
      </c>
      <c r="BM19" s="656" t="s">
        <v>307</v>
      </c>
      <c r="BN19" s="29" t="s">
        <v>126</v>
      </c>
      <c r="BO19" s="663">
        <v>45943</v>
      </c>
      <c r="BP19" s="111" t="s">
        <v>309</v>
      </c>
      <c r="BQ19" s="111" t="s">
        <v>310</v>
      </c>
      <c r="BR19" s="656" t="s">
        <v>307</v>
      </c>
      <c r="BS19" s="663">
        <v>45945</v>
      </c>
      <c r="BT19" s="111" t="s">
        <v>311</v>
      </c>
      <c r="BU19" s="111" t="s">
        <v>312</v>
      </c>
      <c r="BV19" s="737" t="s">
        <v>313</v>
      </c>
      <c r="BW19" s="744">
        <v>1</v>
      </c>
      <c r="BX19" s="738">
        <v>1</v>
      </c>
      <c r="BY19" s="619">
        <v>0</v>
      </c>
      <c r="BZ19" s="445" t="s">
        <v>88</v>
      </c>
      <c r="CA19" s="445" t="s">
        <v>88</v>
      </c>
      <c r="CB19" s="445"/>
      <c r="CC19" s="445" t="s">
        <v>88</v>
      </c>
      <c r="CD19" s="669" t="s">
        <v>88</v>
      </c>
      <c r="CE19" s="445" t="s">
        <v>88</v>
      </c>
      <c r="CF19" s="445" t="s">
        <v>314</v>
      </c>
      <c r="CG19" s="739" t="s">
        <v>315</v>
      </c>
      <c r="CH19" s="111" t="s">
        <v>88</v>
      </c>
    </row>
    <row r="20" spans="1:86" ht="50" hidden="1" customHeight="1">
      <c r="A20" s="238">
        <v>45944</v>
      </c>
      <c r="B20" s="237" t="s">
        <v>242</v>
      </c>
      <c r="C20" s="238">
        <v>45943</v>
      </c>
      <c r="D20" s="238">
        <v>45945</v>
      </c>
      <c r="E20" s="239">
        <v>2124</v>
      </c>
      <c r="F20" s="240" t="s">
        <v>316</v>
      </c>
      <c r="G20" s="237" t="s">
        <v>167</v>
      </c>
      <c r="H20" s="237" t="s">
        <v>102</v>
      </c>
      <c r="I20" s="241" t="s">
        <v>88</v>
      </c>
      <c r="J20" s="237" t="s">
        <v>89</v>
      </c>
      <c r="K20" s="237" t="s">
        <v>317</v>
      </c>
      <c r="L20" s="237" t="s">
        <v>318</v>
      </c>
      <c r="M20" s="237" t="s">
        <v>88</v>
      </c>
      <c r="N20" s="237" t="s">
        <v>319</v>
      </c>
      <c r="O20" s="237" t="s">
        <v>320</v>
      </c>
      <c r="P20" s="237" t="s">
        <v>321</v>
      </c>
      <c r="Q20" s="237" t="s">
        <v>322</v>
      </c>
      <c r="R20" s="237" t="s">
        <v>323</v>
      </c>
      <c r="S20" s="111" t="s">
        <v>88</v>
      </c>
      <c r="T20" s="111" t="s">
        <v>88</v>
      </c>
      <c r="U20" s="111" t="s">
        <v>88</v>
      </c>
      <c r="V20" s="243" t="s">
        <v>88</v>
      </c>
      <c r="W20" s="111" t="s">
        <v>88</v>
      </c>
      <c r="X20" s="111" t="s">
        <v>88</v>
      </c>
      <c r="Y20" s="111" t="s">
        <v>88</v>
      </c>
      <c r="Z20" s="111" t="s">
        <v>88</v>
      </c>
      <c r="AA20" s="111" t="s">
        <v>88</v>
      </c>
      <c r="AB20" s="111" t="s">
        <v>88</v>
      </c>
      <c r="AC20" s="111" t="s">
        <v>88</v>
      </c>
      <c r="AD20" s="111" t="s">
        <v>88</v>
      </c>
      <c r="AE20" s="111" t="s">
        <v>88</v>
      </c>
      <c r="AF20" s="111" t="s">
        <v>88</v>
      </c>
      <c r="AG20" s="244" t="s">
        <v>88</v>
      </c>
      <c r="AH20" s="111" t="s">
        <v>88</v>
      </c>
      <c r="AI20" s="111" t="s">
        <v>88</v>
      </c>
      <c r="AJ20" s="111" t="s">
        <v>88</v>
      </c>
      <c r="AK20" s="111" t="s">
        <v>88</v>
      </c>
      <c r="AL20" s="111" t="s">
        <v>88</v>
      </c>
      <c r="AM20" s="111" t="s">
        <v>88</v>
      </c>
      <c r="AN20" s="111" t="s">
        <v>88</v>
      </c>
      <c r="AO20" s="111" t="s">
        <v>88</v>
      </c>
      <c r="AP20" s="111" t="s">
        <v>88</v>
      </c>
      <c r="AQ20" s="111" t="s">
        <v>88</v>
      </c>
      <c r="AR20" s="111" t="s">
        <v>88</v>
      </c>
      <c r="AS20" s="111" t="s">
        <v>88</v>
      </c>
      <c r="AT20" s="456"/>
      <c r="AU20" s="456"/>
      <c r="AV20" s="456"/>
      <c r="AW20" s="938" t="s">
        <v>88</v>
      </c>
      <c r="AX20" s="456" t="s">
        <v>88</v>
      </c>
      <c r="AY20" s="456"/>
      <c r="AZ20" s="456"/>
      <c r="BA20" s="456"/>
      <c r="BB20" s="456"/>
      <c r="BC20" s="456"/>
      <c r="BD20" s="456"/>
      <c r="BE20" s="456"/>
      <c r="BF20" s="456"/>
      <c r="BG20" s="456"/>
      <c r="BH20" s="456" t="s">
        <v>88</v>
      </c>
      <c r="BI20" s="456" t="s">
        <v>88</v>
      </c>
      <c r="BJ20" s="456" t="s">
        <v>88</v>
      </c>
      <c r="BK20" s="456" t="s">
        <v>88</v>
      </c>
      <c r="BL20" s="456" t="s">
        <v>88</v>
      </c>
      <c r="BM20" s="939" t="s">
        <v>88</v>
      </c>
      <c r="BN20" s="943" t="s">
        <v>88</v>
      </c>
      <c r="BO20" s="943" t="s">
        <v>88</v>
      </c>
      <c r="BP20" s="943" t="s">
        <v>88</v>
      </c>
      <c r="BQ20" s="943" t="s">
        <v>88</v>
      </c>
      <c r="BR20" s="943" t="s">
        <v>88</v>
      </c>
      <c r="BS20" s="943" t="s">
        <v>88</v>
      </c>
      <c r="BT20" s="943" t="s">
        <v>88</v>
      </c>
      <c r="BU20" s="943" t="s">
        <v>88</v>
      </c>
      <c r="BV20" s="943" t="s">
        <v>88</v>
      </c>
      <c r="BW20" s="456"/>
      <c r="BX20" s="456"/>
      <c r="BY20" s="456"/>
      <c r="BZ20" s="456" t="s">
        <v>88</v>
      </c>
      <c r="CA20" s="456" t="s">
        <v>88</v>
      </c>
      <c r="CB20" s="456"/>
      <c r="CC20" s="456" t="s">
        <v>88</v>
      </c>
      <c r="CD20" s="456" t="s">
        <v>88</v>
      </c>
      <c r="CE20" s="456" t="s">
        <v>88</v>
      </c>
      <c r="CF20" s="456" t="s">
        <v>88</v>
      </c>
      <c r="CG20" s="456" t="s">
        <v>88</v>
      </c>
      <c r="CH20" s="456" t="s">
        <v>88</v>
      </c>
    </row>
    <row r="21" spans="1:86" ht="21.5" customHeight="1">
      <c r="A21" s="997">
        <v>45945</v>
      </c>
      <c r="B21" s="977" t="s">
        <v>242</v>
      </c>
      <c r="C21" s="976">
        <v>45945</v>
      </c>
      <c r="D21" s="976">
        <v>45946</v>
      </c>
      <c r="E21" s="978">
        <v>2127</v>
      </c>
      <c r="F21" s="992" t="s">
        <v>324</v>
      </c>
      <c r="G21" s="976" t="s">
        <v>135</v>
      </c>
      <c r="H21" s="976" t="s">
        <v>102</v>
      </c>
      <c r="I21" s="987">
        <v>21272163</v>
      </c>
      <c r="J21" s="976" t="s">
        <v>97</v>
      </c>
      <c r="K21" s="976" t="s">
        <v>325</v>
      </c>
      <c r="L21" s="976" t="s">
        <v>326</v>
      </c>
      <c r="M21" s="976" t="s">
        <v>88</v>
      </c>
      <c r="N21" s="976" t="s">
        <v>327</v>
      </c>
      <c r="O21" s="976" t="s">
        <v>328</v>
      </c>
      <c r="P21" s="976" t="s">
        <v>329</v>
      </c>
      <c r="Q21" s="976" t="s">
        <v>249</v>
      </c>
      <c r="R21" s="976" t="s">
        <v>330</v>
      </c>
      <c r="S21" s="976" t="s">
        <v>251</v>
      </c>
      <c r="T21" s="974" t="s">
        <v>98</v>
      </c>
      <c r="U21" s="976" t="s">
        <v>97</v>
      </c>
      <c r="V21" s="973">
        <v>3</v>
      </c>
      <c r="W21" s="1020" t="s">
        <v>331</v>
      </c>
      <c r="X21" s="1020" t="s">
        <v>332</v>
      </c>
      <c r="Y21" s="1021" t="s">
        <v>333</v>
      </c>
      <c r="Z21" s="979" t="s">
        <v>334</v>
      </c>
      <c r="AA21" s="979" t="s">
        <v>335</v>
      </c>
      <c r="AB21" s="1021" t="s">
        <v>336</v>
      </c>
      <c r="AC21" s="979" t="s">
        <v>337</v>
      </c>
      <c r="AD21" s="979" t="s">
        <v>338</v>
      </c>
      <c r="AE21" s="1022" t="s">
        <v>339</v>
      </c>
      <c r="AF21" s="979" t="s">
        <v>97</v>
      </c>
      <c r="AG21" s="1024">
        <v>3</v>
      </c>
      <c r="AH21" s="979" t="s">
        <v>331</v>
      </c>
      <c r="AI21" s="979" t="s">
        <v>332</v>
      </c>
      <c r="AJ21" s="979" t="s">
        <v>333</v>
      </c>
      <c r="AK21" s="979" t="s">
        <v>334</v>
      </c>
      <c r="AL21" s="979" t="s">
        <v>335</v>
      </c>
      <c r="AM21" s="979" t="s">
        <v>336</v>
      </c>
      <c r="AN21" s="979" t="s">
        <v>337</v>
      </c>
      <c r="AO21" s="979" t="s">
        <v>338</v>
      </c>
      <c r="AP21" s="979" t="s">
        <v>339</v>
      </c>
      <c r="AQ21" s="979" t="s">
        <v>340</v>
      </c>
      <c r="AR21" s="979" t="s">
        <v>88</v>
      </c>
      <c r="AS21" s="979" t="s">
        <v>88</v>
      </c>
      <c r="AT21" s="684" t="s">
        <v>331</v>
      </c>
      <c r="AU21" s="684" t="s">
        <v>332</v>
      </c>
      <c r="AV21" s="684" t="s">
        <v>333</v>
      </c>
      <c r="AW21" s="685" t="s">
        <v>341</v>
      </c>
      <c r="AX21" s="685" t="s">
        <v>342</v>
      </c>
      <c r="AY21" s="684" t="s">
        <v>97</v>
      </c>
      <c r="AZ21" s="685" t="s">
        <v>121</v>
      </c>
      <c r="BA21" s="685" t="s">
        <v>343</v>
      </c>
      <c r="BB21" s="686">
        <v>45943</v>
      </c>
      <c r="BC21" s="685" t="s">
        <v>344</v>
      </c>
      <c r="BD21" s="685" t="s">
        <v>343</v>
      </c>
      <c r="BE21" s="686">
        <v>45946</v>
      </c>
      <c r="BF21" s="685" t="s">
        <v>157</v>
      </c>
      <c r="BG21" s="684" t="s">
        <v>97</v>
      </c>
      <c r="BH21" s="685" t="s">
        <v>345</v>
      </c>
      <c r="BI21" s="445" t="s">
        <v>88</v>
      </c>
      <c r="BJ21" s="445" t="s">
        <v>88</v>
      </c>
      <c r="BK21" s="445" t="s">
        <v>88</v>
      </c>
      <c r="BL21" s="668" t="s">
        <v>88</v>
      </c>
      <c r="BM21" s="445" t="s">
        <v>88</v>
      </c>
      <c r="BN21" s="445" t="s">
        <v>88</v>
      </c>
      <c r="BO21" s="445" t="s">
        <v>88</v>
      </c>
      <c r="BP21" s="445" t="s">
        <v>88</v>
      </c>
      <c r="BQ21" s="445" t="s">
        <v>88</v>
      </c>
      <c r="BR21" s="445" t="s">
        <v>88</v>
      </c>
      <c r="BS21" s="445" t="s">
        <v>88</v>
      </c>
      <c r="BT21" s="445" t="s">
        <v>88</v>
      </c>
      <c r="BU21" s="445" t="s">
        <v>88</v>
      </c>
      <c r="BV21" s="445" t="s">
        <v>88</v>
      </c>
      <c r="BW21" s="772"/>
      <c r="BX21" s="737"/>
      <c r="BY21" s="688">
        <v>0</v>
      </c>
      <c r="BZ21" s="445" t="s">
        <v>88</v>
      </c>
      <c r="CA21" s="445" t="s">
        <v>88</v>
      </c>
      <c r="CB21" s="445"/>
      <c r="CC21" s="445">
        <f>BW21+BX21+BY21</f>
        <v>0</v>
      </c>
      <c r="CD21" s="669" t="s">
        <v>88</v>
      </c>
      <c r="CE21" s="445" t="s">
        <v>88</v>
      </c>
      <c r="CF21" s="445" t="s">
        <v>346</v>
      </c>
      <c r="CG21" s="674" t="s">
        <v>347</v>
      </c>
      <c r="CH21" s="111" t="s">
        <v>88</v>
      </c>
    </row>
    <row r="22" spans="1:86" ht="21.5" hidden="1" customHeight="1">
      <c r="A22" s="998"/>
      <c r="B22" s="977"/>
      <c r="C22" s="977"/>
      <c r="D22" s="977"/>
      <c r="E22" s="978"/>
      <c r="F22" s="986" t="s">
        <v>88</v>
      </c>
      <c r="G22" s="977" t="s">
        <v>88</v>
      </c>
      <c r="H22" s="977" t="s">
        <v>88</v>
      </c>
      <c r="I22" s="987" t="s">
        <v>88</v>
      </c>
      <c r="J22" s="977" t="s">
        <v>88</v>
      </c>
      <c r="K22" s="977" t="s">
        <v>88</v>
      </c>
      <c r="L22" s="977" t="s">
        <v>88</v>
      </c>
      <c r="M22" s="977"/>
      <c r="N22" s="977" t="s">
        <v>88</v>
      </c>
      <c r="O22" s="977" t="s">
        <v>88</v>
      </c>
      <c r="P22" s="977" t="s">
        <v>88</v>
      </c>
      <c r="Q22" s="977" t="s">
        <v>88</v>
      </c>
      <c r="R22" s="977" t="s">
        <v>88</v>
      </c>
      <c r="S22" s="977" t="s">
        <v>88</v>
      </c>
      <c r="T22" s="974"/>
      <c r="U22" s="977" t="s">
        <v>88</v>
      </c>
      <c r="V22" s="973" t="s">
        <v>88</v>
      </c>
      <c r="W22" s="1020"/>
      <c r="X22" s="1020"/>
      <c r="Y22" s="1021"/>
      <c r="Z22" s="980" t="s">
        <v>88</v>
      </c>
      <c r="AA22" s="980" t="s">
        <v>88</v>
      </c>
      <c r="AB22" s="1021"/>
      <c r="AC22" s="980" t="s">
        <v>88</v>
      </c>
      <c r="AD22" s="980" t="s">
        <v>88</v>
      </c>
      <c r="AE22" s="1023"/>
      <c r="AF22" s="980" t="s">
        <v>88</v>
      </c>
      <c r="AG22" s="1024" t="s">
        <v>88</v>
      </c>
      <c r="AH22" s="980" t="s">
        <v>88</v>
      </c>
      <c r="AI22" s="980" t="s">
        <v>88</v>
      </c>
      <c r="AJ22" s="980" t="s">
        <v>88</v>
      </c>
      <c r="AK22" s="980" t="s">
        <v>88</v>
      </c>
      <c r="AL22" s="980" t="s">
        <v>88</v>
      </c>
      <c r="AM22" s="980" t="s">
        <v>88</v>
      </c>
      <c r="AN22" s="980" t="s">
        <v>88</v>
      </c>
      <c r="AO22" s="980" t="s">
        <v>88</v>
      </c>
      <c r="AP22" s="980" t="s">
        <v>88</v>
      </c>
      <c r="AQ22" s="980" t="s">
        <v>88</v>
      </c>
      <c r="AR22" s="980" t="s">
        <v>88</v>
      </c>
      <c r="AS22" s="980" t="s">
        <v>88</v>
      </c>
      <c r="AT22" s="684" t="s">
        <v>334</v>
      </c>
      <c r="AU22" s="684" t="s">
        <v>335</v>
      </c>
      <c r="AV22" s="684" t="s">
        <v>336</v>
      </c>
      <c r="AW22" s="685" t="s">
        <v>348</v>
      </c>
      <c r="AX22" s="685" t="s">
        <v>342</v>
      </c>
      <c r="AY22" s="684" t="s">
        <v>97</v>
      </c>
      <c r="AZ22" s="685" t="s">
        <v>121</v>
      </c>
      <c r="BA22" s="685" t="s">
        <v>343</v>
      </c>
      <c r="BB22" s="686">
        <v>45943</v>
      </c>
      <c r="BC22" s="685" t="s">
        <v>156</v>
      </c>
      <c r="BD22" s="685" t="s">
        <v>343</v>
      </c>
      <c r="BE22" s="686">
        <v>45946</v>
      </c>
      <c r="BF22" s="685" t="s">
        <v>157</v>
      </c>
      <c r="BG22" s="684" t="s">
        <v>97</v>
      </c>
      <c r="BH22" s="685" t="s">
        <v>349</v>
      </c>
      <c r="BI22" s="445" t="s">
        <v>88</v>
      </c>
      <c r="BJ22" s="445" t="s">
        <v>88</v>
      </c>
      <c r="BK22" s="445" t="s">
        <v>88</v>
      </c>
      <c r="BL22" s="668" t="s">
        <v>88</v>
      </c>
      <c r="BM22" s="445" t="s">
        <v>88</v>
      </c>
      <c r="BN22" s="445" t="s">
        <v>88</v>
      </c>
      <c r="BO22" s="445" t="s">
        <v>88</v>
      </c>
      <c r="BP22" s="445" t="s">
        <v>88</v>
      </c>
      <c r="BQ22" s="445" t="s">
        <v>88</v>
      </c>
      <c r="BR22" s="445" t="s">
        <v>88</v>
      </c>
      <c r="BS22" s="445" t="s">
        <v>88</v>
      </c>
      <c r="BT22" s="445" t="s">
        <v>88</v>
      </c>
      <c r="BU22" s="445" t="s">
        <v>88</v>
      </c>
      <c r="BV22" s="445" t="s">
        <v>88</v>
      </c>
      <c r="BW22" s="772"/>
      <c r="BX22" s="737"/>
      <c r="BY22" s="688">
        <v>0</v>
      </c>
      <c r="BZ22" s="445" t="s">
        <v>88</v>
      </c>
      <c r="CA22" s="445" t="s">
        <v>88</v>
      </c>
      <c r="CB22" s="445"/>
      <c r="CC22" s="445">
        <f>BW22+BX22+BY22</f>
        <v>0</v>
      </c>
      <c r="CD22" s="669" t="s">
        <v>88</v>
      </c>
      <c r="CE22" s="445" t="s">
        <v>88</v>
      </c>
      <c r="CF22" s="445" t="s">
        <v>346</v>
      </c>
      <c r="CG22" s="674" t="s">
        <v>347</v>
      </c>
      <c r="CH22" s="111" t="s">
        <v>88</v>
      </c>
    </row>
    <row r="23" spans="1:86" s="673" customFormat="1" ht="76.5" hidden="1" customHeight="1">
      <c r="A23" s="998"/>
      <c r="B23" s="977"/>
      <c r="C23" s="977"/>
      <c r="D23" s="977"/>
      <c r="E23" s="978"/>
      <c r="F23" s="986" t="s">
        <v>88</v>
      </c>
      <c r="G23" s="977" t="s">
        <v>88</v>
      </c>
      <c r="H23" s="977" t="s">
        <v>88</v>
      </c>
      <c r="I23" s="987" t="s">
        <v>88</v>
      </c>
      <c r="J23" s="977" t="s">
        <v>88</v>
      </c>
      <c r="K23" s="977" t="s">
        <v>88</v>
      </c>
      <c r="L23" s="977" t="s">
        <v>88</v>
      </c>
      <c r="M23" s="977"/>
      <c r="N23" s="977" t="s">
        <v>88</v>
      </c>
      <c r="O23" s="977" t="s">
        <v>88</v>
      </c>
      <c r="P23" s="977" t="s">
        <v>88</v>
      </c>
      <c r="Q23" s="977" t="s">
        <v>88</v>
      </c>
      <c r="R23" s="977" t="s">
        <v>88</v>
      </c>
      <c r="S23" s="977" t="s">
        <v>88</v>
      </c>
      <c r="T23" s="974"/>
      <c r="U23" s="977" t="s">
        <v>88</v>
      </c>
      <c r="V23" s="973" t="s">
        <v>88</v>
      </c>
      <c r="W23" s="1020"/>
      <c r="X23" s="1020"/>
      <c r="Y23" s="1021"/>
      <c r="Z23" s="980" t="s">
        <v>88</v>
      </c>
      <c r="AA23" s="980" t="s">
        <v>88</v>
      </c>
      <c r="AB23" s="1021"/>
      <c r="AC23" s="980" t="s">
        <v>88</v>
      </c>
      <c r="AD23" s="980" t="s">
        <v>88</v>
      </c>
      <c r="AE23" s="1023"/>
      <c r="AF23" s="980" t="s">
        <v>88</v>
      </c>
      <c r="AG23" s="1024" t="s">
        <v>88</v>
      </c>
      <c r="AH23" s="980" t="s">
        <v>88</v>
      </c>
      <c r="AI23" s="980" t="s">
        <v>88</v>
      </c>
      <c r="AJ23" s="980" t="s">
        <v>88</v>
      </c>
      <c r="AK23" s="980" t="s">
        <v>88</v>
      </c>
      <c r="AL23" s="980" t="s">
        <v>88</v>
      </c>
      <c r="AM23" s="980" t="s">
        <v>88</v>
      </c>
      <c r="AN23" s="980" t="s">
        <v>88</v>
      </c>
      <c r="AO23" s="980" t="s">
        <v>88</v>
      </c>
      <c r="AP23" s="980" t="s">
        <v>88</v>
      </c>
      <c r="AQ23" s="980" t="s">
        <v>88</v>
      </c>
      <c r="AR23" s="980" t="s">
        <v>88</v>
      </c>
      <c r="AS23" s="980" t="s">
        <v>88</v>
      </c>
      <c r="AT23" s="906" t="s">
        <v>350</v>
      </c>
      <c r="AU23" s="906" t="s">
        <v>351</v>
      </c>
      <c r="AV23" s="907" t="s">
        <v>352</v>
      </c>
      <c r="AW23" s="908">
        <v>36706339119</v>
      </c>
      <c r="AX23" s="908" t="s">
        <v>353</v>
      </c>
      <c r="AY23" s="906" t="s">
        <v>97</v>
      </c>
      <c r="AZ23" s="909" t="s">
        <v>121</v>
      </c>
      <c r="BA23" s="909" t="s">
        <v>343</v>
      </c>
      <c r="BB23" s="913">
        <v>45943</v>
      </c>
      <c r="BC23" s="912">
        <v>0.33333333333333331</v>
      </c>
      <c r="BD23" s="909" t="s">
        <v>343</v>
      </c>
      <c r="BE23" s="911">
        <v>45946</v>
      </c>
      <c r="BF23" s="912">
        <v>0.58333333333333337</v>
      </c>
      <c r="BG23" s="746" t="s">
        <v>354</v>
      </c>
      <c r="BH23" s="909" t="s">
        <v>355</v>
      </c>
      <c r="BI23" s="111" t="s">
        <v>88</v>
      </c>
      <c r="BJ23" s="111" t="s">
        <v>88</v>
      </c>
      <c r="BK23" s="111" t="s">
        <v>88</v>
      </c>
      <c r="BL23" s="219" t="s">
        <v>88</v>
      </c>
      <c r="BM23" s="111" t="s">
        <v>88</v>
      </c>
      <c r="BN23" s="111" t="s">
        <v>88</v>
      </c>
      <c r="BO23" s="111" t="s">
        <v>88</v>
      </c>
      <c r="BP23" s="111" t="s">
        <v>88</v>
      </c>
      <c r="BQ23" s="111" t="s">
        <v>88</v>
      </c>
      <c r="BR23" s="111" t="s">
        <v>88</v>
      </c>
      <c r="BS23" s="111" t="s">
        <v>88</v>
      </c>
      <c r="BT23" s="111" t="s">
        <v>88</v>
      </c>
      <c r="BU23" s="111" t="s">
        <v>88</v>
      </c>
      <c r="BV23" s="111" t="s">
        <v>88</v>
      </c>
      <c r="BW23" s="742"/>
      <c r="BX23" s="111"/>
      <c r="BY23" s="688">
        <v>0</v>
      </c>
      <c r="BZ23" s="111" t="s">
        <v>88</v>
      </c>
      <c r="CA23" s="111" t="s">
        <v>88</v>
      </c>
      <c r="CB23" s="111"/>
      <c r="CC23" s="111">
        <f>BW23+BX23+BY23</f>
        <v>0</v>
      </c>
      <c r="CD23" s="220" t="s">
        <v>88</v>
      </c>
      <c r="CE23" s="111" t="s">
        <v>88</v>
      </c>
      <c r="CF23" s="928" t="s">
        <v>356</v>
      </c>
      <c r="CG23" s="928"/>
      <c r="CH23" s="111" t="s">
        <v>88</v>
      </c>
    </row>
    <row r="24" spans="1:86" ht="21.5" customHeight="1">
      <c r="A24" s="988">
        <v>45945</v>
      </c>
      <c r="B24" s="977" t="s">
        <v>357</v>
      </c>
      <c r="C24" s="976">
        <v>45943</v>
      </c>
      <c r="D24" s="979">
        <v>45945</v>
      </c>
      <c r="E24" s="990">
        <v>2151</v>
      </c>
      <c r="F24" s="981" t="s">
        <v>358</v>
      </c>
      <c r="G24" s="979" t="s">
        <v>86</v>
      </c>
      <c r="H24" s="979" t="s">
        <v>87</v>
      </c>
      <c r="I24" s="985" t="s">
        <v>88</v>
      </c>
      <c r="J24" s="979" t="s">
        <v>89</v>
      </c>
      <c r="K24" s="979" t="s">
        <v>359</v>
      </c>
      <c r="L24" s="979" t="s">
        <v>360</v>
      </c>
      <c r="M24" s="979"/>
      <c r="N24" s="979" t="s">
        <v>361</v>
      </c>
      <c r="O24" s="979" t="s">
        <v>362</v>
      </c>
      <c r="P24" s="979" t="s">
        <v>363</v>
      </c>
      <c r="Q24" s="979" t="s">
        <v>364</v>
      </c>
      <c r="R24" s="979" t="s">
        <v>365</v>
      </c>
      <c r="S24" s="979" t="s">
        <v>251</v>
      </c>
      <c r="T24" s="1021" t="s">
        <v>98</v>
      </c>
      <c r="U24" s="979" t="s">
        <v>97</v>
      </c>
      <c r="V24" s="973">
        <v>3</v>
      </c>
      <c r="W24" s="979" t="s">
        <v>366</v>
      </c>
      <c r="X24" s="979" t="s">
        <v>367</v>
      </c>
      <c r="Y24" s="1021" t="s">
        <v>368</v>
      </c>
      <c r="Z24" s="979" t="s">
        <v>369</v>
      </c>
      <c r="AA24" s="979" t="s">
        <v>370</v>
      </c>
      <c r="AB24" s="970" t="s">
        <v>371</v>
      </c>
      <c r="AC24" s="979" t="s">
        <v>372</v>
      </c>
      <c r="AD24" s="979" t="s">
        <v>373</v>
      </c>
      <c r="AE24" s="970" t="s">
        <v>374</v>
      </c>
      <c r="AF24" s="979" t="s">
        <v>97</v>
      </c>
      <c r="AG24" s="1024">
        <v>3</v>
      </c>
      <c r="AH24" s="979" t="s">
        <v>375</v>
      </c>
      <c r="AI24" s="979" t="s">
        <v>367</v>
      </c>
      <c r="AJ24" s="979" t="s">
        <v>368</v>
      </c>
      <c r="AK24" s="979" t="s">
        <v>369</v>
      </c>
      <c r="AL24" s="979" t="s">
        <v>370</v>
      </c>
      <c r="AM24" s="979" t="s">
        <v>371</v>
      </c>
      <c r="AN24" s="979" t="s">
        <v>372</v>
      </c>
      <c r="AO24" s="979" t="s">
        <v>373</v>
      </c>
      <c r="AP24" s="979" t="s">
        <v>374</v>
      </c>
      <c r="AQ24" s="979" t="s">
        <v>376</v>
      </c>
      <c r="AR24" s="979" t="s">
        <v>118</v>
      </c>
      <c r="AS24" s="979" t="s">
        <v>377</v>
      </c>
      <c r="AT24" s="331" t="s">
        <v>366</v>
      </c>
      <c r="AU24" s="331" t="s">
        <v>367</v>
      </c>
      <c r="AV24" s="331" t="s">
        <v>368</v>
      </c>
      <c r="AW24" s="332">
        <v>34636244484</v>
      </c>
      <c r="AX24" s="331" t="s">
        <v>378</v>
      </c>
      <c r="AY24" s="331" t="s">
        <v>97</v>
      </c>
      <c r="AZ24" s="331" t="s">
        <v>121</v>
      </c>
      <c r="BA24" s="331" t="s">
        <v>379</v>
      </c>
      <c r="BB24" s="333">
        <v>45943</v>
      </c>
      <c r="BC24" s="331">
        <v>17.3</v>
      </c>
      <c r="BD24" s="331" t="s">
        <v>379</v>
      </c>
      <c r="BE24" s="333">
        <v>45946</v>
      </c>
      <c r="BF24" s="331">
        <v>21.15</v>
      </c>
      <c r="BG24" s="331" t="s">
        <v>97</v>
      </c>
      <c r="BH24" s="331" t="s">
        <v>380</v>
      </c>
      <c r="BI24" s="132" t="s">
        <v>98</v>
      </c>
      <c r="BJ24" s="111" t="s">
        <v>88</v>
      </c>
      <c r="BK24" s="111" t="s">
        <v>88</v>
      </c>
      <c r="BL24" s="219" t="s">
        <v>88</v>
      </c>
      <c r="BM24" s="111" t="s">
        <v>379</v>
      </c>
      <c r="BN24" s="29" t="s">
        <v>126</v>
      </c>
      <c r="BO24" s="111" t="s">
        <v>88</v>
      </c>
      <c r="BP24" s="111" t="s">
        <v>88</v>
      </c>
      <c r="BQ24" s="111" t="s">
        <v>88</v>
      </c>
      <c r="BR24" s="111" t="s">
        <v>379</v>
      </c>
      <c r="BS24" s="111" t="s">
        <v>88</v>
      </c>
      <c r="BT24" s="111" t="s">
        <v>88</v>
      </c>
      <c r="BU24" s="111" t="s">
        <v>88</v>
      </c>
      <c r="BV24" s="111" t="s">
        <v>88</v>
      </c>
      <c r="BW24" s="772"/>
      <c r="BX24" s="737"/>
      <c r="BY24" s="111"/>
      <c r="BZ24" s="111" t="s">
        <v>88</v>
      </c>
      <c r="CA24" s="111" t="s">
        <v>88</v>
      </c>
      <c r="CB24" s="111"/>
      <c r="CC24" s="111" t="s">
        <v>88</v>
      </c>
      <c r="CD24" s="220" t="s">
        <v>88</v>
      </c>
      <c r="CE24" s="111" t="s">
        <v>88</v>
      </c>
      <c r="CF24" s="391" t="s">
        <v>381</v>
      </c>
      <c r="CG24" s="927" t="s">
        <v>88</v>
      </c>
      <c r="CH24" s="111" t="s">
        <v>88</v>
      </c>
    </row>
    <row r="25" spans="1:86" ht="21.5" hidden="1" customHeight="1">
      <c r="A25" s="989"/>
      <c r="B25" s="977"/>
      <c r="C25" s="977"/>
      <c r="D25" s="980" t="s">
        <v>88</v>
      </c>
      <c r="E25" s="990"/>
      <c r="F25" s="982" t="s">
        <v>88</v>
      </c>
      <c r="G25" s="980" t="s">
        <v>88</v>
      </c>
      <c r="H25" s="980" t="s">
        <v>88</v>
      </c>
      <c r="I25" s="985" t="s">
        <v>88</v>
      </c>
      <c r="J25" s="980" t="s">
        <v>88</v>
      </c>
      <c r="K25" s="980" t="s">
        <v>88</v>
      </c>
      <c r="L25" s="980" t="s">
        <v>88</v>
      </c>
      <c r="M25" s="980"/>
      <c r="N25" s="980" t="s">
        <v>88</v>
      </c>
      <c r="O25" s="980" t="s">
        <v>88</v>
      </c>
      <c r="P25" s="980" t="s">
        <v>88</v>
      </c>
      <c r="Q25" s="980" t="s">
        <v>88</v>
      </c>
      <c r="R25" s="980" t="s">
        <v>88</v>
      </c>
      <c r="S25" s="980" t="s">
        <v>88</v>
      </c>
      <c r="T25" s="1021"/>
      <c r="U25" s="980" t="s">
        <v>88</v>
      </c>
      <c r="V25" s="973" t="s">
        <v>88</v>
      </c>
      <c r="W25" s="980" t="s">
        <v>88</v>
      </c>
      <c r="X25" s="980" t="s">
        <v>88</v>
      </c>
      <c r="Y25" s="1021"/>
      <c r="Z25" s="980" t="s">
        <v>88</v>
      </c>
      <c r="AA25" s="980" t="s">
        <v>88</v>
      </c>
      <c r="AB25" s="970"/>
      <c r="AC25" s="980" t="s">
        <v>88</v>
      </c>
      <c r="AD25" s="980" t="s">
        <v>88</v>
      </c>
      <c r="AE25" s="970"/>
      <c r="AF25" s="980" t="s">
        <v>88</v>
      </c>
      <c r="AG25" s="1024" t="s">
        <v>88</v>
      </c>
      <c r="AH25" s="980" t="s">
        <v>88</v>
      </c>
      <c r="AI25" s="980" t="s">
        <v>88</v>
      </c>
      <c r="AJ25" s="980" t="s">
        <v>88</v>
      </c>
      <c r="AK25" s="980" t="s">
        <v>88</v>
      </c>
      <c r="AL25" s="980" t="s">
        <v>88</v>
      </c>
      <c r="AM25" s="980" t="s">
        <v>88</v>
      </c>
      <c r="AN25" s="980" t="s">
        <v>88</v>
      </c>
      <c r="AO25" s="980" t="s">
        <v>88</v>
      </c>
      <c r="AP25" s="980" t="s">
        <v>88</v>
      </c>
      <c r="AQ25" s="980" t="s">
        <v>88</v>
      </c>
      <c r="AR25" s="980" t="s">
        <v>88</v>
      </c>
      <c r="AS25" s="980" t="s">
        <v>88</v>
      </c>
      <c r="AT25" s="331" t="s">
        <v>369</v>
      </c>
      <c r="AU25" s="331" t="s">
        <v>370</v>
      </c>
      <c r="AV25" s="331" t="s">
        <v>371</v>
      </c>
      <c r="AW25" s="336">
        <v>393382219275</v>
      </c>
      <c r="AX25" s="337" t="s">
        <v>382</v>
      </c>
      <c r="AY25" s="331" t="s">
        <v>97</v>
      </c>
      <c r="AZ25" s="337" t="s">
        <v>121</v>
      </c>
      <c r="BA25" s="337" t="s">
        <v>383</v>
      </c>
      <c r="BB25" s="333">
        <v>45943</v>
      </c>
      <c r="BC25" s="339">
        <v>0.60416666666666663</v>
      </c>
      <c r="BD25" s="337" t="s">
        <v>384</v>
      </c>
      <c r="BE25" s="333">
        <v>45945</v>
      </c>
      <c r="BF25" s="339">
        <v>0.66666666666666663</v>
      </c>
      <c r="BG25" s="331" t="s">
        <v>97</v>
      </c>
      <c r="BH25" s="331" t="s">
        <v>385</v>
      </c>
      <c r="BI25" s="132" t="s">
        <v>98</v>
      </c>
      <c r="BJ25" s="132" t="s">
        <v>98</v>
      </c>
      <c r="BK25" s="132" t="s">
        <v>98</v>
      </c>
      <c r="BL25" s="667" t="s">
        <v>98</v>
      </c>
      <c r="BM25" s="657" t="s">
        <v>383</v>
      </c>
      <c r="BN25" s="29" t="s">
        <v>126</v>
      </c>
      <c r="BO25" s="658">
        <v>45943</v>
      </c>
      <c r="BP25" s="659">
        <v>0.77083333333333337</v>
      </c>
      <c r="BQ25" s="660" t="s">
        <v>386</v>
      </c>
      <c r="BR25" s="657" t="s">
        <v>383</v>
      </c>
      <c r="BS25" s="658">
        <v>45945</v>
      </c>
      <c r="BT25" s="659">
        <v>0.66666666666666663</v>
      </c>
      <c r="BU25" s="660" t="s">
        <v>387</v>
      </c>
      <c r="BV25" s="661">
        <v>398.2</v>
      </c>
      <c r="BW25" s="741">
        <v>1</v>
      </c>
      <c r="BX25" s="132">
        <v>1</v>
      </c>
      <c r="BY25" s="111"/>
      <c r="BZ25" s="483">
        <v>45943</v>
      </c>
      <c r="CA25" s="483">
        <v>45945</v>
      </c>
      <c r="CB25" s="483"/>
      <c r="CC25" s="111">
        <f>BW25+BX25+BY25</f>
        <v>2</v>
      </c>
      <c r="CD25" s="220" t="s">
        <v>88</v>
      </c>
      <c r="CE25" s="111" t="s">
        <v>88</v>
      </c>
      <c r="CF25" s="111" t="s">
        <v>88</v>
      </c>
      <c r="CG25" s="111" t="s">
        <v>88</v>
      </c>
      <c r="CH25" s="111" t="s">
        <v>88</v>
      </c>
    </row>
    <row r="26" spans="1:86" ht="21.5" hidden="1" customHeight="1">
      <c r="A26" s="989"/>
      <c r="B26" s="977"/>
      <c r="C26" s="977"/>
      <c r="D26" s="980" t="s">
        <v>88</v>
      </c>
      <c r="E26" s="990"/>
      <c r="F26" s="982" t="s">
        <v>88</v>
      </c>
      <c r="G26" s="980" t="s">
        <v>88</v>
      </c>
      <c r="H26" s="980" t="s">
        <v>88</v>
      </c>
      <c r="I26" s="985" t="s">
        <v>88</v>
      </c>
      <c r="J26" s="980" t="s">
        <v>88</v>
      </c>
      <c r="K26" s="980" t="s">
        <v>88</v>
      </c>
      <c r="L26" s="980" t="s">
        <v>88</v>
      </c>
      <c r="M26" s="980"/>
      <c r="N26" s="980" t="s">
        <v>88</v>
      </c>
      <c r="O26" s="980" t="s">
        <v>88</v>
      </c>
      <c r="P26" s="980" t="s">
        <v>88</v>
      </c>
      <c r="Q26" s="980" t="s">
        <v>88</v>
      </c>
      <c r="R26" s="980" t="s">
        <v>88</v>
      </c>
      <c r="S26" s="980" t="s">
        <v>88</v>
      </c>
      <c r="T26" s="1021"/>
      <c r="U26" s="980" t="s">
        <v>88</v>
      </c>
      <c r="V26" s="973" t="s">
        <v>88</v>
      </c>
      <c r="W26" s="980" t="s">
        <v>88</v>
      </c>
      <c r="X26" s="980" t="s">
        <v>88</v>
      </c>
      <c r="Y26" s="1021"/>
      <c r="Z26" s="980" t="s">
        <v>88</v>
      </c>
      <c r="AA26" s="980" t="s">
        <v>88</v>
      </c>
      <c r="AB26" s="970"/>
      <c r="AC26" s="980" t="s">
        <v>88</v>
      </c>
      <c r="AD26" s="980" t="s">
        <v>88</v>
      </c>
      <c r="AE26" s="970"/>
      <c r="AF26" s="980" t="s">
        <v>88</v>
      </c>
      <c r="AG26" s="1024" t="s">
        <v>88</v>
      </c>
      <c r="AH26" s="980" t="s">
        <v>88</v>
      </c>
      <c r="AI26" s="980" t="s">
        <v>88</v>
      </c>
      <c r="AJ26" s="980" t="s">
        <v>88</v>
      </c>
      <c r="AK26" s="980" t="s">
        <v>88</v>
      </c>
      <c r="AL26" s="980" t="s">
        <v>88</v>
      </c>
      <c r="AM26" s="980" t="s">
        <v>88</v>
      </c>
      <c r="AN26" s="980" t="s">
        <v>88</v>
      </c>
      <c r="AO26" s="980" t="s">
        <v>88</v>
      </c>
      <c r="AP26" s="980" t="s">
        <v>88</v>
      </c>
      <c r="AQ26" s="980" t="s">
        <v>88</v>
      </c>
      <c r="AR26" s="980" t="s">
        <v>88</v>
      </c>
      <c r="AS26" s="980" t="s">
        <v>88</v>
      </c>
      <c r="AT26" s="331" t="s">
        <v>372</v>
      </c>
      <c r="AU26" s="331" t="s">
        <v>388</v>
      </c>
      <c r="AV26" s="331" t="s">
        <v>374</v>
      </c>
      <c r="AW26" s="332">
        <v>46730452338</v>
      </c>
      <c r="AX26" s="331" t="s">
        <v>389</v>
      </c>
      <c r="AY26" s="331" t="s">
        <v>97</v>
      </c>
      <c r="AZ26" s="331" t="s">
        <v>121</v>
      </c>
      <c r="BA26" s="331" t="s">
        <v>390</v>
      </c>
      <c r="BB26" s="333">
        <v>45943</v>
      </c>
      <c r="BC26" s="342">
        <v>0.5</v>
      </c>
      <c r="BD26" s="331" t="s">
        <v>390</v>
      </c>
      <c r="BE26" s="333">
        <v>45945</v>
      </c>
      <c r="BF26" s="342">
        <v>0.75</v>
      </c>
      <c r="BG26" s="331" t="s">
        <v>97</v>
      </c>
      <c r="BH26" s="331" t="s">
        <v>88</v>
      </c>
      <c r="BI26" s="132" t="s">
        <v>98</v>
      </c>
      <c r="BJ26" s="132" t="s">
        <v>98</v>
      </c>
      <c r="BK26" s="132" t="s">
        <v>98</v>
      </c>
      <c r="BL26" s="667" t="s">
        <v>98</v>
      </c>
      <c r="BM26" s="111" t="s">
        <v>391</v>
      </c>
      <c r="BN26" s="29" t="s">
        <v>126</v>
      </c>
      <c r="BO26" s="658">
        <v>45943</v>
      </c>
      <c r="BP26" s="692">
        <v>0.53472222222222221</v>
      </c>
      <c r="BQ26" s="111" t="s">
        <v>392</v>
      </c>
      <c r="BR26" s="111" t="s">
        <v>391</v>
      </c>
      <c r="BS26" s="658">
        <v>45945</v>
      </c>
      <c r="BT26" s="692">
        <v>0.82986111111111116</v>
      </c>
      <c r="BU26" s="111" t="s">
        <v>393</v>
      </c>
      <c r="BV26" s="804">
        <v>388.93</v>
      </c>
      <c r="BW26" s="741">
        <v>1</v>
      </c>
      <c r="BX26" s="132">
        <v>1</v>
      </c>
      <c r="BY26" s="111"/>
      <c r="BZ26" s="483">
        <v>45943</v>
      </c>
      <c r="CA26" s="483">
        <v>45945</v>
      </c>
      <c r="CB26" s="111"/>
      <c r="CC26" s="111">
        <f>BW26+BX26+BY26</f>
        <v>2</v>
      </c>
      <c r="CD26" s="220" t="s">
        <v>88</v>
      </c>
      <c r="CE26" s="111" t="s">
        <v>88</v>
      </c>
      <c r="CF26" s="111" t="s">
        <v>88</v>
      </c>
      <c r="CG26" s="111" t="s">
        <v>88</v>
      </c>
      <c r="CH26" s="111" t="s">
        <v>88</v>
      </c>
    </row>
    <row r="27" spans="1:86" ht="59.5" customHeight="1">
      <c r="A27" s="236">
        <v>45944</v>
      </c>
      <c r="B27" s="237" t="s">
        <v>242</v>
      </c>
      <c r="C27" s="238">
        <v>45943</v>
      </c>
      <c r="D27" s="238">
        <v>45945</v>
      </c>
      <c r="E27" s="239">
        <v>2155</v>
      </c>
      <c r="F27" s="240" t="s">
        <v>394</v>
      </c>
      <c r="G27" s="237" t="s">
        <v>167</v>
      </c>
      <c r="H27" s="237" t="s">
        <v>102</v>
      </c>
      <c r="I27" s="241" t="s">
        <v>88</v>
      </c>
      <c r="J27" s="237" t="s">
        <v>89</v>
      </c>
      <c r="K27" s="237" t="s">
        <v>395</v>
      </c>
      <c r="L27" s="237" t="s">
        <v>189</v>
      </c>
      <c r="M27" s="237" t="s">
        <v>88</v>
      </c>
      <c r="N27" s="237" t="s">
        <v>396</v>
      </c>
      <c r="O27" s="286" t="s">
        <v>397</v>
      </c>
      <c r="P27" s="237" t="s">
        <v>192</v>
      </c>
      <c r="Q27" s="237" t="s">
        <v>398</v>
      </c>
      <c r="R27" s="237" t="s">
        <v>399</v>
      </c>
      <c r="S27" s="247" t="s">
        <v>110</v>
      </c>
      <c r="T27" s="245" t="s">
        <v>98</v>
      </c>
      <c r="U27" s="247" t="s">
        <v>97</v>
      </c>
      <c r="V27" s="243">
        <v>1</v>
      </c>
      <c r="W27" s="247" t="s">
        <v>400</v>
      </c>
      <c r="X27" s="247" t="s">
        <v>401</v>
      </c>
      <c r="Y27" s="114" t="s">
        <v>402</v>
      </c>
      <c r="Z27" s="247" t="s">
        <v>88</v>
      </c>
      <c r="AA27" s="247" t="s">
        <v>88</v>
      </c>
      <c r="AB27" s="247" t="s">
        <v>88</v>
      </c>
      <c r="AC27" s="247" t="s">
        <v>88</v>
      </c>
      <c r="AD27" s="247" t="s">
        <v>88</v>
      </c>
      <c r="AE27" s="247" t="s">
        <v>88</v>
      </c>
      <c r="AF27" s="247" t="s">
        <v>97</v>
      </c>
      <c r="AG27" s="244">
        <v>1</v>
      </c>
      <c r="AH27" s="247" t="s">
        <v>400</v>
      </c>
      <c r="AI27" s="247" t="s">
        <v>401</v>
      </c>
      <c r="AJ27" s="286" t="s">
        <v>402</v>
      </c>
      <c r="AK27" s="111" t="s">
        <v>88</v>
      </c>
      <c r="AL27" s="111" t="s">
        <v>88</v>
      </c>
      <c r="AM27" s="111" t="s">
        <v>88</v>
      </c>
      <c r="AN27" s="111" t="s">
        <v>88</v>
      </c>
      <c r="AO27" s="111" t="s">
        <v>88</v>
      </c>
      <c r="AP27" s="111" t="s">
        <v>88</v>
      </c>
      <c r="AQ27" s="247" t="s">
        <v>403</v>
      </c>
      <c r="AR27" s="111" t="s">
        <v>88</v>
      </c>
      <c r="AS27" s="111" t="s">
        <v>88</v>
      </c>
      <c r="AT27" s="331" t="s">
        <v>400</v>
      </c>
      <c r="AU27" s="331" t="s">
        <v>401</v>
      </c>
      <c r="AV27" s="331" t="s">
        <v>402</v>
      </c>
      <c r="AW27" s="340" t="s">
        <v>404</v>
      </c>
      <c r="AX27" s="331" t="s">
        <v>405</v>
      </c>
      <c r="AY27" s="331" t="s">
        <v>97</v>
      </c>
      <c r="AZ27" s="331" t="s">
        <v>121</v>
      </c>
      <c r="BA27" s="331" t="s">
        <v>406</v>
      </c>
      <c r="BB27" s="333">
        <v>45943</v>
      </c>
      <c r="BC27" s="331" t="s">
        <v>407</v>
      </c>
      <c r="BD27" s="331" t="s">
        <v>408</v>
      </c>
      <c r="BE27" s="333">
        <v>45945</v>
      </c>
      <c r="BF27" s="331"/>
      <c r="BG27" s="331" t="s">
        <v>97</v>
      </c>
      <c r="BH27" s="331" t="s">
        <v>409</v>
      </c>
      <c r="BI27" s="132" t="s">
        <v>98</v>
      </c>
      <c r="BJ27" s="132" t="s">
        <v>98</v>
      </c>
      <c r="BK27" s="132" t="s">
        <v>98</v>
      </c>
      <c r="BL27" s="667" t="s">
        <v>98</v>
      </c>
      <c r="BM27" s="111" t="s">
        <v>406</v>
      </c>
      <c r="BN27" s="29" t="s">
        <v>126</v>
      </c>
      <c r="BO27" s="658">
        <v>45943</v>
      </c>
      <c r="BP27" s="659">
        <v>0.77083333333333337</v>
      </c>
      <c r="BQ27" s="660" t="s">
        <v>386</v>
      </c>
      <c r="BR27" s="111" t="s">
        <v>406</v>
      </c>
      <c r="BT27" s="659">
        <v>0.78819444444444442</v>
      </c>
      <c r="BU27" s="660" t="s">
        <v>410</v>
      </c>
      <c r="BV27" s="661">
        <v>412.96</v>
      </c>
      <c r="BW27" s="741">
        <v>1</v>
      </c>
      <c r="BX27" s="132">
        <v>1</v>
      </c>
      <c r="BY27" s="111"/>
      <c r="BZ27" s="483">
        <v>45943</v>
      </c>
      <c r="CA27" s="483">
        <v>45945</v>
      </c>
      <c r="CB27" s="483"/>
      <c r="CC27" s="111">
        <f>BW27+BX27+BY27</f>
        <v>2</v>
      </c>
      <c r="CD27" s="220" t="s">
        <v>88</v>
      </c>
      <c r="CE27" s="111" t="s">
        <v>88</v>
      </c>
      <c r="CF27" s="111" t="s">
        <v>88</v>
      </c>
      <c r="CG27" s="111" t="s">
        <v>88</v>
      </c>
      <c r="CH27" s="111" t="s">
        <v>88</v>
      </c>
    </row>
    <row r="28" spans="1:86" ht="36" customHeight="1">
      <c r="A28" s="377">
        <v>45944</v>
      </c>
      <c r="B28" s="237" t="s">
        <v>100</v>
      </c>
      <c r="C28" s="238">
        <v>45943</v>
      </c>
      <c r="D28" s="238">
        <v>45945</v>
      </c>
      <c r="E28" s="239">
        <v>2158</v>
      </c>
      <c r="F28" s="252" t="s">
        <v>411</v>
      </c>
      <c r="G28" s="237" t="s">
        <v>135</v>
      </c>
      <c r="H28" s="237" t="s">
        <v>102</v>
      </c>
      <c r="I28" s="241" t="s">
        <v>88</v>
      </c>
      <c r="J28" s="237" t="s">
        <v>89</v>
      </c>
      <c r="K28" s="237" t="s">
        <v>412</v>
      </c>
      <c r="L28" s="237" t="s">
        <v>104</v>
      </c>
      <c r="M28" s="237" t="s">
        <v>88</v>
      </c>
      <c r="N28" s="237" t="s">
        <v>413</v>
      </c>
      <c r="O28" s="237" t="s">
        <v>414</v>
      </c>
      <c r="P28" s="237" t="s">
        <v>192</v>
      </c>
      <c r="Q28" s="237" t="s">
        <v>415</v>
      </c>
      <c r="R28" s="237" t="s">
        <v>416</v>
      </c>
      <c r="S28" s="111" t="s">
        <v>251</v>
      </c>
      <c r="T28" s="245" t="s">
        <v>98</v>
      </c>
      <c r="U28" s="111" t="s">
        <v>88</v>
      </c>
      <c r="V28" s="243">
        <v>1</v>
      </c>
      <c r="W28" s="111" t="s">
        <v>417</v>
      </c>
      <c r="X28" s="111" t="s">
        <v>418</v>
      </c>
      <c r="Y28" s="285" t="s">
        <v>419</v>
      </c>
      <c r="Z28" s="111" t="s">
        <v>88</v>
      </c>
      <c r="AA28" s="111" t="s">
        <v>88</v>
      </c>
      <c r="AB28" s="111" t="s">
        <v>88</v>
      </c>
      <c r="AC28" s="111" t="s">
        <v>88</v>
      </c>
      <c r="AD28" s="111" t="s">
        <v>88</v>
      </c>
      <c r="AE28" s="111" t="s">
        <v>88</v>
      </c>
      <c r="AF28" s="111" t="s">
        <v>97</v>
      </c>
      <c r="AG28" s="244">
        <v>1</v>
      </c>
      <c r="AH28" s="111" t="s">
        <v>417</v>
      </c>
      <c r="AI28" s="111" t="s">
        <v>418</v>
      </c>
      <c r="AJ28" s="286" t="s">
        <v>419</v>
      </c>
      <c r="AK28" s="111" t="s">
        <v>88</v>
      </c>
      <c r="AL28" s="111" t="s">
        <v>88</v>
      </c>
      <c r="AM28" s="111" t="s">
        <v>88</v>
      </c>
      <c r="AN28" s="111" t="s">
        <v>88</v>
      </c>
      <c r="AO28" s="111" t="s">
        <v>88</v>
      </c>
      <c r="AP28" s="111" t="s">
        <v>88</v>
      </c>
      <c r="AQ28" s="111" t="s">
        <v>88</v>
      </c>
      <c r="AR28" s="111" t="s">
        <v>88</v>
      </c>
      <c r="AS28" s="111" t="s">
        <v>420</v>
      </c>
      <c r="AT28" s="456" t="s">
        <v>417</v>
      </c>
      <c r="AU28" s="456" t="s">
        <v>418</v>
      </c>
      <c r="AV28" s="457" t="s">
        <v>419</v>
      </c>
      <c r="AW28" s="434">
        <v>685483996</v>
      </c>
      <c r="AX28" s="434" t="s">
        <v>421</v>
      </c>
      <c r="AY28" s="331" t="s">
        <v>97</v>
      </c>
      <c r="AZ28" s="434" t="s">
        <v>154</v>
      </c>
      <c r="BA28" s="434" t="s">
        <v>422</v>
      </c>
      <c r="BB28" s="438">
        <v>45943</v>
      </c>
      <c r="BC28" s="434" t="s">
        <v>423</v>
      </c>
      <c r="BD28" s="434" t="s">
        <v>422</v>
      </c>
      <c r="BE28" s="438">
        <v>45945</v>
      </c>
      <c r="BF28" s="434">
        <v>17.16</v>
      </c>
      <c r="BG28" s="331" t="s">
        <v>88</v>
      </c>
      <c r="BH28" s="434" t="s">
        <v>424</v>
      </c>
      <c r="BI28" s="132" t="s">
        <v>98</v>
      </c>
      <c r="BJ28" s="111" t="s">
        <v>88</v>
      </c>
      <c r="BK28" s="111" t="s">
        <v>88</v>
      </c>
      <c r="BL28" s="219" t="s">
        <v>88</v>
      </c>
      <c r="BM28" s="656" t="s">
        <v>422</v>
      </c>
      <c r="BN28" s="111" t="s">
        <v>425</v>
      </c>
      <c r="BO28" s="111" t="s">
        <v>88</v>
      </c>
      <c r="BP28" s="111" t="s">
        <v>88</v>
      </c>
      <c r="BQ28" s="111" t="s">
        <v>88</v>
      </c>
      <c r="BR28" s="656" t="s">
        <v>422</v>
      </c>
      <c r="BS28" s="111" t="s">
        <v>88</v>
      </c>
      <c r="BT28" s="111" t="s">
        <v>88</v>
      </c>
      <c r="BU28" s="111" t="s">
        <v>88</v>
      </c>
      <c r="BV28" s="111" t="s">
        <v>88</v>
      </c>
      <c r="BW28" s="772"/>
      <c r="BX28" s="737"/>
      <c r="BY28" s="111"/>
      <c r="BZ28" s="111" t="s">
        <v>88</v>
      </c>
      <c r="CA28" s="111" t="s">
        <v>88</v>
      </c>
      <c r="CB28" s="111"/>
      <c r="CC28" s="111" t="s">
        <v>88</v>
      </c>
      <c r="CD28" s="220" t="s">
        <v>88</v>
      </c>
      <c r="CE28" s="111" t="s">
        <v>88</v>
      </c>
      <c r="CF28" s="111" t="s">
        <v>88</v>
      </c>
      <c r="CG28" s="111" t="s">
        <v>88</v>
      </c>
      <c r="CH28" s="111" t="s">
        <v>88</v>
      </c>
    </row>
    <row r="29" spans="1:86" ht="21.5" customHeight="1">
      <c r="A29" s="997">
        <v>45945</v>
      </c>
      <c r="B29" s="977" t="s">
        <v>206</v>
      </c>
      <c r="C29" s="976">
        <v>45945</v>
      </c>
      <c r="D29" s="976">
        <v>45946</v>
      </c>
      <c r="E29" s="990">
        <v>2192</v>
      </c>
      <c r="F29" s="981" t="s">
        <v>426</v>
      </c>
      <c r="G29" s="979" t="s">
        <v>135</v>
      </c>
      <c r="H29" s="979" t="s">
        <v>87</v>
      </c>
      <c r="I29" s="985">
        <v>219224972658</v>
      </c>
      <c r="J29" s="979" t="s">
        <v>97</v>
      </c>
      <c r="K29" s="979" t="s">
        <v>427</v>
      </c>
      <c r="L29" s="979" t="s">
        <v>428</v>
      </c>
      <c r="M29" s="979" t="s">
        <v>88</v>
      </c>
      <c r="N29" s="979" t="s">
        <v>429</v>
      </c>
      <c r="O29" s="979" t="s">
        <v>430</v>
      </c>
      <c r="P29" s="979" t="s">
        <v>431</v>
      </c>
      <c r="Q29" s="979" t="s">
        <v>432</v>
      </c>
      <c r="R29" s="979" t="s">
        <v>433</v>
      </c>
      <c r="S29" s="979" t="s">
        <v>110</v>
      </c>
      <c r="T29" s="1021" t="s">
        <v>98</v>
      </c>
      <c r="U29" s="979" t="s">
        <v>97</v>
      </c>
      <c r="V29" s="973">
        <v>2</v>
      </c>
      <c r="W29" s="979" t="s">
        <v>434</v>
      </c>
      <c r="X29" s="979" t="s">
        <v>435</v>
      </c>
      <c r="Y29" s="1021" t="s">
        <v>436</v>
      </c>
      <c r="Z29" s="979" t="s">
        <v>437</v>
      </c>
      <c r="AA29" s="979" t="s">
        <v>438</v>
      </c>
      <c r="AB29" s="1021" t="s">
        <v>439</v>
      </c>
      <c r="AC29" s="979" t="s">
        <v>88</v>
      </c>
      <c r="AD29" s="979" t="s">
        <v>88</v>
      </c>
      <c r="AE29" s="979" t="s">
        <v>88</v>
      </c>
      <c r="AF29" s="979" t="s">
        <v>97</v>
      </c>
      <c r="AG29" s="1024">
        <v>2</v>
      </c>
      <c r="AH29" s="979" t="s">
        <v>434</v>
      </c>
      <c r="AI29" s="979" t="s">
        <v>435</v>
      </c>
      <c r="AJ29" s="979" t="s">
        <v>436</v>
      </c>
      <c r="AK29" s="979" t="s">
        <v>437</v>
      </c>
      <c r="AL29" s="979" t="s">
        <v>438</v>
      </c>
      <c r="AM29" s="979" t="s">
        <v>439</v>
      </c>
      <c r="AN29" s="979" t="s">
        <v>88</v>
      </c>
      <c r="AO29" s="979" t="s">
        <v>88</v>
      </c>
      <c r="AP29" s="979" t="s">
        <v>88</v>
      </c>
      <c r="AQ29" s="979" t="s">
        <v>376</v>
      </c>
      <c r="AR29" s="979" t="s">
        <v>88</v>
      </c>
      <c r="AS29" s="979" t="s">
        <v>440</v>
      </c>
      <c r="AT29" s="331" t="s">
        <v>434</v>
      </c>
      <c r="AU29" s="331" t="s">
        <v>435</v>
      </c>
      <c r="AV29" s="343" t="s">
        <v>436</v>
      </c>
      <c r="AW29" s="340" t="s">
        <v>441</v>
      </c>
      <c r="AX29" s="340" t="s">
        <v>442</v>
      </c>
      <c r="AY29" s="331" t="s">
        <v>97</v>
      </c>
      <c r="AZ29" s="340" t="s">
        <v>121</v>
      </c>
      <c r="BA29" s="340" t="s">
        <v>443</v>
      </c>
      <c r="BB29" s="677">
        <v>45943</v>
      </c>
      <c r="BC29" s="340" t="s">
        <v>444</v>
      </c>
      <c r="BD29" s="340" t="s">
        <v>443</v>
      </c>
      <c r="BE29" s="333">
        <v>45946</v>
      </c>
      <c r="BF29" s="340" t="s">
        <v>445</v>
      </c>
      <c r="BG29" s="331" t="s">
        <v>97</v>
      </c>
      <c r="BH29" s="340" t="s">
        <v>446</v>
      </c>
      <c r="BI29" s="132" t="s">
        <v>98</v>
      </c>
      <c r="BJ29" s="111"/>
      <c r="BK29" s="111" t="s">
        <v>88</v>
      </c>
      <c r="BL29" s="219" t="s">
        <v>88</v>
      </c>
      <c r="BM29" s="519" t="s">
        <v>443</v>
      </c>
      <c r="BN29" s="29" t="s">
        <v>126</v>
      </c>
      <c r="BO29" s="111" t="s">
        <v>88</v>
      </c>
      <c r="BP29" s="111" t="s">
        <v>88</v>
      </c>
      <c r="BQ29" s="111" t="s">
        <v>88</v>
      </c>
      <c r="BR29" s="519" t="s">
        <v>443</v>
      </c>
      <c r="BS29" s="111" t="s">
        <v>88</v>
      </c>
      <c r="BT29" s="111" t="s">
        <v>88</v>
      </c>
      <c r="BU29" s="111" t="s">
        <v>88</v>
      </c>
      <c r="BV29" s="111" t="s">
        <v>88</v>
      </c>
      <c r="BW29" s="772"/>
      <c r="BX29" s="737"/>
      <c r="BY29" s="737"/>
      <c r="BZ29" s="111" t="s">
        <v>88</v>
      </c>
      <c r="CA29" s="111" t="s">
        <v>88</v>
      </c>
      <c r="CB29" s="111"/>
      <c r="CC29" s="111" t="s">
        <v>88</v>
      </c>
      <c r="CD29" s="220" t="s">
        <v>88</v>
      </c>
      <c r="CE29" s="111" t="s">
        <v>88</v>
      </c>
      <c r="CF29" s="447" t="s">
        <v>447</v>
      </c>
      <c r="CG29" s="445" t="s">
        <v>448</v>
      </c>
      <c r="CH29" s="111" t="s">
        <v>88</v>
      </c>
    </row>
    <row r="30" spans="1:86" ht="21.5" hidden="1" customHeight="1">
      <c r="A30" s="998"/>
      <c r="B30" s="977"/>
      <c r="C30" s="977"/>
      <c r="D30" s="977"/>
      <c r="E30" s="990"/>
      <c r="F30" s="982" t="s">
        <v>88</v>
      </c>
      <c r="G30" s="980" t="s">
        <v>88</v>
      </c>
      <c r="H30" s="980" t="s">
        <v>88</v>
      </c>
      <c r="I30" s="985" t="s">
        <v>88</v>
      </c>
      <c r="J30" s="980" t="s">
        <v>88</v>
      </c>
      <c r="K30" s="980" t="s">
        <v>88</v>
      </c>
      <c r="L30" s="980" t="s">
        <v>88</v>
      </c>
      <c r="M30" s="980" t="s">
        <v>88</v>
      </c>
      <c r="N30" s="980" t="s">
        <v>88</v>
      </c>
      <c r="O30" s="980" t="s">
        <v>88</v>
      </c>
      <c r="P30" s="980" t="s">
        <v>88</v>
      </c>
      <c r="Q30" s="980" t="s">
        <v>88</v>
      </c>
      <c r="R30" s="980" t="s">
        <v>88</v>
      </c>
      <c r="S30" s="980" t="s">
        <v>88</v>
      </c>
      <c r="T30" s="1021"/>
      <c r="U30" s="980" t="s">
        <v>88</v>
      </c>
      <c r="V30" s="973"/>
      <c r="W30" s="980" t="s">
        <v>88</v>
      </c>
      <c r="X30" s="980" t="s">
        <v>88</v>
      </c>
      <c r="Y30" s="1021"/>
      <c r="Z30" s="980" t="s">
        <v>88</v>
      </c>
      <c r="AA30" s="980" t="s">
        <v>88</v>
      </c>
      <c r="AB30" s="1021"/>
      <c r="AC30" s="980" t="s">
        <v>88</v>
      </c>
      <c r="AD30" s="980" t="s">
        <v>88</v>
      </c>
      <c r="AE30" s="980" t="s">
        <v>88</v>
      </c>
      <c r="AF30" s="980" t="s">
        <v>88</v>
      </c>
      <c r="AG30" s="1024" t="s">
        <v>88</v>
      </c>
      <c r="AH30" s="980" t="s">
        <v>88</v>
      </c>
      <c r="AI30" s="980" t="s">
        <v>88</v>
      </c>
      <c r="AJ30" s="980" t="s">
        <v>88</v>
      </c>
      <c r="AK30" s="980" t="s">
        <v>88</v>
      </c>
      <c r="AL30" s="980" t="s">
        <v>88</v>
      </c>
      <c r="AM30" s="980" t="s">
        <v>88</v>
      </c>
      <c r="AN30" s="980" t="s">
        <v>88</v>
      </c>
      <c r="AO30" s="980" t="s">
        <v>88</v>
      </c>
      <c r="AP30" s="980" t="s">
        <v>88</v>
      </c>
      <c r="AQ30" s="980" t="s">
        <v>88</v>
      </c>
      <c r="AR30" s="980" t="s">
        <v>88</v>
      </c>
      <c r="AS30" s="980" t="s">
        <v>88</v>
      </c>
      <c r="AT30" s="456" t="s">
        <v>437</v>
      </c>
      <c r="AU30" s="456" t="s">
        <v>438</v>
      </c>
      <c r="AV30" s="456" t="s">
        <v>439</v>
      </c>
      <c r="AW30" s="332" t="s">
        <v>449</v>
      </c>
      <c r="AX30" s="331" t="s">
        <v>450</v>
      </c>
      <c r="AY30" s="331" t="s">
        <v>97</v>
      </c>
      <c r="AZ30" s="434" t="s">
        <v>121</v>
      </c>
      <c r="BA30" s="434" t="s">
        <v>451</v>
      </c>
      <c r="BB30" s="678">
        <v>45943</v>
      </c>
      <c r="BC30" s="434">
        <v>6.55</v>
      </c>
      <c r="BD30" s="434" t="s">
        <v>451</v>
      </c>
      <c r="BE30" s="333">
        <v>45945</v>
      </c>
      <c r="BF30" s="434">
        <v>21.2</v>
      </c>
      <c r="BG30" s="331" t="s">
        <v>97</v>
      </c>
      <c r="BH30" s="271" t="s">
        <v>452</v>
      </c>
      <c r="BI30" s="132" t="s">
        <v>98</v>
      </c>
      <c r="BJ30" s="132" t="s">
        <v>98</v>
      </c>
      <c r="BK30" s="132" t="s">
        <v>98</v>
      </c>
      <c r="BL30" s="667" t="s">
        <v>98</v>
      </c>
      <c r="BM30" s="656" t="s">
        <v>451</v>
      </c>
      <c r="BN30" s="29" t="s">
        <v>126</v>
      </c>
      <c r="BO30" s="663">
        <v>45943</v>
      </c>
      <c r="BP30" s="664">
        <v>0.28819444444444442</v>
      </c>
      <c r="BQ30" s="665" t="s">
        <v>453</v>
      </c>
      <c r="BR30" s="656" t="s">
        <v>451</v>
      </c>
      <c r="BS30" s="663">
        <v>45945</v>
      </c>
      <c r="BT30" s="664">
        <v>0.88888888888888884</v>
      </c>
      <c r="BU30" s="665" t="s">
        <v>454</v>
      </c>
      <c r="BV30" s="666">
        <v>383.13</v>
      </c>
      <c r="BW30" s="742"/>
      <c r="BX30" s="111"/>
      <c r="BY30" s="691">
        <v>0</v>
      </c>
      <c r="BZ30" s="483"/>
      <c r="CA30" s="483"/>
      <c r="CB30" s="483"/>
      <c r="CC30" s="111">
        <f>BW30+BX30+BY30</f>
        <v>0</v>
      </c>
      <c r="CD30" s="220" t="s">
        <v>88</v>
      </c>
      <c r="CE30" s="111" t="s">
        <v>88</v>
      </c>
      <c r="CF30" s="111" t="s">
        <v>455</v>
      </c>
      <c r="CG30" s="111" t="s">
        <v>88</v>
      </c>
      <c r="CH30" s="111" t="s">
        <v>88</v>
      </c>
    </row>
    <row r="31" spans="1:86" ht="21.5" customHeight="1">
      <c r="A31" s="988">
        <v>45945</v>
      </c>
      <c r="B31" s="977" t="s">
        <v>456</v>
      </c>
      <c r="C31" s="976">
        <v>45943</v>
      </c>
      <c r="D31" s="976">
        <v>45945</v>
      </c>
      <c r="E31" s="990">
        <v>2243</v>
      </c>
      <c r="F31" s="981" t="s">
        <v>457</v>
      </c>
      <c r="G31" s="979" t="s">
        <v>167</v>
      </c>
      <c r="H31" s="979" t="s">
        <v>87</v>
      </c>
      <c r="I31" s="985">
        <v>22432635</v>
      </c>
      <c r="J31" s="979" t="s">
        <v>97</v>
      </c>
      <c r="K31" s="979" t="s">
        <v>458</v>
      </c>
      <c r="L31" s="979" t="s">
        <v>169</v>
      </c>
      <c r="M31" s="979" t="s">
        <v>88</v>
      </c>
      <c r="N31" s="1025" t="s">
        <v>459</v>
      </c>
      <c r="O31" s="1025" t="s">
        <v>460</v>
      </c>
      <c r="P31" s="979" t="s">
        <v>458</v>
      </c>
      <c r="Q31" s="979" t="s">
        <v>461</v>
      </c>
      <c r="R31" s="979" t="s">
        <v>462</v>
      </c>
      <c r="S31" s="979" t="s">
        <v>110</v>
      </c>
      <c r="T31" s="1021" t="s">
        <v>98</v>
      </c>
      <c r="U31" s="976" t="s">
        <v>97</v>
      </c>
      <c r="V31" s="973">
        <v>2</v>
      </c>
      <c r="W31" s="976" t="s">
        <v>463</v>
      </c>
      <c r="X31" s="976" t="s">
        <v>464</v>
      </c>
      <c r="Y31" s="970" t="s">
        <v>465</v>
      </c>
      <c r="Z31" s="976" t="s">
        <v>466</v>
      </c>
      <c r="AA31" s="976" t="s">
        <v>467</v>
      </c>
      <c r="AB31" s="970" t="s">
        <v>468</v>
      </c>
      <c r="AC31" s="976" t="s">
        <v>88</v>
      </c>
      <c r="AD31" s="976" t="s">
        <v>88</v>
      </c>
      <c r="AE31" s="976" t="s">
        <v>88</v>
      </c>
      <c r="AF31" s="976" t="s">
        <v>97</v>
      </c>
      <c r="AG31" s="973">
        <v>2</v>
      </c>
      <c r="AH31" s="976" t="s">
        <v>463</v>
      </c>
      <c r="AI31" s="976" t="s">
        <v>464</v>
      </c>
      <c r="AJ31" s="976" t="s">
        <v>465</v>
      </c>
      <c r="AK31" s="976" t="s">
        <v>466</v>
      </c>
      <c r="AL31" s="976" t="s">
        <v>467</v>
      </c>
      <c r="AM31" s="976" t="s">
        <v>468</v>
      </c>
      <c r="AN31" s="976" t="s">
        <v>88</v>
      </c>
      <c r="AO31" s="976" t="s">
        <v>88</v>
      </c>
      <c r="AP31" s="976" t="s">
        <v>469</v>
      </c>
      <c r="AQ31" s="976" t="s">
        <v>470</v>
      </c>
      <c r="AR31" s="976" t="s">
        <v>88</v>
      </c>
      <c r="AS31" s="1027" t="s">
        <v>471</v>
      </c>
      <c r="AT31" s="331" t="s">
        <v>463</v>
      </c>
      <c r="AU31" s="331" t="s">
        <v>464</v>
      </c>
      <c r="AV31" s="331" t="s">
        <v>465</v>
      </c>
      <c r="AW31" s="336">
        <v>351920403739</v>
      </c>
      <c r="AX31" s="337" t="s">
        <v>472</v>
      </c>
      <c r="AY31" s="331" t="s">
        <v>97</v>
      </c>
      <c r="AZ31" s="337" t="s">
        <v>121</v>
      </c>
      <c r="BA31" s="337" t="s">
        <v>473</v>
      </c>
      <c r="BB31" s="333">
        <v>45943</v>
      </c>
      <c r="BC31" s="337" t="s">
        <v>474</v>
      </c>
      <c r="BD31" s="337" t="s">
        <v>473</v>
      </c>
      <c r="BE31" s="333">
        <v>45945</v>
      </c>
      <c r="BF31" s="337" t="s">
        <v>475</v>
      </c>
      <c r="BG31" s="331" t="s">
        <v>97</v>
      </c>
      <c r="BH31" s="331" t="s">
        <v>88</v>
      </c>
      <c r="BI31" s="132" t="s">
        <v>98</v>
      </c>
      <c r="BJ31" s="132" t="s">
        <v>98</v>
      </c>
      <c r="BK31" s="132" t="s">
        <v>98</v>
      </c>
      <c r="BL31" s="667" t="s">
        <v>98</v>
      </c>
      <c r="BM31" s="657" t="s">
        <v>473</v>
      </c>
      <c r="BN31" s="29" t="s">
        <v>126</v>
      </c>
      <c r="BO31" s="658">
        <v>45943</v>
      </c>
      <c r="BP31" s="659">
        <v>0.47222222222222221</v>
      </c>
      <c r="BQ31" s="660" t="s">
        <v>476</v>
      </c>
      <c r="BR31" s="657" t="s">
        <v>473</v>
      </c>
      <c r="BS31" s="658">
        <v>45945</v>
      </c>
      <c r="BT31" s="659">
        <v>0.87152777777777779</v>
      </c>
      <c r="BU31" s="660" t="s">
        <v>477</v>
      </c>
      <c r="BV31" s="662">
        <v>341.32</v>
      </c>
      <c r="BW31" s="741">
        <v>1</v>
      </c>
      <c r="BX31" s="132">
        <v>1</v>
      </c>
      <c r="BY31" s="111"/>
      <c r="BZ31" s="483">
        <v>45943</v>
      </c>
      <c r="CA31" s="483">
        <v>45945</v>
      </c>
      <c r="CB31" s="483"/>
      <c r="CC31" s="111">
        <f>BW31+BX31+BY31</f>
        <v>2</v>
      </c>
      <c r="CD31" s="220" t="s">
        <v>88</v>
      </c>
      <c r="CE31" s="111" t="s">
        <v>88</v>
      </c>
      <c r="CF31" s="111" t="s">
        <v>88</v>
      </c>
      <c r="CG31" s="111" t="s">
        <v>88</v>
      </c>
      <c r="CH31" s="111" t="s">
        <v>88</v>
      </c>
    </row>
    <row r="32" spans="1:86" ht="21.5" hidden="1" customHeight="1">
      <c r="A32" s="989"/>
      <c r="B32" s="977"/>
      <c r="C32" s="977"/>
      <c r="D32" s="977"/>
      <c r="E32" s="990"/>
      <c r="F32" s="982" t="s">
        <v>88</v>
      </c>
      <c r="G32" s="980" t="s">
        <v>88</v>
      </c>
      <c r="H32" s="980" t="s">
        <v>88</v>
      </c>
      <c r="I32" s="985" t="s">
        <v>88</v>
      </c>
      <c r="J32" s="980" t="s">
        <v>88</v>
      </c>
      <c r="K32" s="980" t="s">
        <v>88</v>
      </c>
      <c r="L32" s="980" t="s">
        <v>88</v>
      </c>
      <c r="M32" s="980" t="s">
        <v>88</v>
      </c>
      <c r="N32" s="1026"/>
      <c r="O32" s="1026"/>
      <c r="P32" s="980" t="s">
        <v>88</v>
      </c>
      <c r="Q32" s="980" t="s">
        <v>88</v>
      </c>
      <c r="R32" s="980" t="s">
        <v>88</v>
      </c>
      <c r="S32" s="980" t="s">
        <v>88</v>
      </c>
      <c r="T32" s="1021"/>
      <c r="U32" s="977" t="s">
        <v>88</v>
      </c>
      <c r="V32" s="973"/>
      <c r="W32" s="977" t="s">
        <v>88</v>
      </c>
      <c r="X32" s="977" t="s">
        <v>88</v>
      </c>
      <c r="Y32" s="970"/>
      <c r="Z32" s="977" t="s">
        <v>88</v>
      </c>
      <c r="AA32" s="977" t="s">
        <v>88</v>
      </c>
      <c r="AB32" s="970"/>
      <c r="AC32" s="977" t="s">
        <v>88</v>
      </c>
      <c r="AD32" s="977" t="s">
        <v>88</v>
      </c>
      <c r="AE32" s="977"/>
      <c r="AF32" s="977" t="s">
        <v>88</v>
      </c>
      <c r="AG32" s="973" t="s">
        <v>88</v>
      </c>
      <c r="AH32" s="977" t="s">
        <v>88</v>
      </c>
      <c r="AI32" s="977" t="s">
        <v>88</v>
      </c>
      <c r="AJ32" s="977" t="s">
        <v>88</v>
      </c>
      <c r="AK32" s="977" t="s">
        <v>88</v>
      </c>
      <c r="AL32" s="977" t="s">
        <v>88</v>
      </c>
      <c r="AM32" s="977" t="s">
        <v>88</v>
      </c>
      <c r="AN32" s="977" t="s">
        <v>88</v>
      </c>
      <c r="AO32" s="977" t="s">
        <v>88</v>
      </c>
      <c r="AP32" s="977"/>
      <c r="AQ32" s="977" t="s">
        <v>88</v>
      </c>
      <c r="AR32" s="977" t="s">
        <v>88</v>
      </c>
      <c r="AS32" s="1028" t="s">
        <v>88</v>
      </c>
      <c r="AT32" s="331" t="s">
        <v>466</v>
      </c>
      <c r="AU32" s="331" t="s">
        <v>467</v>
      </c>
      <c r="AV32" s="343" t="s">
        <v>468</v>
      </c>
      <c r="AW32" s="918">
        <v>36706339119</v>
      </c>
      <c r="AX32" s="919" t="s">
        <v>478</v>
      </c>
      <c r="AY32" s="906" t="s">
        <v>97</v>
      </c>
      <c r="AZ32" s="920" t="s">
        <v>121</v>
      </c>
      <c r="BA32" s="909" t="s">
        <v>237</v>
      </c>
      <c r="BB32" s="921">
        <v>45943</v>
      </c>
      <c r="BC32" s="909" t="s">
        <v>479</v>
      </c>
      <c r="BD32" s="909" t="s">
        <v>237</v>
      </c>
      <c r="BE32" s="921">
        <v>45945</v>
      </c>
      <c r="BF32" s="909" t="s">
        <v>480</v>
      </c>
      <c r="BG32" s="906" t="s">
        <v>97</v>
      </c>
      <c r="BH32" s="906" t="s">
        <v>88</v>
      </c>
      <c r="BI32" s="132" t="s">
        <v>98</v>
      </c>
      <c r="BJ32" s="132" t="s">
        <v>98</v>
      </c>
      <c r="BK32" s="132" t="s">
        <v>98</v>
      </c>
      <c r="BL32" s="667" t="s">
        <v>98</v>
      </c>
      <c r="BM32" s="456" t="s">
        <v>88</v>
      </c>
      <c r="BN32" s="456" t="s">
        <v>88</v>
      </c>
      <c r="BO32" s="456" t="s">
        <v>88</v>
      </c>
      <c r="BP32" s="456" t="s">
        <v>88</v>
      </c>
      <c r="BQ32" s="456" t="s">
        <v>88</v>
      </c>
      <c r="BR32" s="456" t="s">
        <v>88</v>
      </c>
      <c r="BS32" s="456" t="s">
        <v>88</v>
      </c>
      <c r="BT32" s="456" t="s">
        <v>88</v>
      </c>
      <c r="BU32" s="456" t="s">
        <v>88</v>
      </c>
      <c r="BV32" s="456" t="s">
        <v>88</v>
      </c>
      <c r="BW32" s="741">
        <v>1</v>
      </c>
      <c r="BX32" s="132">
        <v>1</v>
      </c>
      <c r="BY32" s="111"/>
      <c r="BZ32" s="483">
        <v>45943</v>
      </c>
      <c r="CA32" s="483">
        <v>45945</v>
      </c>
      <c r="CB32" s="111"/>
      <c r="CC32" s="111" t="s">
        <v>88</v>
      </c>
      <c r="CD32" s="220" t="s">
        <v>88</v>
      </c>
      <c r="CE32" s="111" t="s">
        <v>88</v>
      </c>
      <c r="CF32" s="111" t="s">
        <v>88</v>
      </c>
      <c r="CG32" s="111" t="s">
        <v>88</v>
      </c>
      <c r="CH32" s="111" t="s">
        <v>88</v>
      </c>
    </row>
    <row r="33" spans="1:86" ht="21.5" customHeight="1">
      <c r="A33" s="995">
        <v>45944</v>
      </c>
      <c r="B33" s="977" t="s">
        <v>206</v>
      </c>
      <c r="C33" s="976">
        <v>45943</v>
      </c>
      <c r="D33" s="975">
        <v>45945</v>
      </c>
      <c r="E33" s="978">
        <v>2244</v>
      </c>
      <c r="F33" s="1029" t="s">
        <v>481</v>
      </c>
      <c r="G33" s="975" t="s">
        <v>135</v>
      </c>
      <c r="H33" s="975" t="s">
        <v>87</v>
      </c>
      <c r="I33" s="984" t="s">
        <v>88</v>
      </c>
      <c r="J33" s="975" t="s">
        <v>89</v>
      </c>
      <c r="K33" s="975" t="s">
        <v>482</v>
      </c>
      <c r="L33" s="975" t="s">
        <v>428</v>
      </c>
      <c r="M33" s="975" t="s">
        <v>88</v>
      </c>
      <c r="N33" s="1030" t="s">
        <v>483</v>
      </c>
      <c r="O33" s="1030" t="s">
        <v>484</v>
      </c>
      <c r="P33" s="975" t="s">
        <v>192</v>
      </c>
      <c r="Q33" s="975" t="s">
        <v>485</v>
      </c>
      <c r="R33" s="975" t="s">
        <v>486</v>
      </c>
      <c r="S33" s="975" t="s">
        <v>110</v>
      </c>
      <c r="T33" s="974" t="s">
        <v>98</v>
      </c>
      <c r="U33" s="975" t="s">
        <v>97</v>
      </c>
      <c r="V33" s="973">
        <v>3</v>
      </c>
      <c r="W33" s="975" t="s">
        <v>487</v>
      </c>
      <c r="X33" s="975" t="s">
        <v>488</v>
      </c>
      <c r="Y33" s="1006" t="s">
        <v>489</v>
      </c>
      <c r="Z33" s="975" t="s">
        <v>490</v>
      </c>
      <c r="AA33" s="975" t="s">
        <v>491</v>
      </c>
      <c r="AB33" s="1006" t="s">
        <v>492</v>
      </c>
      <c r="AC33" s="975" t="s">
        <v>493</v>
      </c>
      <c r="AD33" s="975" t="s">
        <v>494</v>
      </c>
      <c r="AE33" s="970" t="s">
        <v>495</v>
      </c>
      <c r="AF33" s="975" t="s">
        <v>97</v>
      </c>
      <c r="AG33" s="973">
        <v>3</v>
      </c>
      <c r="AH33" s="975" t="s">
        <v>487</v>
      </c>
      <c r="AI33" s="975" t="s">
        <v>488</v>
      </c>
      <c r="AJ33" s="975" t="s">
        <v>489</v>
      </c>
      <c r="AK33" s="975" t="s">
        <v>490</v>
      </c>
      <c r="AL33" s="975" t="s">
        <v>491</v>
      </c>
      <c r="AM33" s="975" t="s">
        <v>492</v>
      </c>
      <c r="AN33" s="975" t="s">
        <v>493</v>
      </c>
      <c r="AO33" s="975" t="s">
        <v>494</v>
      </c>
      <c r="AP33" s="975" t="s">
        <v>495</v>
      </c>
      <c r="AQ33" s="1016" t="s">
        <v>201</v>
      </c>
      <c r="AR33" s="975" t="s">
        <v>88</v>
      </c>
      <c r="AS33" s="975" t="s">
        <v>496</v>
      </c>
      <c r="AT33" s="456" t="s">
        <v>487</v>
      </c>
      <c r="AU33" s="456" t="s">
        <v>488</v>
      </c>
      <c r="AV33" s="456" t="s">
        <v>489</v>
      </c>
      <c r="AW33" s="332">
        <v>34687494773</v>
      </c>
      <c r="AX33" s="331" t="s">
        <v>497</v>
      </c>
      <c r="AY33" s="331" t="s">
        <v>97</v>
      </c>
      <c r="AZ33" s="434" t="s">
        <v>121</v>
      </c>
      <c r="BA33" s="434" t="s">
        <v>498</v>
      </c>
      <c r="BB33" s="438">
        <v>45943</v>
      </c>
      <c r="BC33" s="434" t="s">
        <v>499</v>
      </c>
      <c r="BD33" s="434" t="s">
        <v>498</v>
      </c>
      <c r="BE33" s="438">
        <v>45945</v>
      </c>
      <c r="BF33" s="434"/>
      <c r="BG33" s="331" t="s">
        <v>97</v>
      </c>
      <c r="BH33" s="331" t="s">
        <v>88</v>
      </c>
      <c r="BI33" s="111" t="s">
        <v>98</v>
      </c>
      <c r="BJ33" s="111" t="s">
        <v>98</v>
      </c>
      <c r="BK33" s="111" t="s">
        <v>98</v>
      </c>
      <c r="BL33" s="219" t="s">
        <v>98</v>
      </c>
      <c r="BM33" s="656" t="s">
        <v>498</v>
      </c>
      <c r="BN33" s="29" t="s">
        <v>126</v>
      </c>
      <c r="BO33" s="663">
        <v>45943</v>
      </c>
      <c r="BP33" s="664">
        <v>0.63194444444444442</v>
      </c>
      <c r="BQ33" s="665" t="s">
        <v>500</v>
      </c>
      <c r="BR33" s="656" t="s">
        <v>498</v>
      </c>
      <c r="BS33" s="663">
        <v>45945</v>
      </c>
      <c r="BT33" s="664">
        <v>0.39930555555555558</v>
      </c>
      <c r="BU33" s="665" t="s">
        <v>501</v>
      </c>
      <c r="BV33" s="666">
        <v>377.9</v>
      </c>
      <c r="BW33" s="741">
        <v>1</v>
      </c>
      <c r="BX33" s="132">
        <v>1</v>
      </c>
      <c r="BY33" s="111"/>
      <c r="BZ33" s="483">
        <v>45943</v>
      </c>
      <c r="CA33" s="483">
        <v>45945</v>
      </c>
      <c r="CB33" s="483"/>
      <c r="CC33" s="111">
        <f>BW33+BX33+BY33</f>
        <v>2</v>
      </c>
      <c r="CD33" s="220" t="s">
        <v>88</v>
      </c>
      <c r="CE33" s="111" t="s">
        <v>88</v>
      </c>
      <c r="CF33" s="111" t="s">
        <v>88</v>
      </c>
      <c r="CG33" s="111" t="s">
        <v>88</v>
      </c>
      <c r="CH33" s="111" t="s">
        <v>88</v>
      </c>
    </row>
    <row r="34" spans="1:86" ht="21.5" hidden="1" customHeight="1">
      <c r="A34" s="977"/>
      <c r="B34" s="977"/>
      <c r="C34" s="977"/>
      <c r="D34" s="975"/>
      <c r="E34" s="978"/>
      <c r="F34" s="1029" t="s">
        <v>88</v>
      </c>
      <c r="G34" s="975" t="s">
        <v>88</v>
      </c>
      <c r="H34" s="975" t="s">
        <v>88</v>
      </c>
      <c r="I34" s="984" t="s">
        <v>88</v>
      </c>
      <c r="J34" s="975" t="s">
        <v>88</v>
      </c>
      <c r="K34" s="975" t="s">
        <v>88</v>
      </c>
      <c r="L34" s="975" t="s">
        <v>88</v>
      </c>
      <c r="M34" s="975" t="s">
        <v>88</v>
      </c>
      <c r="N34" s="1031"/>
      <c r="O34" s="1031"/>
      <c r="P34" s="975" t="s">
        <v>88</v>
      </c>
      <c r="Q34" s="975" t="s">
        <v>88</v>
      </c>
      <c r="R34" s="975" t="s">
        <v>88</v>
      </c>
      <c r="S34" s="975" t="s">
        <v>88</v>
      </c>
      <c r="T34" s="974"/>
      <c r="U34" s="975" t="s">
        <v>88</v>
      </c>
      <c r="V34" s="973" t="s">
        <v>88</v>
      </c>
      <c r="W34" s="975" t="s">
        <v>88</v>
      </c>
      <c r="X34" s="975" t="s">
        <v>88</v>
      </c>
      <c r="Y34" s="1006"/>
      <c r="Z34" s="975" t="s">
        <v>88</v>
      </c>
      <c r="AA34" s="975" t="s">
        <v>88</v>
      </c>
      <c r="AB34" s="1006"/>
      <c r="AC34" s="975" t="s">
        <v>88</v>
      </c>
      <c r="AD34" s="975" t="s">
        <v>88</v>
      </c>
      <c r="AE34" s="970"/>
      <c r="AF34" s="975" t="s">
        <v>88</v>
      </c>
      <c r="AG34" s="973" t="s">
        <v>88</v>
      </c>
      <c r="AH34" s="975" t="s">
        <v>88</v>
      </c>
      <c r="AI34" s="975" t="s">
        <v>88</v>
      </c>
      <c r="AJ34" s="975" t="s">
        <v>88</v>
      </c>
      <c r="AK34" s="975" t="s">
        <v>88</v>
      </c>
      <c r="AL34" s="975" t="s">
        <v>88</v>
      </c>
      <c r="AM34" s="975" t="s">
        <v>88</v>
      </c>
      <c r="AN34" s="975" t="s">
        <v>88</v>
      </c>
      <c r="AO34" s="975" t="s">
        <v>88</v>
      </c>
      <c r="AP34" s="975"/>
      <c r="AQ34" s="1016"/>
      <c r="AR34" s="975" t="s">
        <v>88</v>
      </c>
      <c r="AS34" s="975" t="s">
        <v>88</v>
      </c>
      <c r="AT34" s="456" t="s">
        <v>502</v>
      </c>
      <c r="AU34" s="456" t="s">
        <v>503</v>
      </c>
      <c r="AV34" s="457" t="s">
        <v>504</v>
      </c>
      <c r="AW34" s="332" t="s">
        <v>505</v>
      </c>
      <c r="AX34" s="896" t="s">
        <v>506</v>
      </c>
      <c r="AY34" s="331" t="s">
        <v>97</v>
      </c>
      <c r="AZ34" s="896" t="s">
        <v>121</v>
      </c>
      <c r="BA34" s="896" t="s">
        <v>507</v>
      </c>
      <c r="BB34" s="896" t="s">
        <v>508</v>
      </c>
      <c r="BC34" s="897">
        <v>0.73263888888888884</v>
      </c>
      <c r="BD34" s="896" t="s">
        <v>507</v>
      </c>
      <c r="BE34" s="896" t="s">
        <v>509</v>
      </c>
      <c r="BF34" s="897">
        <v>0.79513888888888884</v>
      </c>
      <c r="BG34" s="331" t="s">
        <v>97</v>
      </c>
      <c r="BH34" s="331" t="s">
        <v>88</v>
      </c>
      <c r="BI34" s="111" t="s">
        <v>88</v>
      </c>
      <c r="BJ34" s="111" t="s">
        <v>88</v>
      </c>
      <c r="BK34" s="111" t="s">
        <v>88</v>
      </c>
      <c r="BL34" s="219" t="s">
        <v>88</v>
      </c>
      <c r="BM34" s="111" t="s">
        <v>88</v>
      </c>
      <c r="BN34" s="111" t="s">
        <v>88</v>
      </c>
      <c r="BO34" s="111" t="s">
        <v>88</v>
      </c>
      <c r="BP34" s="111" t="s">
        <v>88</v>
      </c>
      <c r="BQ34" s="111" t="s">
        <v>88</v>
      </c>
      <c r="BR34" s="111" t="s">
        <v>88</v>
      </c>
      <c r="BS34" s="111" t="s">
        <v>88</v>
      </c>
      <c r="BT34" s="111" t="s">
        <v>88</v>
      </c>
      <c r="BU34" s="111" t="s">
        <v>88</v>
      </c>
      <c r="BV34" s="111" t="s">
        <v>88</v>
      </c>
      <c r="BW34" s="772"/>
      <c r="BX34" s="737"/>
      <c r="BY34" s="111"/>
      <c r="BZ34" s="111" t="s">
        <v>88</v>
      </c>
      <c r="CA34" s="111" t="s">
        <v>88</v>
      </c>
      <c r="CB34" s="111"/>
      <c r="CC34" s="111" t="s">
        <v>88</v>
      </c>
      <c r="CD34" s="220" t="s">
        <v>88</v>
      </c>
      <c r="CE34" s="111" t="s">
        <v>88</v>
      </c>
      <c r="CF34" s="746" t="s">
        <v>510</v>
      </c>
      <c r="CG34" s="111" t="s">
        <v>511</v>
      </c>
      <c r="CH34" s="111" t="s">
        <v>512</v>
      </c>
    </row>
    <row r="35" spans="1:86" ht="21.5" hidden="1" customHeight="1">
      <c r="A35" s="977"/>
      <c r="B35" s="977"/>
      <c r="C35" s="977"/>
      <c r="D35" s="975"/>
      <c r="E35" s="978"/>
      <c r="F35" s="1029" t="s">
        <v>88</v>
      </c>
      <c r="G35" s="975" t="s">
        <v>88</v>
      </c>
      <c r="H35" s="975" t="s">
        <v>88</v>
      </c>
      <c r="I35" s="984" t="s">
        <v>88</v>
      </c>
      <c r="J35" s="975" t="s">
        <v>88</v>
      </c>
      <c r="K35" s="975" t="s">
        <v>88</v>
      </c>
      <c r="L35" s="975" t="s">
        <v>88</v>
      </c>
      <c r="M35" s="975" t="s">
        <v>88</v>
      </c>
      <c r="N35" s="1032"/>
      <c r="O35" s="1032"/>
      <c r="P35" s="975" t="s">
        <v>88</v>
      </c>
      <c r="Q35" s="975" t="s">
        <v>88</v>
      </c>
      <c r="R35" s="975" t="s">
        <v>88</v>
      </c>
      <c r="S35" s="975" t="s">
        <v>88</v>
      </c>
      <c r="T35" s="974"/>
      <c r="U35" s="975" t="s">
        <v>88</v>
      </c>
      <c r="V35" s="973" t="s">
        <v>88</v>
      </c>
      <c r="W35" s="975" t="s">
        <v>88</v>
      </c>
      <c r="X35" s="975" t="s">
        <v>88</v>
      </c>
      <c r="Y35" s="1006"/>
      <c r="Z35" s="975" t="s">
        <v>88</v>
      </c>
      <c r="AA35" s="975" t="s">
        <v>88</v>
      </c>
      <c r="AB35" s="1006"/>
      <c r="AC35" s="975" t="s">
        <v>88</v>
      </c>
      <c r="AD35" s="975" t="s">
        <v>88</v>
      </c>
      <c r="AE35" s="970"/>
      <c r="AF35" s="975" t="s">
        <v>88</v>
      </c>
      <c r="AG35" s="973" t="s">
        <v>88</v>
      </c>
      <c r="AH35" s="975" t="s">
        <v>88</v>
      </c>
      <c r="AI35" s="975" t="s">
        <v>88</v>
      </c>
      <c r="AJ35" s="975" t="s">
        <v>88</v>
      </c>
      <c r="AK35" s="975" t="s">
        <v>88</v>
      </c>
      <c r="AL35" s="975" t="s">
        <v>88</v>
      </c>
      <c r="AM35" s="975" t="s">
        <v>88</v>
      </c>
      <c r="AN35" s="975" t="s">
        <v>88</v>
      </c>
      <c r="AO35" s="975" t="s">
        <v>88</v>
      </c>
      <c r="AP35" s="975"/>
      <c r="AQ35" s="1016"/>
      <c r="AR35" s="975" t="s">
        <v>88</v>
      </c>
      <c r="AS35" s="975" t="s">
        <v>88</v>
      </c>
      <c r="AT35" s="331" t="s">
        <v>493</v>
      </c>
      <c r="AU35" s="331" t="s">
        <v>494</v>
      </c>
      <c r="AV35" s="331" t="s">
        <v>495</v>
      </c>
      <c r="AW35" s="336">
        <v>37069117792</v>
      </c>
      <c r="AX35" s="337" t="s">
        <v>513</v>
      </c>
      <c r="AY35" s="331" t="s">
        <v>97</v>
      </c>
      <c r="AZ35" s="337" t="s">
        <v>121</v>
      </c>
      <c r="BA35" s="337" t="s">
        <v>514</v>
      </c>
      <c r="BB35" s="333">
        <v>45943</v>
      </c>
      <c r="BC35" s="337" t="s">
        <v>515</v>
      </c>
      <c r="BD35" s="337" t="s">
        <v>514</v>
      </c>
      <c r="BE35" s="333">
        <v>45945</v>
      </c>
      <c r="BF35" s="337" t="s">
        <v>515</v>
      </c>
      <c r="BG35" s="331" t="s">
        <v>97</v>
      </c>
      <c r="BH35" s="331" t="s">
        <v>88</v>
      </c>
      <c r="BI35" s="132" t="s">
        <v>98</v>
      </c>
      <c r="BJ35" s="132" t="s">
        <v>98</v>
      </c>
      <c r="BK35" s="132" t="s">
        <v>98</v>
      </c>
      <c r="BL35" s="667" t="s">
        <v>98</v>
      </c>
      <c r="BM35" s="657" t="s">
        <v>514</v>
      </c>
      <c r="BN35" s="29" t="s">
        <v>126</v>
      </c>
      <c r="BO35" s="658">
        <v>45943</v>
      </c>
      <c r="BP35" s="659">
        <v>0.77777777777777779</v>
      </c>
      <c r="BQ35" s="660" t="s">
        <v>516</v>
      </c>
      <c r="BR35" s="657" t="s">
        <v>514</v>
      </c>
      <c r="BS35" s="658">
        <v>45945</v>
      </c>
      <c r="BT35" s="659">
        <v>0.40625</v>
      </c>
      <c r="BU35" s="660" t="s">
        <v>185</v>
      </c>
      <c r="BV35" s="662">
        <v>397.53</v>
      </c>
      <c r="BW35" s="741">
        <v>1</v>
      </c>
      <c r="BX35" s="132">
        <v>1</v>
      </c>
      <c r="BY35" s="111"/>
      <c r="BZ35" s="483">
        <v>45943</v>
      </c>
      <c r="CA35" s="483">
        <v>45945</v>
      </c>
      <c r="CB35" s="483"/>
      <c r="CC35" s="111">
        <f>BW35+BX35+BY35</f>
        <v>2</v>
      </c>
      <c r="CD35" s="220" t="s">
        <v>88</v>
      </c>
      <c r="CE35" s="111" t="s">
        <v>88</v>
      </c>
      <c r="CF35" s="111" t="s">
        <v>88</v>
      </c>
      <c r="CG35" s="111" t="s">
        <v>88</v>
      </c>
      <c r="CH35" s="111" t="s">
        <v>88</v>
      </c>
    </row>
    <row r="36" spans="1:86" ht="21.5" customHeight="1">
      <c r="A36" s="988">
        <v>45945</v>
      </c>
      <c r="B36" s="977" t="s">
        <v>186</v>
      </c>
      <c r="C36" s="976">
        <v>45943</v>
      </c>
      <c r="D36" s="975">
        <v>45945</v>
      </c>
      <c r="E36" s="978">
        <v>2291</v>
      </c>
      <c r="F36" s="1029" t="s">
        <v>517</v>
      </c>
      <c r="G36" s="975" t="s">
        <v>86</v>
      </c>
      <c r="H36" s="975" t="s">
        <v>102</v>
      </c>
      <c r="I36" s="984" t="s">
        <v>88</v>
      </c>
      <c r="J36" s="975" t="s">
        <v>89</v>
      </c>
      <c r="K36" s="975" t="s">
        <v>518</v>
      </c>
      <c r="L36" s="975" t="s">
        <v>519</v>
      </c>
      <c r="M36" s="975" t="s">
        <v>88</v>
      </c>
      <c r="N36" s="975" t="s">
        <v>520</v>
      </c>
      <c r="O36" s="975" t="s">
        <v>521</v>
      </c>
      <c r="P36" s="975" t="s">
        <v>522</v>
      </c>
      <c r="Q36" s="975" t="s">
        <v>523</v>
      </c>
      <c r="R36" s="975" t="s">
        <v>524</v>
      </c>
      <c r="S36" s="975" t="s">
        <v>97</v>
      </c>
      <c r="T36" s="974" t="s">
        <v>98</v>
      </c>
      <c r="U36" s="975" t="s">
        <v>97</v>
      </c>
      <c r="V36" s="973">
        <v>3</v>
      </c>
      <c r="W36" s="1020" t="s">
        <v>525</v>
      </c>
      <c r="X36" s="1020" t="s">
        <v>526</v>
      </c>
      <c r="Y36" s="974" t="s">
        <v>527</v>
      </c>
      <c r="Z36" s="1020" t="s">
        <v>528</v>
      </c>
      <c r="AA36" s="1020" t="s">
        <v>529</v>
      </c>
      <c r="AB36" s="974" t="s">
        <v>530</v>
      </c>
      <c r="AC36" s="975" t="s">
        <v>531</v>
      </c>
      <c r="AD36" s="975" t="s">
        <v>532</v>
      </c>
      <c r="AE36" s="974" t="s">
        <v>533</v>
      </c>
      <c r="AF36" s="975" t="s">
        <v>97</v>
      </c>
      <c r="AG36" s="973">
        <v>3</v>
      </c>
      <c r="AH36" s="975" t="s">
        <v>525</v>
      </c>
      <c r="AI36" s="975" t="s">
        <v>526</v>
      </c>
      <c r="AJ36" s="975" t="s">
        <v>527</v>
      </c>
      <c r="AK36" s="975" t="s">
        <v>528</v>
      </c>
      <c r="AL36" s="975" t="s">
        <v>529</v>
      </c>
      <c r="AM36" s="975" t="s">
        <v>530</v>
      </c>
      <c r="AN36" s="975" t="s">
        <v>531</v>
      </c>
      <c r="AO36" s="975" t="s">
        <v>532</v>
      </c>
      <c r="AP36" s="975" t="s">
        <v>533</v>
      </c>
      <c r="AQ36" s="975" t="s">
        <v>99</v>
      </c>
      <c r="AR36" s="975" t="s">
        <v>88</v>
      </c>
      <c r="AS36" s="975" t="s">
        <v>88</v>
      </c>
      <c r="AT36" s="331" t="s">
        <v>525</v>
      </c>
      <c r="AU36" s="331" t="s">
        <v>526</v>
      </c>
      <c r="AV36" s="331" t="s">
        <v>527</v>
      </c>
      <c r="AW36" s="336">
        <v>4796826316</v>
      </c>
      <c r="AX36" s="337" t="s">
        <v>534</v>
      </c>
      <c r="AY36" s="331" t="s">
        <v>97</v>
      </c>
      <c r="AZ36" s="337" t="s">
        <v>121</v>
      </c>
      <c r="BA36" s="337" t="s">
        <v>535</v>
      </c>
      <c r="BB36" s="333">
        <v>45943</v>
      </c>
      <c r="BC36" s="337" t="s">
        <v>536</v>
      </c>
      <c r="BD36" s="337" t="s">
        <v>379</v>
      </c>
      <c r="BE36" s="333">
        <v>45945</v>
      </c>
      <c r="BF36" s="337" t="s">
        <v>537</v>
      </c>
      <c r="BG36" s="331" t="s">
        <v>97</v>
      </c>
      <c r="BH36" s="337" t="s">
        <v>538</v>
      </c>
      <c r="BI36" s="132" t="s">
        <v>98</v>
      </c>
      <c r="BJ36" s="132" t="s">
        <v>98</v>
      </c>
      <c r="BK36" s="132" t="s">
        <v>98</v>
      </c>
      <c r="BL36" s="667" t="s">
        <v>98</v>
      </c>
      <c r="BM36" s="657" t="s">
        <v>535</v>
      </c>
      <c r="BN36" s="29" t="s">
        <v>126</v>
      </c>
      <c r="BO36" s="658">
        <v>45943</v>
      </c>
      <c r="BP36" s="659">
        <v>0.28125</v>
      </c>
      <c r="BQ36" s="660" t="s">
        <v>539</v>
      </c>
      <c r="BR36" s="657" t="s">
        <v>379</v>
      </c>
      <c r="BS36" s="658">
        <v>45945</v>
      </c>
      <c r="BT36" s="659">
        <v>0.86111111111111116</v>
      </c>
      <c r="BU36" s="660" t="s">
        <v>540</v>
      </c>
      <c r="BV36" s="661">
        <v>353.12</v>
      </c>
      <c r="BW36" s="741">
        <v>1</v>
      </c>
      <c r="BX36" s="132">
        <v>1</v>
      </c>
      <c r="BY36" s="111"/>
      <c r="BZ36" s="483">
        <v>45943</v>
      </c>
      <c r="CA36" s="483">
        <v>45945</v>
      </c>
      <c r="CB36" s="483"/>
      <c r="CC36" s="111">
        <f>BW36+BX36+BY36</f>
        <v>2</v>
      </c>
      <c r="CD36" s="220" t="s">
        <v>88</v>
      </c>
      <c r="CE36" s="111" t="s">
        <v>88</v>
      </c>
      <c r="CF36" s="111" t="s">
        <v>88</v>
      </c>
      <c r="CG36" s="111" t="s">
        <v>88</v>
      </c>
      <c r="CH36" s="111" t="s">
        <v>88</v>
      </c>
    </row>
    <row r="37" spans="1:86" ht="21.5" hidden="1" customHeight="1">
      <c r="A37" s="989"/>
      <c r="B37" s="977"/>
      <c r="C37" s="977"/>
      <c r="D37" s="975"/>
      <c r="E37" s="978"/>
      <c r="F37" s="1029" t="s">
        <v>88</v>
      </c>
      <c r="G37" s="975" t="s">
        <v>88</v>
      </c>
      <c r="H37" s="975" t="s">
        <v>88</v>
      </c>
      <c r="I37" s="984" t="s">
        <v>88</v>
      </c>
      <c r="J37" s="975" t="s">
        <v>88</v>
      </c>
      <c r="K37" s="975" t="s">
        <v>88</v>
      </c>
      <c r="L37" s="975" t="s">
        <v>88</v>
      </c>
      <c r="M37" s="975" t="s">
        <v>88</v>
      </c>
      <c r="N37" s="975" t="s">
        <v>88</v>
      </c>
      <c r="O37" s="975" t="s">
        <v>88</v>
      </c>
      <c r="P37" s="975" t="s">
        <v>88</v>
      </c>
      <c r="Q37" s="975" t="s">
        <v>88</v>
      </c>
      <c r="R37" s="975" t="s">
        <v>88</v>
      </c>
      <c r="S37" s="975" t="s">
        <v>88</v>
      </c>
      <c r="T37" s="974"/>
      <c r="U37" s="975" t="s">
        <v>88</v>
      </c>
      <c r="V37" s="973" t="s">
        <v>88</v>
      </c>
      <c r="W37" s="1020"/>
      <c r="X37" s="1020" t="s">
        <v>88</v>
      </c>
      <c r="Y37" s="974" t="s">
        <v>88</v>
      </c>
      <c r="Z37" s="1020" t="s">
        <v>88</v>
      </c>
      <c r="AA37" s="1020" t="s">
        <v>88</v>
      </c>
      <c r="AB37" s="974"/>
      <c r="AC37" s="975" t="s">
        <v>88</v>
      </c>
      <c r="AD37" s="975" t="s">
        <v>88</v>
      </c>
      <c r="AE37" s="974" t="s">
        <v>88</v>
      </c>
      <c r="AF37" s="975" t="s">
        <v>88</v>
      </c>
      <c r="AG37" s="973" t="s">
        <v>88</v>
      </c>
      <c r="AH37" s="975" t="s">
        <v>88</v>
      </c>
      <c r="AI37" s="975" t="s">
        <v>88</v>
      </c>
      <c r="AJ37" s="975" t="s">
        <v>88</v>
      </c>
      <c r="AK37" s="975" t="s">
        <v>88</v>
      </c>
      <c r="AL37" s="975" t="s">
        <v>88</v>
      </c>
      <c r="AM37" s="975" t="s">
        <v>88</v>
      </c>
      <c r="AN37" s="975" t="s">
        <v>88</v>
      </c>
      <c r="AO37" s="975" t="s">
        <v>88</v>
      </c>
      <c r="AP37" s="975" t="s">
        <v>88</v>
      </c>
      <c r="AQ37" s="975" t="s">
        <v>88</v>
      </c>
      <c r="AR37" s="975" t="s">
        <v>88</v>
      </c>
      <c r="AS37" s="975" t="s">
        <v>88</v>
      </c>
      <c r="AT37" s="331" t="s">
        <v>528</v>
      </c>
      <c r="AU37" s="331" t="s">
        <v>529</v>
      </c>
      <c r="AV37" s="331" t="s">
        <v>530</v>
      </c>
      <c r="AW37" s="336">
        <v>4792823204</v>
      </c>
      <c r="AX37" s="337" t="s">
        <v>541</v>
      </c>
      <c r="AY37" s="331" t="s">
        <v>97</v>
      </c>
      <c r="AZ37" s="337" t="s">
        <v>121</v>
      </c>
      <c r="BA37" s="337" t="s">
        <v>535</v>
      </c>
      <c r="BB37" s="333">
        <v>45943</v>
      </c>
      <c r="BC37" s="337" t="s">
        <v>542</v>
      </c>
      <c r="BD37" s="337" t="s">
        <v>535</v>
      </c>
      <c r="BE37" s="333">
        <v>45945</v>
      </c>
      <c r="BF37" s="337" t="s">
        <v>537</v>
      </c>
      <c r="BG37" s="331" t="s">
        <v>97</v>
      </c>
      <c r="BH37" s="337" t="s">
        <v>543</v>
      </c>
      <c r="BI37" s="132" t="s">
        <v>98</v>
      </c>
      <c r="BJ37" s="132" t="s">
        <v>98</v>
      </c>
      <c r="BK37" s="132" t="s">
        <v>98</v>
      </c>
      <c r="BL37" s="667" t="s">
        <v>98</v>
      </c>
      <c r="BM37" s="657" t="s">
        <v>535</v>
      </c>
      <c r="BN37" s="29" t="s">
        <v>126</v>
      </c>
      <c r="BO37" s="658">
        <v>45943</v>
      </c>
      <c r="BP37" s="659">
        <v>0.28125</v>
      </c>
      <c r="BQ37" s="660" t="s">
        <v>539</v>
      </c>
      <c r="BR37" s="657" t="s">
        <v>535</v>
      </c>
      <c r="BS37" s="658">
        <v>45945</v>
      </c>
      <c r="BT37" s="659">
        <v>0.87152777777777779</v>
      </c>
      <c r="BU37" s="660" t="s">
        <v>544</v>
      </c>
      <c r="BV37" s="661">
        <v>356.12</v>
      </c>
      <c r="BW37" s="741">
        <v>1</v>
      </c>
      <c r="BX37" s="132">
        <v>1</v>
      </c>
      <c r="BY37" s="111"/>
      <c r="BZ37" s="483">
        <v>45943</v>
      </c>
      <c r="CA37" s="483">
        <v>45945</v>
      </c>
      <c r="CB37" s="483"/>
      <c r="CC37" s="111">
        <f>BW37+BX37+BY37</f>
        <v>2</v>
      </c>
      <c r="CD37" s="220" t="s">
        <v>88</v>
      </c>
      <c r="CE37" s="111" t="s">
        <v>88</v>
      </c>
      <c r="CF37" s="111" t="s">
        <v>88</v>
      </c>
      <c r="CG37" s="111" t="s">
        <v>88</v>
      </c>
      <c r="CH37" s="111" t="s">
        <v>88</v>
      </c>
    </row>
    <row r="38" spans="1:86" ht="21.5" hidden="1" customHeight="1">
      <c r="A38" s="989"/>
      <c r="B38" s="977"/>
      <c r="C38" s="977"/>
      <c r="D38" s="975"/>
      <c r="E38" s="978"/>
      <c r="F38" s="1029" t="s">
        <v>88</v>
      </c>
      <c r="G38" s="975" t="s">
        <v>88</v>
      </c>
      <c r="H38" s="975" t="s">
        <v>88</v>
      </c>
      <c r="I38" s="984" t="s">
        <v>88</v>
      </c>
      <c r="J38" s="975" t="s">
        <v>88</v>
      </c>
      <c r="K38" s="975" t="s">
        <v>88</v>
      </c>
      <c r="L38" s="975" t="s">
        <v>88</v>
      </c>
      <c r="M38" s="975" t="s">
        <v>88</v>
      </c>
      <c r="N38" s="975" t="s">
        <v>88</v>
      </c>
      <c r="O38" s="975" t="s">
        <v>88</v>
      </c>
      <c r="P38" s="975" t="s">
        <v>88</v>
      </c>
      <c r="Q38" s="975" t="s">
        <v>88</v>
      </c>
      <c r="R38" s="975" t="s">
        <v>88</v>
      </c>
      <c r="S38" s="975" t="s">
        <v>88</v>
      </c>
      <c r="T38" s="974"/>
      <c r="U38" s="975" t="s">
        <v>88</v>
      </c>
      <c r="V38" s="973" t="s">
        <v>88</v>
      </c>
      <c r="W38" s="1020"/>
      <c r="X38" s="1020" t="s">
        <v>88</v>
      </c>
      <c r="Y38" s="974" t="s">
        <v>88</v>
      </c>
      <c r="Z38" s="1020" t="s">
        <v>88</v>
      </c>
      <c r="AA38" s="1020" t="s">
        <v>88</v>
      </c>
      <c r="AB38" s="974"/>
      <c r="AC38" s="975" t="s">
        <v>88</v>
      </c>
      <c r="AD38" s="975" t="s">
        <v>88</v>
      </c>
      <c r="AE38" s="974" t="s">
        <v>88</v>
      </c>
      <c r="AF38" s="975" t="s">
        <v>88</v>
      </c>
      <c r="AG38" s="973" t="s">
        <v>88</v>
      </c>
      <c r="AH38" s="975" t="s">
        <v>88</v>
      </c>
      <c r="AI38" s="975" t="s">
        <v>88</v>
      </c>
      <c r="AJ38" s="975" t="s">
        <v>88</v>
      </c>
      <c r="AK38" s="975" t="s">
        <v>88</v>
      </c>
      <c r="AL38" s="975" t="s">
        <v>88</v>
      </c>
      <c r="AM38" s="975" t="s">
        <v>88</v>
      </c>
      <c r="AN38" s="975" t="s">
        <v>88</v>
      </c>
      <c r="AO38" s="975" t="s">
        <v>88</v>
      </c>
      <c r="AP38" s="975" t="s">
        <v>88</v>
      </c>
      <c r="AQ38" s="975" t="s">
        <v>88</v>
      </c>
      <c r="AR38" s="975" t="s">
        <v>88</v>
      </c>
      <c r="AS38" s="975" t="s">
        <v>88</v>
      </c>
      <c r="AT38" s="331" t="s">
        <v>531</v>
      </c>
      <c r="AU38" s="331" t="s">
        <v>532</v>
      </c>
      <c r="AV38" s="331" t="s">
        <v>533</v>
      </c>
      <c r="AW38" s="340" t="s">
        <v>545</v>
      </c>
      <c r="AX38" s="340" t="s">
        <v>546</v>
      </c>
      <c r="AY38" s="331" t="s">
        <v>97</v>
      </c>
      <c r="AZ38" s="340" t="s">
        <v>121</v>
      </c>
      <c r="BA38" s="340" t="s">
        <v>547</v>
      </c>
      <c r="BB38" s="333">
        <v>45943</v>
      </c>
      <c r="BC38" s="340" t="s">
        <v>548</v>
      </c>
      <c r="BD38" s="340" t="s">
        <v>549</v>
      </c>
      <c r="BE38" s="333">
        <v>45945</v>
      </c>
      <c r="BF38" s="340" t="s">
        <v>183</v>
      </c>
      <c r="BG38" s="331" t="s">
        <v>97</v>
      </c>
      <c r="BH38" s="331" t="s">
        <v>88</v>
      </c>
      <c r="BI38" s="132" t="s">
        <v>98</v>
      </c>
      <c r="BJ38" s="132" t="s">
        <v>98</v>
      </c>
      <c r="BK38" s="132" t="s">
        <v>98</v>
      </c>
      <c r="BL38" s="667" t="s">
        <v>98</v>
      </c>
      <c r="BM38" s="657" t="s">
        <v>535</v>
      </c>
      <c r="BN38" s="29" t="s">
        <v>126</v>
      </c>
      <c r="BO38" s="705">
        <v>45943</v>
      </c>
      <c r="BP38" s="706">
        <v>0.34722222222222221</v>
      </c>
      <c r="BQ38" s="697" t="s">
        <v>550</v>
      </c>
      <c r="BR38" s="657" t="s">
        <v>535</v>
      </c>
      <c r="BS38" s="705">
        <v>45945</v>
      </c>
      <c r="BT38" s="706">
        <v>0.87152777777777779</v>
      </c>
      <c r="BU38" s="697" t="s">
        <v>551</v>
      </c>
      <c r="BV38" s="661">
        <v>320.95999999999998</v>
      </c>
      <c r="BW38" s="741">
        <v>1</v>
      </c>
      <c r="BX38" s="132">
        <v>1</v>
      </c>
      <c r="BY38" s="111"/>
      <c r="BZ38" s="483">
        <v>45943</v>
      </c>
      <c r="CA38" s="483">
        <v>45945</v>
      </c>
      <c r="CB38" s="111"/>
      <c r="CC38" s="111">
        <f>BW38+BX38+BY38</f>
        <v>2</v>
      </c>
      <c r="CD38" s="220" t="s">
        <v>88</v>
      </c>
      <c r="CE38" s="111" t="s">
        <v>88</v>
      </c>
      <c r="CF38" s="111" t="s">
        <v>88</v>
      </c>
      <c r="CG38" s="111" t="s">
        <v>88</v>
      </c>
      <c r="CH38" s="111" t="s">
        <v>88</v>
      </c>
    </row>
    <row r="39" spans="1:86" ht="67.5" customHeight="1">
      <c r="A39" s="238">
        <v>45945</v>
      </c>
      <c r="B39" s="237" t="s">
        <v>357</v>
      </c>
      <c r="C39" s="238">
        <v>45943</v>
      </c>
      <c r="D39" s="238">
        <v>45945</v>
      </c>
      <c r="E39" s="239">
        <v>2304</v>
      </c>
      <c r="F39" s="240" t="s">
        <v>552</v>
      </c>
      <c r="G39" s="237" t="s">
        <v>86</v>
      </c>
      <c r="H39" s="237" t="s">
        <v>87</v>
      </c>
      <c r="I39" s="241" t="s">
        <v>553</v>
      </c>
      <c r="J39" s="237" t="s">
        <v>89</v>
      </c>
      <c r="K39" s="237" t="s">
        <v>554</v>
      </c>
      <c r="L39" s="237" t="s">
        <v>555</v>
      </c>
      <c r="M39" s="237" t="s">
        <v>88</v>
      </c>
      <c r="N39" s="237" t="s">
        <v>556</v>
      </c>
      <c r="O39" s="237" t="s">
        <v>557</v>
      </c>
      <c r="P39" s="237" t="s">
        <v>558</v>
      </c>
      <c r="Q39" s="237" t="s">
        <v>559</v>
      </c>
      <c r="R39" s="237" t="s">
        <v>560</v>
      </c>
      <c r="S39" s="237" t="s">
        <v>110</v>
      </c>
      <c r="T39" s="117" t="s">
        <v>561</v>
      </c>
      <c r="U39" s="242" t="s">
        <v>562</v>
      </c>
      <c r="V39" s="243" t="s">
        <v>88</v>
      </c>
      <c r="W39" s="237" t="s">
        <v>88</v>
      </c>
      <c r="X39" s="237" t="s">
        <v>88</v>
      </c>
      <c r="Y39" s="237" t="s">
        <v>88</v>
      </c>
      <c r="Z39" s="237" t="s">
        <v>88</v>
      </c>
      <c r="AA39" s="237" t="s">
        <v>88</v>
      </c>
      <c r="AB39" s="237" t="s">
        <v>88</v>
      </c>
      <c r="AC39" s="237" t="s">
        <v>88</v>
      </c>
      <c r="AD39" s="237" t="s">
        <v>88</v>
      </c>
      <c r="AE39" s="237" t="s">
        <v>88</v>
      </c>
      <c r="AF39" s="242" t="s">
        <v>563</v>
      </c>
      <c r="AG39" s="244" t="s">
        <v>88</v>
      </c>
      <c r="AH39" s="111" t="s">
        <v>88</v>
      </c>
      <c r="AI39" s="111" t="s">
        <v>88</v>
      </c>
      <c r="AJ39" s="111" t="s">
        <v>88</v>
      </c>
      <c r="AK39" s="111" t="s">
        <v>88</v>
      </c>
      <c r="AL39" s="111" t="s">
        <v>88</v>
      </c>
      <c r="AM39" s="111" t="s">
        <v>88</v>
      </c>
      <c r="AN39" s="111" t="s">
        <v>88</v>
      </c>
      <c r="AO39" s="111" t="s">
        <v>88</v>
      </c>
      <c r="AP39" s="111" t="s">
        <v>88</v>
      </c>
      <c r="AQ39" s="237" t="s">
        <v>376</v>
      </c>
      <c r="AR39" s="111" t="s">
        <v>88</v>
      </c>
      <c r="AS39" s="111" t="s">
        <v>88</v>
      </c>
      <c r="AT39" s="456"/>
      <c r="AU39" s="456"/>
      <c r="AV39" s="456"/>
      <c r="AW39" s="938" t="s">
        <v>88</v>
      </c>
      <c r="AX39" s="456" t="s">
        <v>88</v>
      </c>
      <c r="AY39" s="456"/>
      <c r="AZ39" s="456"/>
      <c r="BA39" s="456"/>
      <c r="BB39" s="456"/>
      <c r="BC39" s="456"/>
      <c r="BD39" s="456"/>
      <c r="BE39" s="456"/>
      <c r="BF39" s="456"/>
      <c r="BG39" s="456"/>
      <c r="BH39" s="456" t="s">
        <v>88</v>
      </c>
      <c r="BI39" s="456" t="s">
        <v>88</v>
      </c>
      <c r="BJ39" s="456" t="s">
        <v>88</v>
      </c>
      <c r="BK39" s="456" t="s">
        <v>88</v>
      </c>
      <c r="BL39" s="456" t="s">
        <v>88</v>
      </c>
      <c r="BM39" s="939" t="s">
        <v>88</v>
      </c>
      <c r="BN39" s="943" t="s">
        <v>88</v>
      </c>
      <c r="BO39" s="943" t="s">
        <v>88</v>
      </c>
      <c r="BP39" s="943" t="s">
        <v>88</v>
      </c>
      <c r="BQ39" s="943" t="s">
        <v>88</v>
      </c>
      <c r="BR39" s="943" t="s">
        <v>88</v>
      </c>
      <c r="BS39" s="943" t="s">
        <v>88</v>
      </c>
      <c r="BT39" s="943" t="s">
        <v>88</v>
      </c>
      <c r="BU39" s="943" t="s">
        <v>88</v>
      </c>
      <c r="BV39" s="943" t="s">
        <v>88</v>
      </c>
      <c r="BW39" s="456"/>
      <c r="BX39" s="456"/>
      <c r="BY39" s="456"/>
      <c r="BZ39" s="456" t="s">
        <v>88</v>
      </c>
      <c r="CA39" s="456" t="s">
        <v>88</v>
      </c>
      <c r="CB39" s="456"/>
      <c r="CC39" s="456" t="s">
        <v>88</v>
      </c>
      <c r="CD39" s="456" t="s">
        <v>88</v>
      </c>
      <c r="CE39" s="456" t="s">
        <v>88</v>
      </c>
      <c r="CF39" s="456" t="s">
        <v>88</v>
      </c>
      <c r="CG39" s="456" t="s">
        <v>88</v>
      </c>
      <c r="CH39" s="456" t="s">
        <v>88</v>
      </c>
    </row>
    <row r="40" spans="1:86" s="166" customFormat="1" ht="21.5" customHeight="1">
      <c r="A40" s="999">
        <v>45944</v>
      </c>
      <c r="B40" s="1000" t="s">
        <v>456</v>
      </c>
      <c r="C40" s="999">
        <v>45943</v>
      </c>
      <c r="D40" s="999">
        <v>45945</v>
      </c>
      <c r="E40" s="1033">
        <v>2314</v>
      </c>
      <c r="F40" s="999" t="s">
        <v>564</v>
      </c>
      <c r="G40" s="999" t="s">
        <v>135</v>
      </c>
      <c r="H40" s="999" t="s">
        <v>87</v>
      </c>
      <c r="I40" s="1034">
        <v>205523142647</v>
      </c>
      <c r="J40" s="999" t="s">
        <v>97</v>
      </c>
      <c r="K40" s="999" t="s">
        <v>565</v>
      </c>
      <c r="L40" s="999" t="s">
        <v>566</v>
      </c>
      <c r="M40" s="999" t="s">
        <v>88</v>
      </c>
      <c r="N40" s="999" t="s">
        <v>567</v>
      </c>
      <c r="O40" s="999" t="s">
        <v>568</v>
      </c>
      <c r="P40" s="999" t="s">
        <v>569</v>
      </c>
      <c r="Q40" s="999" t="s">
        <v>570</v>
      </c>
      <c r="R40" s="999" t="s">
        <v>571</v>
      </c>
      <c r="S40" s="999" t="s">
        <v>110</v>
      </c>
      <c r="T40" s="1036" t="s">
        <v>98</v>
      </c>
      <c r="U40" s="999" t="s">
        <v>97</v>
      </c>
      <c r="V40" s="1035">
        <v>2</v>
      </c>
      <c r="W40" s="999" t="s">
        <v>572</v>
      </c>
      <c r="X40" s="999" t="s">
        <v>573</v>
      </c>
      <c r="Y40" s="1036" t="s">
        <v>574</v>
      </c>
      <c r="Z40" s="999" t="s">
        <v>575</v>
      </c>
      <c r="AA40" s="999" t="s">
        <v>576</v>
      </c>
      <c r="AB40" s="1036" t="s">
        <v>577</v>
      </c>
      <c r="AC40" s="999" t="s">
        <v>88</v>
      </c>
      <c r="AD40" s="999" t="s">
        <v>88</v>
      </c>
      <c r="AE40" s="999" t="s">
        <v>88</v>
      </c>
      <c r="AF40" s="999" t="s">
        <v>97</v>
      </c>
      <c r="AG40" s="1035">
        <v>2</v>
      </c>
      <c r="AH40" s="999" t="s">
        <v>572</v>
      </c>
      <c r="AI40" s="999" t="s">
        <v>573</v>
      </c>
      <c r="AJ40" s="999" t="s">
        <v>574</v>
      </c>
      <c r="AK40" s="999" t="s">
        <v>575</v>
      </c>
      <c r="AL40" s="999" t="s">
        <v>576</v>
      </c>
      <c r="AM40" s="999" t="s">
        <v>577</v>
      </c>
      <c r="AN40" s="999" t="s">
        <v>88</v>
      </c>
      <c r="AO40" s="999" t="s">
        <v>88</v>
      </c>
      <c r="AP40" s="999" t="s">
        <v>88</v>
      </c>
      <c r="AQ40" s="999" t="s">
        <v>376</v>
      </c>
      <c r="AR40" s="999" t="s">
        <v>118</v>
      </c>
      <c r="AS40" s="1037" t="s">
        <v>440</v>
      </c>
      <c r="AT40" s="615" t="s">
        <v>572</v>
      </c>
      <c r="AU40" s="615" t="s">
        <v>573</v>
      </c>
      <c r="AV40" s="615" t="s">
        <v>574</v>
      </c>
      <c r="AW40" s="616" t="s">
        <v>88</v>
      </c>
      <c r="AX40" s="615" t="s">
        <v>88</v>
      </c>
      <c r="AY40" s="615" t="s">
        <v>97</v>
      </c>
      <c r="AZ40" s="615" t="s">
        <v>88</v>
      </c>
      <c r="BA40" s="615" t="s">
        <v>88</v>
      </c>
      <c r="BB40" s="615" t="s">
        <v>88</v>
      </c>
      <c r="BC40" s="615" t="s">
        <v>88</v>
      </c>
      <c r="BD40" s="615" t="s">
        <v>88</v>
      </c>
      <c r="BE40" s="615" t="s">
        <v>88</v>
      </c>
      <c r="BF40" s="615" t="s">
        <v>88</v>
      </c>
      <c r="BG40" s="615" t="s">
        <v>97</v>
      </c>
      <c r="BH40" s="615" t="s">
        <v>88</v>
      </c>
      <c r="BI40" s="615" t="s">
        <v>88</v>
      </c>
      <c r="BJ40" s="615" t="s">
        <v>88</v>
      </c>
      <c r="BK40" s="615" t="s">
        <v>88</v>
      </c>
      <c r="BL40" s="615" t="s">
        <v>88</v>
      </c>
      <c r="BM40" s="615" t="s">
        <v>88</v>
      </c>
      <c r="BN40" s="615" t="s">
        <v>88</v>
      </c>
      <c r="BO40" s="615" t="s">
        <v>88</v>
      </c>
      <c r="BP40" s="615" t="s">
        <v>88</v>
      </c>
      <c r="BQ40" s="615" t="s">
        <v>88</v>
      </c>
      <c r="BR40" s="615" t="s">
        <v>88</v>
      </c>
      <c r="BS40" s="615" t="s">
        <v>88</v>
      </c>
      <c r="BT40" s="615" t="s">
        <v>88</v>
      </c>
      <c r="BU40" s="615" t="s">
        <v>88</v>
      </c>
      <c r="BV40" s="615" t="s">
        <v>88</v>
      </c>
      <c r="BW40" s="743">
        <v>0</v>
      </c>
      <c r="BX40" s="688">
        <v>0</v>
      </c>
      <c r="BY40" s="615"/>
      <c r="BZ40" s="615" t="s">
        <v>88</v>
      </c>
      <c r="CA40" s="615" t="s">
        <v>88</v>
      </c>
      <c r="CB40" s="615"/>
      <c r="CC40" s="615" t="s">
        <v>88</v>
      </c>
      <c r="CD40" s="745" t="s">
        <v>88</v>
      </c>
      <c r="CE40" s="615" t="s">
        <v>88</v>
      </c>
      <c r="CF40" s="615" t="s">
        <v>88</v>
      </c>
      <c r="CG40" s="615" t="s">
        <v>88</v>
      </c>
      <c r="CH40" s="615" t="s">
        <v>88</v>
      </c>
    </row>
    <row r="41" spans="1:86" s="166" customFormat="1" ht="21.5" hidden="1" customHeight="1">
      <c r="A41" s="1000"/>
      <c r="B41" s="1000"/>
      <c r="C41" s="1000"/>
      <c r="D41" s="1000"/>
      <c r="E41" s="1033"/>
      <c r="F41" s="1000" t="s">
        <v>88</v>
      </c>
      <c r="G41" s="1000" t="s">
        <v>88</v>
      </c>
      <c r="H41" s="1000" t="s">
        <v>88</v>
      </c>
      <c r="I41" s="1034" t="s">
        <v>88</v>
      </c>
      <c r="J41" s="1000" t="s">
        <v>88</v>
      </c>
      <c r="K41" s="1000" t="s">
        <v>88</v>
      </c>
      <c r="L41" s="1000" t="s">
        <v>88</v>
      </c>
      <c r="M41" s="1000" t="s">
        <v>88</v>
      </c>
      <c r="N41" s="1000" t="s">
        <v>88</v>
      </c>
      <c r="O41" s="1000" t="s">
        <v>88</v>
      </c>
      <c r="P41" s="1000" t="s">
        <v>88</v>
      </c>
      <c r="Q41" s="1000" t="s">
        <v>88</v>
      </c>
      <c r="R41" s="1000" t="s">
        <v>88</v>
      </c>
      <c r="S41" s="1000" t="s">
        <v>88</v>
      </c>
      <c r="T41" s="1036"/>
      <c r="U41" s="1000" t="s">
        <v>88</v>
      </c>
      <c r="V41" s="1035" t="s">
        <v>88</v>
      </c>
      <c r="W41" s="1000" t="s">
        <v>88</v>
      </c>
      <c r="X41" s="1000" t="s">
        <v>88</v>
      </c>
      <c r="Y41" s="1036"/>
      <c r="Z41" s="1000" t="s">
        <v>88</v>
      </c>
      <c r="AA41" s="1000" t="s">
        <v>88</v>
      </c>
      <c r="AB41" s="1036"/>
      <c r="AC41" s="1000" t="s">
        <v>88</v>
      </c>
      <c r="AD41" s="1000" t="s">
        <v>88</v>
      </c>
      <c r="AE41" s="1000" t="s">
        <v>88</v>
      </c>
      <c r="AF41" s="1000" t="s">
        <v>88</v>
      </c>
      <c r="AG41" s="1035" t="s">
        <v>88</v>
      </c>
      <c r="AH41" s="1000" t="s">
        <v>88</v>
      </c>
      <c r="AI41" s="1000" t="s">
        <v>88</v>
      </c>
      <c r="AJ41" s="1000" t="s">
        <v>88</v>
      </c>
      <c r="AK41" s="1000" t="s">
        <v>88</v>
      </c>
      <c r="AL41" s="1000" t="s">
        <v>88</v>
      </c>
      <c r="AM41" s="1000" t="s">
        <v>88</v>
      </c>
      <c r="AN41" s="1000" t="s">
        <v>88</v>
      </c>
      <c r="AO41" s="1000" t="s">
        <v>88</v>
      </c>
      <c r="AP41" s="1000" t="s">
        <v>88</v>
      </c>
      <c r="AQ41" s="1000" t="s">
        <v>88</v>
      </c>
      <c r="AR41" s="1000" t="s">
        <v>88</v>
      </c>
      <c r="AS41" s="1038" t="s">
        <v>88</v>
      </c>
      <c r="AT41" s="615" t="s">
        <v>575</v>
      </c>
      <c r="AU41" s="615" t="s">
        <v>576</v>
      </c>
      <c r="AV41" s="615" t="s">
        <v>577</v>
      </c>
      <c r="AW41" s="616">
        <v>380669944247</v>
      </c>
      <c r="AX41" s="615" t="s">
        <v>578</v>
      </c>
      <c r="AY41" s="615" t="s">
        <v>97</v>
      </c>
      <c r="AZ41" s="617" t="s">
        <v>579</v>
      </c>
      <c r="BA41" s="617" t="s">
        <v>422</v>
      </c>
      <c r="BB41" s="618">
        <v>45943</v>
      </c>
      <c r="BC41" s="617" t="s">
        <v>580</v>
      </c>
      <c r="BD41" s="617" t="s">
        <v>581</v>
      </c>
      <c r="BE41" s="618">
        <v>45946</v>
      </c>
      <c r="BF41" s="617" t="s">
        <v>582</v>
      </c>
      <c r="BG41" s="615" t="s">
        <v>97</v>
      </c>
      <c r="BH41" s="617" t="s">
        <v>583</v>
      </c>
      <c r="BI41" s="615" t="s">
        <v>88</v>
      </c>
      <c r="BJ41" s="615" t="s">
        <v>88</v>
      </c>
      <c r="BK41" s="615" t="s">
        <v>88</v>
      </c>
      <c r="BL41" s="615" t="s">
        <v>88</v>
      </c>
      <c r="BM41" s="615" t="s">
        <v>88</v>
      </c>
      <c r="BN41" s="615" t="s">
        <v>88</v>
      </c>
      <c r="BO41" s="615" t="s">
        <v>88</v>
      </c>
      <c r="BP41" s="615" t="s">
        <v>88</v>
      </c>
      <c r="BQ41" s="615" t="s">
        <v>88</v>
      </c>
      <c r="BR41" s="615" t="s">
        <v>88</v>
      </c>
      <c r="BS41" s="615" t="s">
        <v>88</v>
      </c>
      <c r="BT41" s="615" t="s">
        <v>88</v>
      </c>
      <c r="BU41" s="615" t="s">
        <v>88</v>
      </c>
      <c r="BV41" s="615" t="s">
        <v>88</v>
      </c>
      <c r="BW41" s="743">
        <v>0</v>
      </c>
      <c r="BX41" s="688">
        <v>0</v>
      </c>
      <c r="BY41" s="615"/>
      <c r="BZ41" s="615" t="s">
        <v>88</v>
      </c>
      <c r="CA41" s="615" t="s">
        <v>88</v>
      </c>
      <c r="CB41" s="615"/>
      <c r="CC41" s="615" t="s">
        <v>88</v>
      </c>
      <c r="CD41" s="745" t="s">
        <v>88</v>
      </c>
      <c r="CE41" s="615" t="s">
        <v>88</v>
      </c>
      <c r="CF41" s="615" t="s">
        <v>584</v>
      </c>
      <c r="CG41" s="615" t="s">
        <v>585</v>
      </c>
      <c r="CH41" s="615" t="s">
        <v>88</v>
      </c>
    </row>
    <row r="42" spans="1:86" ht="30.5" hidden="1" customHeight="1">
      <c r="A42" s="238">
        <v>45944</v>
      </c>
      <c r="B42" s="237" t="s">
        <v>186</v>
      </c>
      <c r="C42" s="238">
        <v>45943</v>
      </c>
      <c r="D42" s="238">
        <v>45945</v>
      </c>
      <c r="E42" s="239">
        <v>2315</v>
      </c>
      <c r="F42" s="240" t="s">
        <v>586</v>
      </c>
      <c r="G42" s="237" t="s">
        <v>86</v>
      </c>
      <c r="H42" s="237" t="s">
        <v>102</v>
      </c>
      <c r="I42" s="241" t="s">
        <v>88</v>
      </c>
      <c r="J42" s="237" t="s">
        <v>89</v>
      </c>
      <c r="K42" s="237" t="s">
        <v>587</v>
      </c>
      <c r="L42" s="237" t="s">
        <v>169</v>
      </c>
      <c r="M42" s="237" t="s">
        <v>88</v>
      </c>
      <c r="N42" s="237" t="s">
        <v>588</v>
      </c>
      <c r="O42" s="286" t="s">
        <v>589</v>
      </c>
      <c r="P42" s="237" t="s">
        <v>590</v>
      </c>
      <c r="Q42" s="237" t="s">
        <v>591</v>
      </c>
      <c r="R42" s="237" t="s">
        <v>592</v>
      </c>
      <c r="S42" s="111" t="s">
        <v>88</v>
      </c>
      <c r="T42" s="111" t="s">
        <v>88</v>
      </c>
      <c r="U42" s="111" t="s">
        <v>88</v>
      </c>
      <c r="V42" s="243" t="s">
        <v>88</v>
      </c>
      <c r="W42" s="111" t="s">
        <v>88</v>
      </c>
      <c r="X42" s="111" t="s">
        <v>88</v>
      </c>
      <c r="Y42" s="111" t="s">
        <v>88</v>
      </c>
      <c r="Z42" s="111" t="s">
        <v>88</v>
      </c>
      <c r="AA42" s="111" t="s">
        <v>88</v>
      </c>
      <c r="AB42" s="111" t="s">
        <v>88</v>
      </c>
      <c r="AC42" s="111" t="s">
        <v>88</v>
      </c>
      <c r="AD42" s="111" t="s">
        <v>88</v>
      </c>
      <c r="AE42" s="111" t="s">
        <v>88</v>
      </c>
      <c r="AF42" s="111" t="s">
        <v>88</v>
      </c>
      <c r="AG42" s="244" t="s">
        <v>88</v>
      </c>
      <c r="AH42" s="111" t="s">
        <v>88</v>
      </c>
      <c r="AI42" s="111" t="s">
        <v>88</v>
      </c>
      <c r="AJ42" s="111" t="s">
        <v>88</v>
      </c>
      <c r="AK42" s="111" t="s">
        <v>88</v>
      </c>
      <c r="AL42" s="111" t="s">
        <v>88</v>
      </c>
      <c r="AM42" s="111" t="s">
        <v>88</v>
      </c>
      <c r="AN42" s="111" t="s">
        <v>88</v>
      </c>
      <c r="AO42" s="111" t="s">
        <v>88</v>
      </c>
      <c r="AP42" s="111" t="s">
        <v>88</v>
      </c>
      <c r="AQ42" s="111" t="s">
        <v>88</v>
      </c>
      <c r="AR42" s="111" t="s">
        <v>88</v>
      </c>
      <c r="AS42" s="111" t="s">
        <v>88</v>
      </c>
      <c r="AT42" s="456"/>
      <c r="AU42" s="456"/>
      <c r="AV42" s="456"/>
      <c r="AW42" s="938" t="s">
        <v>88</v>
      </c>
      <c r="AX42" s="456" t="s">
        <v>88</v>
      </c>
      <c r="AY42" s="456"/>
      <c r="AZ42" s="456"/>
      <c r="BA42" s="456"/>
      <c r="BB42" s="456"/>
      <c r="BC42" s="456"/>
      <c r="BD42" s="456"/>
      <c r="BE42" s="456"/>
      <c r="BF42" s="456"/>
      <c r="BG42" s="456"/>
      <c r="BH42" s="456" t="s">
        <v>88</v>
      </c>
      <c r="BI42" s="456" t="s">
        <v>88</v>
      </c>
      <c r="BJ42" s="456" t="s">
        <v>88</v>
      </c>
      <c r="BK42" s="456" t="s">
        <v>88</v>
      </c>
      <c r="BL42" s="456" t="s">
        <v>88</v>
      </c>
      <c r="BM42" s="939" t="s">
        <v>88</v>
      </c>
      <c r="BN42" s="943" t="s">
        <v>88</v>
      </c>
      <c r="BO42" s="943" t="s">
        <v>88</v>
      </c>
      <c r="BP42" s="943" t="s">
        <v>88</v>
      </c>
      <c r="BQ42" s="943" t="s">
        <v>88</v>
      </c>
      <c r="BR42" s="943" t="s">
        <v>88</v>
      </c>
      <c r="BS42" s="943" t="s">
        <v>88</v>
      </c>
      <c r="BT42" s="943" t="s">
        <v>88</v>
      </c>
      <c r="BU42" s="943" t="s">
        <v>88</v>
      </c>
      <c r="BV42" s="943" t="s">
        <v>88</v>
      </c>
      <c r="BW42" s="456"/>
      <c r="BX42" s="456"/>
      <c r="BY42" s="456"/>
      <c r="BZ42" s="456" t="s">
        <v>88</v>
      </c>
      <c r="CA42" s="456" t="s">
        <v>88</v>
      </c>
      <c r="CB42" s="456"/>
      <c r="CC42" s="456" t="s">
        <v>88</v>
      </c>
      <c r="CD42" s="456" t="s">
        <v>88</v>
      </c>
      <c r="CE42" s="456" t="s">
        <v>88</v>
      </c>
      <c r="CF42" s="456" t="s">
        <v>88</v>
      </c>
      <c r="CG42" s="456" t="s">
        <v>88</v>
      </c>
      <c r="CH42" s="456" t="s">
        <v>88</v>
      </c>
    </row>
    <row r="43" spans="1:86" ht="46" hidden="1" customHeight="1">
      <c r="A43" s="238">
        <v>45944</v>
      </c>
      <c r="B43" s="237" t="s">
        <v>456</v>
      </c>
      <c r="C43" s="238">
        <v>45943</v>
      </c>
      <c r="D43" s="238">
        <v>45945</v>
      </c>
      <c r="E43" s="239">
        <v>2322</v>
      </c>
      <c r="F43" s="240" t="s">
        <v>593</v>
      </c>
      <c r="G43" s="237" t="s">
        <v>135</v>
      </c>
      <c r="H43" s="237" t="s">
        <v>87</v>
      </c>
      <c r="I43" s="241" t="s">
        <v>88</v>
      </c>
      <c r="J43" s="237" t="s">
        <v>89</v>
      </c>
      <c r="K43" s="237" t="s">
        <v>594</v>
      </c>
      <c r="L43" s="237" t="s">
        <v>189</v>
      </c>
      <c r="M43" s="237" t="s">
        <v>88</v>
      </c>
      <c r="N43" s="237" t="s">
        <v>595</v>
      </c>
      <c r="O43" s="253" t="s">
        <v>596</v>
      </c>
      <c r="P43" s="237" t="s">
        <v>192</v>
      </c>
      <c r="Q43" s="237" t="s">
        <v>597</v>
      </c>
      <c r="R43" s="237" t="s">
        <v>88</v>
      </c>
      <c r="S43" s="111" t="s">
        <v>88</v>
      </c>
      <c r="T43" s="111" t="s">
        <v>88</v>
      </c>
      <c r="U43" s="111" t="s">
        <v>88</v>
      </c>
      <c r="V43" s="243" t="s">
        <v>88</v>
      </c>
      <c r="W43" s="111" t="s">
        <v>88</v>
      </c>
      <c r="X43" s="111" t="s">
        <v>88</v>
      </c>
      <c r="Y43" s="111" t="s">
        <v>88</v>
      </c>
      <c r="Z43" s="111" t="s">
        <v>88</v>
      </c>
      <c r="AA43" s="111" t="s">
        <v>88</v>
      </c>
      <c r="AB43" s="111" t="s">
        <v>88</v>
      </c>
      <c r="AC43" s="111" t="s">
        <v>88</v>
      </c>
      <c r="AD43" s="111" t="s">
        <v>88</v>
      </c>
      <c r="AE43" s="111" t="s">
        <v>88</v>
      </c>
      <c r="AF43" s="111" t="s">
        <v>88</v>
      </c>
      <c r="AG43" s="244" t="s">
        <v>88</v>
      </c>
      <c r="AH43" s="111" t="s">
        <v>88</v>
      </c>
      <c r="AI43" s="111" t="s">
        <v>88</v>
      </c>
      <c r="AJ43" s="111" t="s">
        <v>88</v>
      </c>
      <c r="AK43" s="111" t="s">
        <v>88</v>
      </c>
      <c r="AL43" s="111" t="s">
        <v>88</v>
      </c>
      <c r="AM43" s="111" t="s">
        <v>88</v>
      </c>
      <c r="AN43" s="111" t="s">
        <v>88</v>
      </c>
      <c r="AO43" s="111" t="s">
        <v>88</v>
      </c>
      <c r="AP43" s="111" t="s">
        <v>88</v>
      </c>
      <c r="AQ43" s="111" t="s">
        <v>88</v>
      </c>
      <c r="AR43" s="111" t="s">
        <v>88</v>
      </c>
      <c r="AS43" s="111" t="s">
        <v>88</v>
      </c>
      <c r="AT43" s="456"/>
      <c r="AU43" s="456"/>
      <c r="AV43" s="456"/>
      <c r="AW43" s="938" t="s">
        <v>88</v>
      </c>
      <c r="AX43" s="456" t="s">
        <v>88</v>
      </c>
      <c r="AY43" s="456"/>
      <c r="AZ43" s="456"/>
      <c r="BA43" s="456"/>
      <c r="BB43" s="456"/>
      <c r="BC43" s="456"/>
      <c r="BD43" s="456"/>
      <c r="BE43" s="456"/>
      <c r="BF43" s="456"/>
      <c r="BG43" s="456"/>
      <c r="BH43" s="456" t="s">
        <v>88</v>
      </c>
      <c r="BI43" s="456" t="s">
        <v>88</v>
      </c>
      <c r="BJ43" s="456" t="s">
        <v>88</v>
      </c>
      <c r="BK43" s="456" t="s">
        <v>88</v>
      </c>
      <c r="BL43" s="456" t="s">
        <v>88</v>
      </c>
      <c r="BM43" s="939" t="s">
        <v>88</v>
      </c>
      <c r="BN43" s="943" t="s">
        <v>88</v>
      </c>
      <c r="BO43" s="943" t="s">
        <v>88</v>
      </c>
      <c r="BP43" s="943" t="s">
        <v>88</v>
      </c>
      <c r="BQ43" s="943" t="s">
        <v>88</v>
      </c>
      <c r="BR43" s="943" t="s">
        <v>88</v>
      </c>
      <c r="BS43" s="943" t="s">
        <v>88</v>
      </c>
      <c r="BT43" s="943" t="s">
        <v>88</v>
      </c>
      <c r="BU43" s="943" t="s">
        <v>88</v>
      </c>
      <c r="BV43" s="943" t="s">
        <v>88</v>
      </c>
      <c r="BW43" s="456"/>
      <c r="BX43" s="456"/>
      <c r="BY43" s="456"/>
      <c r="BZ43" s="456" t="s">
        <v>88</v>
      </c>
      <c r="CA43" s="456" t="s">
        <v>88</v>
      </c>
      <c r="CB43" s="456"/>
      <c r="CC43" s="456" t="s">
        <v>88</v>
      </c>
      <c r="CD43" s="456" t="s">
        <v>88</v>
      </c>
      <c r="CE43" s="456" t="s">
        <v>88</v>
      </c>
      <c r="CF43" s="456" t="s">
        <v>88</v>
      </c>
      <c r="CG43" s="456" t="s">
        <v>88</v>
      </c>
      <c r="CH43" s="456" t="s">
        <v>88</v>
      </c>
    </row>
    <row r="44" spans="1:86" ht="21.5" customHeight="1">
      <c r="A44" s="988">
        <v>45945</v>
      </c>
      <c r="B44" s="977" t="s">
        <v>186</v>
      </c>
      <c r="C44" s="976">
        <v>45943</v>
      </c>
      <c r="D44" s="976">
        <v>45945</v>
      </c>
      <c r="E44" s="978">
        <v>2348</v>
      </c>
      <c r="F44" s="992" t="s">
        <v>598</v>
      </c>
      <c r="G44" s="976" t="s">
        <v>86</v>
      </c>
      <c r="H44" s="976" t="s">
        <v>102</v>
      </c>
      <c r="I44" s="987" t="s">
        <v>88</v>
      </c>
      <c r="J44" s="976" t="s">
        <v>89</v>
      </c>
      <c r="K44" s="976" t="s">
        <v>599</v>
      </c>
      <c r="L44" s="976" t="s">
        <v>318</v>
      </c>
      <c r="M44" s="976" t="s">
        <v>88</v>
      </c>
      <c r="N44" s="976" t="s">
        <v>600</v>
      </c>
      <c r="O44" s="1015" t="s">
        <v>601</v>
      </c>
      <c r="P44" s="976" t="s">
        <v>602</v>
      </c>
      <c r="Q44" s="976" t="s">
        <v>461</v>
      </c>
      <c r="R44" s="976" t="s">
        <v>603</v>
      </c>
      <c r="S44" s="976" t="s">
        <v>97</v>
      </c>
      <c r="T44" s="1019" t="s">
        <v>98</v>
      </c>
      <c r="U44" s="976" t="s">
        <v>97</v>
      </c>
      <c r="V44" s="973">
        <v>3</v>
      </c>
      <c r="W44" s="976" t="s">
        <v>604</v>
      </c>
      <c r="X44" s="976" t="s">
        <v>605</v>
      </c>
      <c r="Y44" s="1041" t="s">
        <v>606</v>
      </c>
      <c r="Z44" s="969" t="s">
        <v>607</v>
      </c>
      <c r="AA44" s="969" t="s">
        <v>608</v>
      </c>
      <c r="AB44" s="1010" t="s">
        <v>609</v>
      </c>
      <c r="AC44" s="979" t="s">
        <v>610</v>
      </c>
      <c r="AD44" s="979" t="s">
        <v>611</v>
      </c>
      <c r="AE44" s="1010" t="s">
        <v>612</v>
      </c>
      <c r="AF44" s="979" t="s">
        <v>97</v>
      </c>
      <c r="AG44" s="1024">
        <v>3</v>
      </c>
      <c r="AH44" s="979" t="s">
        <v>604</v>
      </c>
      <c r="AI44" s="979" t="s">
        <v>605</v>
      </c>
      <c r="AJ44" s="979" t="s">
        <v>606</v>
      </c>
      <c r="AK44" s="1039" t="s">
        <v>607</v>
      </c>
      <c r="AL44" s="1039" t="s">
        <v>608</v>
      </c>
      <c r="AM44" s="1039" t="s">
        <v>609</v>
      </c>
      <c r="AN44" s="979" t="s">
        <v>610</v>
      </c>
      <c r="AO44" s="979" t="s">
        <v>611</v>
      </c>
      <c r="AP44" s="979" t="s">
        <v>612</v>
      </c>
      <c r="AQ44" s="979" t="s">
        <v>613</v>
      </c>
      <c r="AR44" s="979" t="s">
        <v>614</v>
      </c>
      <c r="AS44" s="975" t="s">
        <v>615</v>
      </c>
      <c r="AT44" s="603" t="s">
        <v>616</v>
      </c>
      <c r="AU44" s="603" t="s">
        <v>605</v>
      </c>
      <c r="AV44" s="343" t="s">
        <v>606</v>
      </c>
      <c r="AW44" s="332">
        <v>31653176168</v>
      </c>
      <c r="AX44" s="331" t="s">
        <v>617</v>
      </c>
      <c r="AY44" s="331" t="s">
        <v>97</v>
      </c>
      <c r="AZ44" s="434" t="s">
        <v>154</v>
      </c>
      <c r="BA44" s="434" t="s">
        <v>618</v>
      </c>
      <c r="BB44" s="333">
        <v>45943</v>
      </c>
      <c r="BC44" s="434" t="s">
        <v>619</v>
      </c>
      <c r="BD44" s="434" t="s">
        <v>618</v>
      </c>
      <c r="BE44" s="333">
        <v>45945</v>
      </c>
      <c r="BF44" s="434" t="s">
        <v>445</v>
      </c>
      <c r="BG44" s="331" t="s">
        <v>97</v>
      </c>
      <c r="BH44" s="331" t="s">
        <v>88</v>
      </c>
      <c r="BI44" s="132" t="s">
        <v>98</v>
      </c>
      <c r="BJ44" s="132" t="s">
        <v>98</v>
      </c>
      <c r="BK44" s="132" t="s">
        <v>98</v>
      </c>
      <c r="BL44" s="667" t="s">
        <v>98</v>
      </c>
      <c r="BM44" s="656" t="s">
        <v>618</v>
      </c>
      <c r="BN44" s="111" t="s">
        <v>425</v>
      </c>
      <c r="BO44" s="663">
        <v>45945</v>
      </c>
      <c r="BP44" s="664">
        <v>0.30486111111111114</v>
      </c>
      <c r="BQ44" s="111" t="s">
        <v>88</v>
      </c>
      <c r="BR44" s="656" t="s">
        <v>618</v>
      </c>
      <c r="BS44" s="663">
        <v>45945</v>
      </c>
      <c r="BT44" s="664">
        <v>0.74513888888888891</v>
      </c>
      <c r="BU44" s="111" t="s">
        <v>88</v>
      </c>
      <c r="BV44" s="666">
        <v>270.39999999999998</v>
      </c>
      <c r="BW44" s="743">
        <v>0</v>
      </c>
      <c r="BX44" s="688">
        <v>0</v>
      </c>
      <c r="BY44" s="111"/>
      <c r="BZ44" s="483"/>
      <c r="CA44" s="483"/>
      <c r="CB44" s="483"/>
      <c r="CC44" s="111">
        <f>BW44+BX44+BY44</f>
        <v>0</v>
      </c>
      <c r="CD44" s="220" t="s">
        <v>88</v>
      </c>
      <c r="CE44" s="111" t="s">
        <v>88</v>
      </c>
      <c r="CF44" s="111" t="s">
        <v>88</v>
      </c>
      <c r="CG44" s="111" t="s">
        <v>88</v>
      </c>
      <c r="CH44" s="111" t="s">
        <v>88</v>
      </c>
    </row>
    <row r="45" spans="1:86" ht="21.5" hidden="1" customHeight="1">
      <c r="A45" s="989"/>
      <c r="B45" s="977"/>
      <c r="C45" s="977"/>
      <c r="D45" s="977" t="s">
        <v>88</v>
      </c>
      <c r="E45" s="978"/>
      <c r="F45" s="986" t="s">
        <v>88</v>
      </c>
      <c r="G45" s="977" t="s">
        <v>88</v>
      </c>
      <c r="H45" s="977" t="s">
        <v>88</v>
      </c>
      <c r="I45" s="987" t="s">
        <v>88</v>
      </c>
      <c r="J45" s="977" t="s">
        <v>88</v>
      </c>
      <c r="K45" s="977" t="s">
        <v>88</v>
      </c>
      <c r="L45" s="977" t="s">
        <v>88</v>
      </c>
      <c r="M45" s="977" t="s">
        <v>88</v>
      </c>
      <c r="N45" s="977" t="s">
        <v>88</v>
      </c>
      <c r="O45" s="1040" t="s">
        <v>88</v>
      </c>
      <c r="P45" s="977" t="s">
        <v>88</v>
      </c>
      <c r="Q45" s="977" t="s">
        <v>88</v>
      </c>
      <c r="R45" s="977" t="s">
        <v>88</v>
      </c>
      <c r="S45" s="977" t="s">
        <v>88</v>
      </c>
      <c r="T45" s="1019"/>
      <c r="U45" s="977" t="s">
        <v>88</v>
      </c>
      <c r="V45" s="973" t="s">
        <v>88</v>
      </c>
      <c r="W45" s="977" t="s">
        <v>88</v>
      </c>
      <c r="X45" s="977" t="s">
        <v>88</v>
      </c>
      <c r="Y45" s="1042" t="s">
        <v>88</v>
      </c>
      <c r="Z45" s="969" t="s">
        <v>88</v>
      </c>
      <c r="AA45" s="969" t="s">
        <v>88</v>
      </c>
      <c r="AB45" s="1010" t="s">
        <v>88</v>
      </c>
      <c r="AC45" s="980" t="s">
        <v>88</v>
      </c>
      <c r="AD45" s="980" t="s">
        <v>88</v>
      </c>
      <c r="AE45" s="1010"/>
      <c r="AF45" s="980" t="s">
        <v>88</v>
      </c>
      <c r="AG45" s="1024" t="s">
        <v>88</v>
      </c>
      <c r="AH45" s="980" t="s">
        <v>88</v>
      </c>
      <c r="AI45" s="980" t="s">
        <v>88</v>
      </c>
      <c r="AJ45" s="980" t="s">
        <v>88</v>
      </c>
      <c r="AK45" s="1039" t="s">
        <v>88</v>
      </c>
      <c r="AL45" s="1039" t="s">
        <v>88</v>
      </c>
      <c r="AM45" s="1039" t="s">
        <v>88</v>
      </c>
      <c r="AN45" s="980" t="s">
        <v>88</v>
      </c>
      <c r="AO45" s="980" t="s">
        <v>88</v>
      </c>
      <c r="AP45" s="980" t="s">
        <v>88</v>
      </c>
      <c r="AQ45" s="980" t="s">
        <v>88</v>
      </c>
      <c r="AR45" s="980" t="s">
        <v>88</v>
      </c>
      <c r="AS45" s="975" t="s">
        <v>88</v>
      </c>
      <c r="AT45" s="331" t="s">
        <v>610</v>
      </c>
      <c r="AU45" s="331" t="s">
        <v>611</v>
      </c>
      <c r="AV45" s="343" t="s">
        <v>612</v>
      </c>
      <c r="AW45" s="340" t="s">
        <v>620</v>
      </c>
      <c r="AX45" s="344" t="s">
        <v>621</v>
      </c>
      <c r="AY45" s="331" t="s">
        <v>97</v>
      </c>
      <c r="AZ45" s="331" t="s">
        <v>121</v>
      </c>
      <c r="BA45" s="331" t="s">
        <v>408</v>
      </c>
      <c r="BB45" s="333">
        <v>45943</v>
      </c>
      <c r="BC45" s="331" t="s">
        <v>622</v>
      </c>
      <c r="BD45" s="331" t="s">
        <v>408</v>
      </c>
      <c r="BE45" s="333">
        <v>45945</v>
      </c>
      <c r="BF45" s="331" t="s">
        <v>623</v>
      </c>
      <c r="BG45" s="331" t="s">
        <v>97</v>
      </c>
      <c r="BH45" s="331"/>
      <c r="BI45" s="132" t="s">
        <v>98</v>
      </c>
      <c r="BJ45" s="132" t="s">
        <v>98</v>
      </c>
      <c r="BK45" s="132" t="s">
        <v>98</v>
      </c>
      <c r="BL45" s="667" t="s">
        <v>98</v>
      </c>
      <c r="BM45" s="111" t="s">
        <v>408</v>
      </c>
      <c r="BN45" s="29" t="s">
        <v>126</v>
      </c>
      <c r="BO45" s="658">
        <v>45943</v>
      </c>
      <c r="BP45" s="659">
        <v>0.77083333333333337</v>
      </c>
      <c r="BQ45" s="660" t="s">
        <v>624</v>
      </c>
      <c r="BR45" s="111" t="s">
        <v>408</v>
      </c>
      <c r="BS45" s="658">
        <v>45945</v>
      </c>
      <c r="BT45" s="659">
        <v>0.66666666666666663</v>
      </c>
      <c r="BU45" s="660" t="s">
        <v>625</v>
      </c>
      <c r="BV45" s="662">
        <v>398.12</v>
      </c>
      <c r="BW45" s="741">
        <v>1</v>
      </c>
      <c r="BX45" s="132">
        <v>1</v>
      </c>
      <c r="BY45" s="111"/>
      <c r="BZ45" s="483">
        <v>45943</v>
      </c>
      <c r="CA45" s="483">
        <v>45945</v>
      </c>
      <c r="CB45" s="483"/>
      <c r="CC45" s="111">
        <f>BW45+BX45+BY45</f>
        <v>2</v>
      </c>
      <c r="CD45" s="220" t="s">
        <v>88</v>
      </c>
      <c r="CE45" s="111" t="s">
        <v>88</v>
      </c>
      <c r="CF45" s="111" t="s">
        <v>88</v>
      </c>
      <c r="CG45" s="111" t="s">
        <v>88</v>
      </c>
      <c r="CH45" s="111" t="s">
        <v>88</v>
      </c>
    </row>
    <row r="46" spans="1:86" ht="21.5" hidden="1" customHeight="1">
      <c r="A46" s="989"/>
      <c r="B46" s="977"/>
      <c r="C46" s="977"/>
      <c r="D46" s="977" t="s">
        <v>88</v>
      </c>
      <c r="E46" s="978"/>
      <c r="F46" s="986" t="s">
        <v>88</v>
      </c>
      <c r="G46" s="977" t="s">
        <v>88</v>
      </c>
      <c r="H46" s="977" t="s">
        <v>88</v>
      </c>
      <c r="I46" s="987" t="s">
        <v>88</v>
      </c>
      <c r="J46" s="977" t="s">
        <v>88</v>
      </c>
      <c r="K46" s="977" t="s">
        <v>88</v>
      </c>
      <c r="L46" s="977" t="s">
        <v>88</v>
      </c>
      <c r="M46" s="977" t="s">
        <v>88</v>
      </c>
      <c r="N46" s="977" t="s">
        <v>88</v>
      </c>
      <c r="O46" s="1040" t="s">
        <v>88</v>
      </c>
      <c r="P46" s="977" t="s">
        <v>88</v>
      </c>
      <c r="Q46" s="977" t="s">
        <v>88</v>
      </c>
      <c r="R46" s="977" t="s">
        <v>88</v>
      </c>
      <c r="S46" s="977" t="s">
        <v>88</v>
      </c>
      <c r="T46" s="1019"/>
      <c r="U46" s="977" t="s">
        <v>88</v>
      </c>
      <c r="V46" s="973" t="s">
        <v>88</v>
      </c>
      <c r="W46" s="977" t="s">
        <v>88</v>
      </c>
      <c r="X46" s="977" t="s">
        <v>88</v>
      </c>
      <c r="Y46" s="1042" t="s">
        <v>88</v>
      </c>
      <c r="Z46" s="969" t="s">
        <v>88</v>
      </c>
      <c r="AA46" s="969" t="s">
        <v>88</v>
      </c>
      <c r="AB46" s="1010" t="s">
        <v>88</v>
      </c>
      <c r="AC46" s="980" t="s">
        <v>88</v>
      </c>
      <c r="AD46" s="980" t="s">
        <v>88</v>
      </c>
      <c r="AE46" s="1010"/>
      <c r="AF46" s="980" t="s">
        <v>88</v>
      </c>
      <c r="AG46" s="1024" t="s">
        <v>88</v>
      </c>
      <c r="AH46" s="980" t="s">
        <v>88</v>
      </c>
      <c r="AI46" s="980" t="s">
        <v>88</v>
      </c>
      <c r="AJ46" s="980" t="s">
        <v>88</v>
      </c>
      <c r="AK46" s="1039" t="s">
        <v>88</v>
      </c>
      <c r="AL46" s="1039" t="s">
        <v>88</v>
      </c>
      <c r="AM46" s="1039" t="s">
        <v>88</v>
      </c>
      <c r="AN46" s="980" t="s">
        <v>88</v>
      </c>
      <c r="AO46" s="980" t="s">
        <v>88</v>
      </c>
      <c r="AP46" s="980" t="s">
        <v>88</v>
      </c>
      <c r="AQ46" s="980" t="s">
        <v>88</v>
      </c>
      <c r="AR46" s="980" t="s">
        <v>88</v>
      </c>
      <c r="AS46" s="975" t="s">
        <v>88</v>
      </c>
      <c r="AT46" s="459" t="s">
        <v>607</v>
      </c>
      <c r="AU46" s="459" t="s">
        <v>626</v>
      </c>
      <c r="AV46" s="462" t="s">
        <v>609</v>
      </c>
      <c r="AW46" s="194" t="s">
        <v>88</v>
      </c>
      <c r="AX46" s="111" t="s">
        <v>88</v>
      </c>
      <c r="AY46" s="111" t="s">
        <v>97</v>
      </c>
      <c r="AZ46" s="111" t="s">
        <v>88</v>
      </c>
      <c r="BA46" s="111" t="s">
        <v>88</v>
      </c>
      <c r="BB46" s="111" t="s">
        <v>88</v>
      </c>
      <c r="BC46" s="111" t="s">
        <v>88</v>
      </c>
      <c r="BD46" s="111" t="s">
        <v>88</v>
      </c>
      <c r="BE46" s="111" t="s">
        <v>88</v>
      </c>
      <c r="BF46" s="111" t="s">
        <v>88</v>
      </c>
      <c r="BG46" s="111" t="s">
        <v>97</v>
      </c>
      <c r="BH46" s="111" t="s">
        <v>88</v>
      </c>
      <c r="BI46" s="111" t="s">
        <v>88</v>
      </c>
      <c r="BJ46" s="111" t="s">
        <v>88</v>
      </c>
      <c r="BK46" s="111" t="s">
        <v>88</v>
      </c>
      <c r="BL46" s="219" t="s">
        <v>88</v>
      </c>
      <c r="BM46" s="111" t="s">
        <v>88</v>
      </c>
      <c r="BN46" s="111" t="s">
        <v>88</v>
      </c>
      <c r="BO46" s="111" t="s">
        <v>88</v>
      </c>
      <c r="BP46" s="111" t="s">
        <v>88</v>
      </c>
      <c r="BQ46" s="111" t="s">
        <v>88</v>
      </c>
      <c r="BR46" s="111" t="s">
        <v>88</v>
      </c>
      <c r="BS46" s="111" t="s">
        <v>88</v>
      </c>
      <c r="BT46" s="111" t="s">
        <v>88</v>
      </c>
      <c r="BU46" s="111" t="s">
        <v>88</v>
      </c>
      <c r="BV46" s="111" t="s">
        <v>88</v>
      </c>
      <c r="BW46" s="772"/>
      <c r="BX46" s="737"/>
      <c r="BY46" s="111"/>
      <c r="BZ46" s="111" t="s">
        <v>88</v>
      </c>
      <c r="CA46" s="111" t="s">
        <v>88</v>
      </c>
      <c r="CB46" s="111"/>
      <c r="CC46" s="111" t="s">
        <v>88</v>
      </c>
      <c r="CD46" s="220" t="s">
        <v>88</v>
      </c>
      <c r="CE46" s="111" t="s">
        <v>88</v>
      </c>
      <c r="CF46" s="111" t="s">
        <v>88</v>
      </c>
      <c r="CG46" s="111" t="s">
        <v>88</v>
      </c>
      <c r="CH46" s="111" t="s">
        <v>88</v>
      </c>
    </row>
    <row r="47" spans="1:86" ht="21.5" customHeight="1">
      <c r="A47" s="988">
        <v>45944</v>
      </c>
      <c r="B47" s="977" t="s">
        <v>165</v>
      </c>
      <c r="C47" s="976">
        <v>45943</v>
      </c>
      <c r="D47" s="976">
        <v>45945</v>
      </c>
      <c r="E47" s="990">
        <v>2365</v>
      </c>
      <c r="F47" s="992" t="s">
        <v>627</v>
      </c>
      <c r="G47" s="976" t="s">
        <v>135</v>
      </c>
      <c r="H47" s="976" t="s">
        <v>102</v>
      </c>
      <c r="I47" s="987" t="s">
        <v>88</v>
      </c>
      <c r="J47" s="976" t="s">
        <v>89</v>
      </c>
      <c r="K47" s="976" t="s">
        <v>628</v>
      </c>
      <c r="L47" s="976" t="s">
        <v>189</v>
      </c>
      <c r="M47" s="976" t="s">
        <v>88</v>
      </c>
      <c r="N47" s="976" t="s">
        <v>629</v>
      </c>
      <c r="O47" s="1015" t="s">
        <v>630</v>
      </c>
      <c r="P47" s="976" t="s">
        <v>631</v>
      </c>
      <c r="Q47" s="976" t="s">
        <v>632</v>
      </c>
      <c r="R47" s="976" t="s">
        <v>88</v>
      </c>
      <c r="S47" s="976" t="s">
        <v>110</v>
      </c>
      <c r="T47" s="1019" t="s">
        <v>633</v>
      </c>
      <c r="U47" s="964" t="s">
        <v>97</v>
      </c>
      <c r="V47" s="973">
        <v>3</v>
      </c>
      <c r="W47" s="964" t="s">
        <v>634</v>
      </c>
      <c r="X47" s="964" t="s">
        <v>635</v>
      </c>
      <c r="Y47" s="1010" t="s">
        <v>636</v>
      </c>
      <c r="Z47" s="964" t="s">
        <v>637</v>
      </c>
      <c r="AA47" s="964" t="s">
        <v>638</v>
      </c>
      <c r="AB47" s="1010" t="s">
        <v>639</v>
      </c>
      <c r="AC47" s="1043" t="s">
        <v>640</v>
      </c>
      <c r="AD47" s="1043" t="s">
        <v>641</v>
      </c>
      <c r="AE47" s="1010" t="s">
        <v>642</v>
      </c>
      <c r="AF47" s="964" t="s">
        <v>97</v>
      </c>
      <c r="AG47" s="973">
        <v>3</v>
      </c>
      <c r="AH47" s="964" t="s">
        <v>634</v>
      </c>
      <c r="AI47" s="964" t="s">
        <v>635</v>
      </c>
      <c r="AJ47" s="1014" t="s">
        <v>636</v>
      </c>
      <c r="AK47" s="964" t="s">
        <v>637</v>
      </c>
      <c r="AL47" s="964" t="s">
        <v>638</v>
      </c>
      <c r="AM47" s="1014" t="s">
        <v>639</v>
      </c>
      <c r="AN47" s="1043" t="s">
        <v>640</v>
      </c>
      <c r="AO47" s="1043" t="s">
        <v>641</v>
      </c>
      <c r="AP47" s="1046" t="s">
        <v>642</v>
      </c>
      <c r="AQ47" s="964"/>
      <c r="AR47" s="976" t="s">
        <v>88</v>
      </c>
      <c r="AS47" s="975" t="s">
        <v>643</v>
      </c>
      <c r="AT47" s="331" t="s">
        <v>644</v>
      </c>
      <c r="AU47" s="331" t="s">
        <v>635</v>
      </c>
      <c r="AV47" s="378" t="s">
        <v>645</v>
      </c>
      <c r="AW47" s="332">
        <v>393397093707</v>
      </c>
      <c r="AX47" s="331" t="s">
        <v>646</v>
      </c>
      <c r="AY47" s="331" t="s">
        <v>97</v>
      </c>
      <c r="AZ47" s="349" t="s">
        <v>121</v>
      </c>
      <c r="BA47" s="349" t="s">
        <v>647</v>
      </c>
      <c r="BB47" s="333">
        <v>45943</v>
      </c>
      <c r="BC47" s="379">
        <v>0.5</v>
      </c>
      <c r="BD47" s="349" t="s">
        <v>647</v>
      </c>
      <c r="BE47" s="333">
        <v>45945</v>
      </c>
      <c r="BF47" s="379">
        <v>0.75</v>
      </c>
      <c r="BG47" s="331" t="s">
        <v>97</v>
      </c>
      <c r="BH47" s="331" t="s">
        <v>88</v>
      </c>
      <c r="BI47" s="132" t="s">
        <v>98</v>
      </c>
      <c r="BJ47" s="111" t="s">
        <v>88</v>
      </c>
      <c r="BK47" s="111" t="s">
        <v>88</v>
      </c>
      <c r="BL47" s="219" t="s">
        <v>88</v>
      </c>
      <c r="BM47" s="113" t="s">
        <v>647</v>
      </c>
      <c r="BN47" s="29" t="s">
        <v>126</v>
      </c>
      <c r="BO47" s="29"/>
      <c r="BP47" s="111" t="s">
        <v>88</v>
      </c>
      <c r="BQ47" s="111" t="s">
        <v>88</v>
      </c>
      <c r="BR47" s="113" t="s">
        <v>647</v>
      </c>
      <c r="BS47" s="111" t="s">
        <v>88</v>
      </c>
      <c r="BT47" s="111" t="s">
        <v>88</v>
      </c>
      <c r="BU47" s="111" t="s">
        <v>88</v>
      </c>
      <c r="BV47" s="111" t="s">
        <v>88</v>
      </c>
      <c r="BW47" s="772"/>
      <c r="BX47" s="737"/>
      <c r="BY47" s="111"/>
      <c r="BZ47" s="111" t="s">
        <v>88</v>
      </c>
      <c r="CA47" s="111" t="s">
        <v>88</v>
      </c>
      <c r="CB47" s="111"/>
      <c r="CC47" s="111">
        <f>BW47+BX47+BY47</f>
        <v>0</v>
      </c>
      <c r="CD47" s="220" t="s">
        <v>88</v>
      </c>
      <c r="CE47" s="111" t="s">
        <v>88</v>
      </c>
      <c r="CF47" s="111" t="s">
        <v>88</v>
      </c>
      <c r="CG47" s="111" t="s">
        <v>88</v>
      </c>
      <c r="CH47" s="111" t="s">
        <v>88</v>
      </c>
    </row>
    <row r="48" spans="1:86" ht="21.5" hidden="1" customHeight="1">
      <c r="A48" s="989"/>
      <c r="B48" s="977"/>
      <c r="C48" s="977"/>
      <c r="D48" s="977"/>
      <c r="E48" s="990"/>
      <c r="F48" s="986" t="s">
        <v>88</v>
      </c>
      <c r="G48" s="977" t="s">
        <v>88</v>
      </c>
      <c r="H48" s="977" t="s">
        <v>88</v>
      </c>
      <c r="I48" s="987" t="s">
        <v>88</v>
      </c>
      <c r="J48" s="977" t="s">
        <v>88</v>
      </c>
      <c r="K48" s="977" t="s">
        <v>88</v>
      </c>
      <c r="L48" s="977" t="s">
        <v>88</v>
      </c>
      <c r="M48" s="977" t="s">
        <v>88</v>
      </c>
      <c r="N48" s="977" t="s">
        <v>88</v>
      </c>
      <c r="O48" s="1040" t="s">
        <v>88</v>
      </c>
      <c r="P48" s="977" t="s">
        <v>88</v>
      </c>
      <c r="Q48" s="977" t="s">
        <v>88</v>
      </c>
      <c r="R48" s="977" t="s">
        <v>88</v>
      </c>
      <c r="S48" s="977" t="s">
        <v>88</v>
      </c>
      <c r="T48" s="1019"/>
      <c r="U48" s="964"/>
      <c r="V48" s="973"/>
      <c r="W48" s="964" t="s">
        <v>88</v>
      </c>
      <c r="X48" s="964" t="s">
        <v>88</v>
      </c>
      <c r="Y48" s="1010" t="s">
        <v>88</v>
      </c>
      <c r="Z48" s="964" t="s">
        <v>88</v>
      </c>
      <c r="AA48" s="964" t="s">
        <v>88</v>
      </c>
      <c r="AB48" s="1010" t="s">
        <v>88</v>
      </c>
      <c r="AC48" s="1043" t="s">
        <v>88</v>
      </c>
      <c r="AD48" s="1043" t="s">
        <v>88</v>
      </c>
      <c r="AE48" s="1010" t="s">
        <v>88</v>
      </c>
      <c r="AF48" s="964" t="s">
        <v>88</v>
      </c>
      <c r="AG48" s="973" t="s">
        <v>88</v>
      </c>
      <c r="AH48" s="964" t="s">
        <v>88</v>
      </c>
      <c r="AI48" s="964" t="s">
        <v>88</v>
      </c>
      <c r="AJ48" s="1014" t="s">
        <v>88</v>
      </c>
      <c r="AK48" s="964" t="s">
        <v>88</v>
      </c>
      <c r="AL48" s="964" t="s">
        <v>88</v>
      </c>
      <c r="AM48" s="1014" t="s">
        <v>88</v>
      </c>
      <c r="AN48" s="1043" t="s">
        <v>88</v>
      </c>
      <c r="AO48" s="1043" t="s">
        <v>88</v>
      </c>
      <c r="AP48" s="1046" t="s">
        <v>88</v>
      </c>
      <c r="AQ48" s="964"/>
      <c r="AR48" s="977" t="s">
        <v>88</v>
      </c>
      <c r="AS48" s="975" t="s">
        <v>88</v>
      </c>
      <c r="AT48" s="456" t="s">
        <v>637</v>
      </c>
      <c r="AU48" s="456" t="s">
        <v>638</v>
      </c>
      <c r="AV48" s="458" t="s">
        <v>639</v>
      </c>
      <c r="AW48" s="332">
        <v>491741512511</v>
      </c>
      <c r="AX48" s="331" t="s">
        <v>648</v>
      </c>
      <c r="AY48" s="331" t="s">
        <v>97</v>
      </c>
      <c r="AZ48" s="434" t="s">
        <v>154</v>
      </c>
      <c r="BA48" s="434" t="s">
        <v>649</v>
      </c>
      <c r="BB48" s="333">
        <v>45943</v>
      </c>
      <c r="BC48" s="434">
        <v>9</v>
      </c>
      <c r="BD48" s="434" t="s">
        <v>130</v>
      </c>
      <c r="BE48" s="333">
        <v>45945</v>
      </c>
      <c r="BF48" s="434">
        <v>17.25</v>
      </c>
      <c r="BG48" s="331" t="s">
        <v>89</v>
      </c>
      <c r="BH48" s="434" t="s">
        <v>650</v>
      </c>
      <c r="BI48" s="111" t="s">
        <v>88</v>
      </c>
      <c r="BJ48" s="111" t="s">
        <v>88</v>
      </c>
      <c r="BK48" s="111" t="s">
        <v>88</v>
      </c>
      <c r="BL48" s="219" t="s">
        <v>88</v>
      </c>
      <c r="BM48" s="111" t="s">
        <v>88</v>
      </c>
      <c r="BN48" s="111" t="s">
        <v>88</v>
      </c>
      <c r="BO48" s="111" t="s">
        <v>88</v>
      </c>
      <c r="BP48" s="111" t="s">
        <v>88</v>
      </c>
      <c r="BQ48" s="111" t="s">
        <v>88</v>
      </c>
      <c r="BR48" s="111" t="s">
        <v>88</v>
      </c>
      <c r="BS48" s="111" t="s">
        <v>88</v>
      </c>
      <c r="BT48" s="111" t="s">
        <v>88</v>
      </c>
      <c r="BU48" s="111" t="s">
        <v>88</v>
      </c>
      <c r="BV48" s="111" t="s">
        <v>88</v>
      </c>
      <c r="BW48" s="772"/>
      <c r="BX48" s="737"/>
      <c r="BY48" s="111"/>
      <c r="BZ48" s="111" t="s">
        <v>88</v>
      </c>
      <c r="CA48" s="111" t="s">
        <v>88</v>
      </c>
      <c r="CB48" s="111"/>
      <c r="CC48" s="111" t="s">
        <v>88</v>
      </c>
      <c r="CD48" s="220" t="s">
        <v>88</v>
      </c>
      <c r="CE48" s="111" t="s">
        <v>88</v>
      </c>
      <c r="CF48" s="111" t="s">
        <v>88</v>
      </c>
      <c r="CG48" s="111" t="s">
        <v>88</v>
      </c>
      <c r="CH48" s="111" t="s">
        <v>88</v>
      </c>
    </row>
    <row r="49" spans="1:86" ht="21.5" hidden="1" customHeight="1">
      <c r="A49" s="989"/>
      <c r="B49" s="977"/>
      <c r="C49" s="977"/>
      <c r="D49" s="977"/>
      <c r="E49" s="990"/>
      <c r="F49" s="986" t="s">
        <v>88</v>
      </c>
      <c r="G49" s="977" t="s">
        <v>88</v>
      </c>
      <c r="H49" s="977" t="s">
        <v>88</v>
      </c>
      <c r="I49" s="987" t="s">
        <v>88</v>
      </c>
      <c r="J49" s="977" t="s">
        <v>88</v>
      </c>
      <c r="K49" s="977" t="s">
        <v>88</v>
      </c>
      <c r="L49" s="977" t="s">
        <v>88</v>
      </c>
      <c r="M49" s="977" t="s">
        <v>88</v>
      </c>
      <c r="N49" s="977" t="s">
        <v>88</v>
      </c>
      <c r="O49" s="1040" t="s">
        <v>88</v>
      </c>
      <c r="P49" s="977" t="s">
        <v>88</v>
      </c>
      <c r="Q49" s="977" t="s">
        <v>88</v>
      </c>
      <c r="R49" s="977" t="s">
        <v>88</v>
      </c>
      <c r="S49" s="977" t="s">
        <v>88</v>
      </c>
      <c r="T49" s="1019"/>
      <c r="U49" s="964"/>
      <c r="V49" s="973"/>
      <c r="W49" s="964" t="s">
        <v>88</v>
      </c>
      <c r="X49" s="964" t="s">
        <v>88</v>
      </c>
      <c r="Y49" s="1010" t="s">
        <v>88</v>
      </c>
      <c r="Z49" s="964" t="s">
        <v>88</v>
      </c>
      <c r="AA49" s="964" t="s">
        <v>88</v>
      </c>
      <c r="AB49" s="1010" t="s">
        <v>88</v>
      </c>
      <c r="AC49" s="1043" t="s">
        <v>88</v>
      </c>
      <c r="AD49" s="1043" t="s">
        <v>88</v>
      </c>
      <c r="AE49" s="1010" t="s">
        <v>88</v>
      </c>
      <c r="AF49" s="964" t="s">
        <v>88</v>
      </c>
      <c r="AG49" s="973" t="s">
        <v>88</v>
      </c>
      <c r="AH49" s="964" t="s">
        <v>88</v>
      </c>
      <c r="AI49" s="964" t="s">
        <v>88</v>
      </c>
      <c r="AJ49" s="1014" t="s">
        <v>88</v>
      </c>
      <c r="AK49" s="964" t="s">
        <v>88</v>
      </c>
      <c r="AL49" s="964" t="s">
        <v>88</v>
      </c>
      <c r="AM49" s="1014" t="s">
        <v>88</v>
      </c>
      <c r="AN49" s="1043" t="s">
        <v>88</v>
      </c>
      <c r="AO49" s="1043" t="s">
        <v>88</v>
      </c>
      <c r="AP49" s="1046" t="s">
        <v>88</v>
      </c>
      <c r="AQ49" s="964"/>
      <c r="AR49" s="977" t="s">
        <v>88</v>
      </c>
      <c r="AS49" s="975" t="s">
        <v>88</v>
      </c>
      <c r="AT49" s="331" t="s">
        <v>651</v>
      </c>
      <c r="AU49" s="331" t="s">
        <v>641</v>
      </c>
      <c r="AV49" s="436" t="s">
        <v>642</v>
      </c>
      <c r="AW49" s="332" t="s">
        <v>652</v>
      </c>
      <c r="AX49" s="331" t="s">
        <v>653</v>
      </c>
      <c r="AY49" s="331" t="s">
        <v>97</v>
      </c>
      <c r="AZ49" s="434" t="s">
        <v>121</v>
      </c>
      <c r="BA49" s="434" t="s">
        <v>130</v>
      </c>
      <c r="BB49" s="333">
        <v>45943</v>
      </c>
      <c r="BC49" s="434">
        <v>9</v>
      </c>
      <c r="BD49" s="434" t="s">
        <v>130</v>
      </c>
      <c r="BE49" s="333">
        <v>45945</v>
      </c>
      <c r="BF49" s="434">
        <v>13</v>
      </c>
      <c r="BG49" s="331" t="s">
        <v>97</v>
      </c>
      <c r="BH49" s="331" t="s">
        <v>88</v>
      </c>
      <c r="BI49" s="111" t="s">
        <v>98</v>
      </c>
      <c r="BJ49" s="111" t="s">
        <v>98</v>
      </c>
      <c r="BK49" s="111" t="s">
        <v>98</v>
      </c>
      <c r="BL49" s="219" t="s">
        <v>98</v>
      </c>
      <c r="BM49" s="656" t="s">
        <v>130</v>
      </c>
      <c r="BN49" s="29" t="s">
        <v>126</v>
      </c>
      <c r="BO49" s="663">
        <v>45943</v>
      </c>
      <c r="BP49" s="664">
        <v>0.70486111111111116</v>
      </c>
      <c r="BQ49" s="665" t="s">
        <v>654</v>
      </c>
      <c r="BR49" s="656" t="s">
        <v>130</v>
      </c>
      <c r="BS49" s="663">
        <v>45945</v>
      </c>
      <c r="BT49" s="664">
        <v>0.55902777777777779</v>
      </c>
      <c r="BU49" s="665" t="s">
        <v>655</v>
      </c>
      <c r="BV49" s="666">
        <v>457.7</v>
      </c>
      <c r="BW49" s="741">
        <v>1</v>
      </c>
      <c r="BX49" s="132">
        <v>1</v>
      </c>
      <c r="BY49" s="111"/>
      <c r="BZ49" s="483">
        <v>45943</v>
      </c>
      <c r="CA49" s="483">
        <v>45945</v>
      </c>
      <c r="CB49" s="483"/>
      <c r="CC49" s="111">
        <f>BW49+BX49+BY49</f>
        <v>2</v>
      </c>
      <c r="CD49" s="220" t="s">
        <v>88</v>
      </c>
      <c r="CE49" s="111" t="s">
        <v>88</v>
      </c>
      <c r="CF49" s="111" t="s">
        <v>88</v>
      </c>
      <c r="CG49" s="111" t="s">
        <v>88</v>
      </c>
      <c r="CH49" s="111" t="s">
        <v>88</v>
      </c>
    </row>
    <row r="50" spans="1:86" ht="21.5" customHeight="1">
      <c r="A50" s="988">
        <v>45944</v>
      </c>
      <c r="B50" s="977" t="s">
        <v>242</v>
      </c>
      <c r="C50" s="976">
        <v>45943</v>
      </c>
      <c r="D50" s="976">
        <v>45945</v>
      </c>
      <c r="E50" s="978">
        <v>2376</v>
      </c>
      <c r="F50" s="992" t="s">
        <v>656</v>
      </c>
      <c r="G50" s="976" t="s">
        <v>135</v>
      </c>
      <c r="H50" s="976" t="s">
        <v>102</v>
      </c>
      <c r="I50" s="987">
        <v>23722376</v>
      </c>
      <c r="J50" s="976" t="s">
        <v>97</v>
      </c>
      <c r="K50" s="976" t="s">
        <v>657</v>
      </c>
      <c r="L50" s="976" t="s">
        <v>189</v>
      </c>
      <c r="M50" s="976" t="s">
        <v>88</v>
      </c>
      <c r="N50" s="976" t="s">
        <v>658</v>
      </c>
      <c r="O50" s="976" t="s">
        <v>659</v>
      </c>
      <c r="P50" s="976" t="s">
        <v>591</v>
      </c>
      <c r="Q50" s="976" t="s">
        <v>660</v>
      </c>
      <c r="R50" s="976" t="s">
        <v>661</v>
      </c>
      <c r="S50" s="976" t="s">
        <v>110</v>
      </c>
      <c r="T50" s="1047" t="s">
        <v>662</v>
      </c>
      <c r="U50" s="976" t="s">
        <v>97</v>
      </c>
      <c r="V50" s="973">
        <v>3</v>
      </c>
      <c r="W50" s="976" t="s">
        <v>663</v>
      </c>
      <c r="X50" s="976" t="s">
        <v>663</v>
      </c>
      <c r="Y50" s="976" t="s">
        <v>663</v>
      </c>
      <c r="Z50" s="976" t="s">
        <v>663</v>
      </c>
      <c r="AA50" s="976" t="s">
        <v>663</v>
      </c>
      <c r="AB50" s="976" t="s">
        <v>663</v>
      </c>
      <c r="AC50" s="976" t="s">
        <v>663</v>
      </c>
      <c r="AD50" s="976" t="s">
        <v>663</v>
      </c>
      <c r="AE50" s="976" t="s">
        <v>663</v>
      </c>
      <c r="AF50" s="976" t="s">
        <v>97</v>
      </c>
      <c r="AG50" s="973">
        <v>3</v>
      </c>
      <c r="AH50" s="1044" t="s">
        <v>663</v>
      </c>
      <c r="AI50" s="1044" t="s">
        <v>663</v>
      </c>
      <c r="AJ50" s="1044" t="s">
        <v>663</v>
      </c>
      <c r="AK50" s="1044" t="s">
        <v>663</v>
      </c>
      <c r="AL50" s="1044" t="s">
        <v>663</v>
      </c>
      <c r="AM50" s="1044" t="s">
        <v>663</v>
      </c>
      <c r="AN50" s="1044" t="s">
        <v>663</v>
      </c>
      <c r="AO50" s="1044" t="s">
        <v>663</v>
      </c>
      <c r="AP50" s="1044" t="s">
        <v>663</v>
      </c>
      <c r="AQ50" s="976" t="s">
        <v>376</v>
      </c>
      <c r="AR50" s="976" t="s">
        <v>118</v>
      </c>
      <c r="AS50" s="976" t="s">
        <v>664</v>
      </c>
      <c r="AT50" s="429" t="s">
        <v>663</v>
      </c>
      <c r="AU50" s="429" t="s">
        <v>663</v>
      </c>
      <c r="AV50" s="429" t="s">
        <v>663</v>
      </c>
      <c r="AW50" s="194" t="s">
        <v>88</v>
      </c>
      <c r="AX50" s="111" t="s">
        <v>88</v>
      </c>
      <c r="AY50" s="111" t="s">
        <v>97</v>
      </c>
      <c r="AZ50" s="111" t="s">
        <v>88</v>
      </c>
      <c r="BA50" s="111" t="s">
        <v>88</v>
      </c>
      <c r="BB50" s="111" t="s">
        <v>88</v>
      </c>
      <c r="BC50" s="111" t="s">
        <v>88</v>
      </c>
      <c r="BD50" s="111" t="s">
        <v>88</v>
      </c>
      <c r="BE50" s="111" t="s">
        <v>88</v>
      </c>
      <c r="BF50" s="111" t="s">
        <v>88</v>
      </c>
      <c r="BG50" s="111" t="s">
        <v>97</v>
      </c>
      <c r="BH50" s="111" t="s">
        <v>88</v>
      </c>
      <c r="BI50" s="111" t="s">
        <v>88</v>
      </c>
      <c r="BJ50" s="111" t="s">
        <v>88</v>
      </c>
      <c r="BK50" s="111" t="s">
        <v>88</v>
      </c>
      <c r="BL50" s="111" t="s">
        <v>88</v>
      </c>
      <c r="BM50" s="222" t="s">
        <v>88</v>
      </c>
      <c r="BN50" s="222" t="s">
        <v>88</v>
      </c>
      <c r="BO50" s="222" t="s">
        <v>88</v>
      </c>
      <c r="BP50" s="222" t="s">
        <v>88</v>
      </c>
      <c r="BQ50" s="222" t="s">
        <v>88</v>
      </c>
      <c r="BR50" s="222" t="s">
        <v>88</v>
      </c>
      <c r="BS50" s="222" t="s">
        <v>88</v>
      </c>
      <c r="BT50" s="222" t="s">
        <v>88</v>
      </c>
      <c r="BU50" s="222" t="s">
        <v>88</v>
      </c>
      <c r="BV50" s="222" t="s">
        <v>88</v>
      </c>
      <c r="BW50" s="219"/>
      <c r="BX50" s="111"/>
      <c r="BY50" s="111"/>
      <c r="BZ50" s="111" t="s">
        <v>88</v>
      </c>
      <c r="CA50" s="111" t="s">
        <v>88</v>
      </c>
      <c r="CB50" s="111"/>
      <c r="CC50" s="111" t="s">
        <v>88</v>
      </c>
      <c r="CD50" s="220" t="s">
        <v>88</v>
      </c>
      <c r="CE50" s="111" t="s">
        <v>88</v>
      </c>
      <c r="CF50" s="111" t="s">
        <v>88</v>
      </c>
      <c r="CG50" s="111" t="s">
        <v>88</v>
      </c>
      <c r="CH50" s="111" t="s">
        <v>88</v>
      </c>
    </row>
    <row r="51" spans="1:86" ht="21.5" hidden="1" customHeight="1">
      <c r="A51" s="989"/>
      <c r="B51" s="977"/>
      <c r="C51" s="977"/>
      <c r="D51" s="977"/>
      <c r="E51" s="978"/>
      <c r="F51" s="986" t="s">
        <v>88</v>
      </c>
      <c r="G51" s="977" t="s">
        <v>88</v>
      </c>
      <c r="H51" s="977" t="s">
        <v>88</v>
      </c>
      <c r="I51" s="987" t="s">
        <v>88</v>
      </c>
      <c r="J51" s="977" t="s">
        <v>88</v>
      </c>
      <c r="K51" s="977" t="s">
        <v>88</v>
      </c>
      <c r="L51" s="977" t="s">
        <v>88</v>
      </c>
      <c r="M51" s="977" t="s">
        <v>88</v>
      </c>
      <c r="N51" s="977" t="s">
        <v>88</v>
      </c>
      <c r="O51" s="977" t="s">
        <v>88</v>
      </c>
      <c r="P51" s="977" t="s">
        <v>88</v>
      </c>
      <c r="Q51" s="977" t="s">
        <v>88</v>
      </c>
      <c r="R51" s="977" t="s">
        <v>88</v>
      </c>
      <c r="S51" s="977" t="s">
        <v>88</v>
      </c>
      <c r="T51" s="1047"/>
      <c r="U51" s="977" t="s">
        <v>88</v>
      </c>
      <c r="V51" s="973" t="s">
        <v>88</v>
      </c>
      <c r="W51" s="977" t="s">
        <v>88</v>
      </c>
      <c r="X51" s="977" t="s">
        <v>88</v>
      </c>
      <c r="Y51" s="977" t="s">
        <v>88</v>
      </c>
      <c r="Z51" s="977" t="s">
        <v>88</v>
      </c>
      <c r="AA51" s="977" t="s">
        <v>88</v>
      </c>
      <c r="AB51" s="977" t="s">
        <v>88</v>
      </c>
      <c r="AC51" s="977" t="s">
        <v>88</v>
      </c>
      <c r="AD51" s="977" t="s">
        <v>88</v>
      </c>
      <c r="AE51" s="977" t="s">
        <v>88</v>
      </c>
      <c r="AF51" s="977" t="s">
        <v>88</v>
      </c>
      <c r="AG51" s="973" t="s">
        <v>88</v>
      </c>
      <c r="AH51" s="1045" t="s">
        <v>88</v>
      </c>
      <c r="AI51" s="1045" t="s">
        <v>88</v>
      </c>
      <c r="AJ51" s="1045" t="s">
        <v>88</v>
      </c>
      <c r="AK51" s="1045" t="s">
        <v>88</v>
      </c>
      <c r="AL51" s="1045" t="s">
        <v>88</v>
      </c>
      <c r="AM51" s="1045" t="s">
        <v>88</v>
      </c>
      <c r="AN51" s="1045" t="s">
        <v>88</v>
      </c>
      <c r="AO51" s="1045" t="s">
        <v>88</v>
      </c>
      <c r="AP51" s="1045" t="s">
        <v>88</v>
      </c>
      <c r="AQ51" s="977" t="s">
        <v>88</v>
      </c>
      <c r="AR51" s="977" t="s">
        <v>88</v>
      </c>
      <c r="AS51" s="977" t="s">
        <v>88</v>
      </c>
      <c r="AT51" s="429" t="s">
        <v>663</v>
      </c>
      <c r="AU51" s="429" t="s">
        <v>663</v>
      </c>
      <c r="AV51" s="429" t="s">
        <v>663</v>
      </c>
      <c r="AW51" s="194" t="s">
        <v>88</v>
      </c>
      <c r="AX51" s="111" t="s">
        <v>88</v>
      </c>
      <c r="AY51" s="111" t="s">
        <v>97</v>
      </c>
      <c r="AZ51" s="111" t="s">
        <v>88</v>
      </c>
      <c r="BA51" s="111" t="s">
        <v>88</v>
      </c>
      <c r="BB51" s="111" t="s">
        <v>88</v>
      </c>
      <c r="BC51" s="111" t="s">
        <v>88</v>
      </c>
      <c r="BD51" s="111" t="s">
        <v>88</v>
      </c>
      <c r="BE51" s="111" t="s">
        <v>88</v>
      </c>
      <c r="BF51" s="111" t="s">
        <v>88</v>
      </c>
      <c r="BG51" s="111" t="s">
        <v>97</v>
      </c>
      <c r="BH51" s="111" t="s">
        <v>88</v>
      </c>
      <c r="BI51" s="111" t="s">
        <v>88</v>
      </c>
      <c r="BJ51" s="111" t="s">
        <v>88</v>
      </c>
      <c r="BK51" s="111" t="s">
        <v>88</v>
      </c>
      <c r="BL51" s="111" t="s">
        <v>88</v>
      </c>
      <c r="BM51" s="111" t="s">
        <v>88</v>
      </c>
      <c r="BN51" s="111" t="s">
        <v>88</v>
      </c>
      <c r="BO51" s="111" t="s">
        <v>88</v>
      </c>
      <c r="BP51" s="111" t="s">
        <v>88</v>
      </c>
      <c r="BQ51" s="111" t="s">
        <v>88</v>
      </c>
      <c r="BR51" s="111" t="s">
        <v>88</v>
      </c>
      <c r="BS51" s="111" t="s">
        <v>88</v>
      </c>
      <c r="BT51" s="111" t="s">
        <v>88</v>
      </c>
      <c r="BU51" s="111" t="s">
        <v>88</v>
      </c>
      <c r="BV51" s="111" t="s">
        <v>88</v>
      </c>
      <c r="BW51" s="219"/>
      <c r="BX51" s="111"/>
      <c r="BY51" s="111"/>
      <c r="BZ51" s="111" t="s">
        <v>88</v>
      </c>
      <c r="CA51" s="111" t="s">
        <v>88</v>
      </c>
      <c r="CB51" s="111"/>
      <c r="CC51" s="111" t="s">
        <v>88</v>
      </c>
      <c r="CD51" s="220" t="s">
        <v>88</v>
      </c>
      <c r="CE51" s="111" t="s">
        <v>88</v>
      </c>
      <c r="CF51" s="111" t="s">
        <v>88</v>
      </c>
      <c r="CG51" s="111" t="s">
        <v>88</v>
      </c>
      <c r="CH51" s="111" t="s">
        <v>88</v>
      </c>
    </row>
    <row r="52" spans="1:86" ht="21.5" hidden="1" customHeight="1">
      <c r="A52" s="989"/>
      <c r="B52" s="977"/>
      <c r="C52" s="977"/>
      <c r="D52" s="977"/>
      <c r="E52" s="978"/>
      <c r="F52" s="986" t="s">
        <v>88</v>
      </c>
      <c r="G52" s="977" t="s">
        <v>88</v>
      </c>
      <c r="H52" s="977" t="s">
        <v>88</v>
      </c>
      <c r="I52" s="987" t="s">
        <v>88</v>
      </c>
      <c r="J52" s="977" t="s">
        <v>88</v>
      </c>
      <c r="K52" s="977" t="s">
        <v>88</v>
      </c>
      <c r="L52" s="977" t="s">
        <v>88</v>
      </c>
      <c r="M52" s="977" t="s">
        <v>88</v>
      </c>
      <c r="N52" s="977" t="s">
        <v>88</v>
      </c>
      <c r="O52" s="977" t="s">
        <v>88</v>
      </c>
      <c r="P52" s="977" t="s">
        <v>88</v>
      </c>
      <c r="Q52" s="977" t="s">
        <v>88</v>
      </c>
      <c r="R52" s="977" t="s">
        <v>88</v>
      </c>
      <c r="S52" s="977" t="s">
        <v>88</v>
      </c>
      <c r="T52" s="1047"/>
      <c r="U52" s="977" t="s">
        <v>88</v>
      </c>
      <c r="V52" s="973" t="s">
        <v>88</v>
      </c>
      <c r="W52" s="977" t="s">
        <v>88</v>
      </c>
      <c r="X52" s="977" t="s">
        <v>88</v>
      </c>
      <c r="Y52" s="977" t="s">
        <v>88</v>
      </c>
      <c r="Z52" s="977" t="s">
        <v>88</v>
      </c>
      <c r="AA52" s="977" t="s">
        <v>88</v>
      </c>
      <c r="AB52" s="977" t="s">
        <v>88</v>
      </c>
      <c r="AC52" s="977" t="s">
        <v>88</v>
      </c>
      <c r="AD52" s="977" t="s">
        <v>88</v>
      </c>
      <c r="AE52" s="977" t="s">
        <v>88</v>
      </c>
      <c r="AF52" s="977" t="s">
        <v>88</v>
      </c>
      <c r="AG52" s="973" t="s">
        <v>88</v>
      </c>
      <c r="AH52" s="1045" t="s">
        <v>88</v>
      </c>
      <c r="AI52" s="1045" t="s">
        <v>88</v>
      </c>
      <c r="AJ52" s="1045" t="s">
        <v>88</v>
      </c>
      <c r="AK52" s="1045" t="s">
        <v>88</v>
      </c>
      <c r="AL52" s="1045" t="s">
        <v>88</v>
      </c>
      <c r="AM52" s="1045" t="s">
        <v>88</v>
      </c>
      <c r="AN52" s="1045" t="s">
        <v>88</v>
      </c>
      <c r="AO52" s="1045" t="s">
        <v>88</v>
      </c>
      <c r="AP52" s="1045" t="s">
        <v>88</v>
      </c>
      <c r="AQ52" s="977" t="s">
        <v>88</v>
      </c>
      <c r="AR52" s="977" t="s">
        <v>88</v>
      </c>
      <c r="AS52" s="977" t="s">
        <v>88</v>
      </c>
      <c r="AT52" s="429" t="s">
        <v>663</v>
      </c>
      <c r="AU52" s="429" t="s">
        <v>663</v>
      </c>
      <c r="AV52" s="429" t="s">
        <v>663</v>
      </c>
      <c r="AW52" s="194" t="s">
        <v>88</v>
      </c>
      <c r="AX52" s="111" t="s">
        <v>88</v>
      </c>
      <c r="AY52" s="111" t="s">
        <v>97</v>
      </c>
      <c r="AZ52" s="111" t="s">
        <v>88</v>
      </c>
      <c r="BA52" s="111" t="s">
        <v>88</v>
      </c>
      <c r="BB52" s="111" t="s">
        <v>88</v>
      </c>
      <c r="BC52" s="111" t="s">
        <v>88</v>
      </c>
      <c r="BD52" s="111" t="s">
        <v>88</v>
      </c>
      <c r="BE52" s="111" t="s">
        <v>88</v>
      </c>
      <c r="BF52" s="111" t="s">
        <v>88</v>
      </c>
      <c r="BG52" s="111" t="s">
        <v>97</v>
      </c>
      <c r="BH52" s="111" t="s">
        <v>88</v>
      </c>
      <c r="BI52" s="111" t="s">
        <v>88</v>
      </c>
      <c r="BJ52" s="111" t="s">
        <v>88</v>
      </c>
      <c r="BK52" s="111" t="s">
        <v>88</v>
      </c>
      <c r="BL52" s="111" t="s">
        <v>88</v>
      </c>
      <c r="BM52" s="111" t="s">
        <v>88</v>
      </c>
      <c r="BN52" s="111" t="s">
        <v>88</v>
      </c>
      <c r="BO52" s="111" t="s">
        <v>88</v>
      </c>
      <c r="BP52" s="111" t="s">
        <v>88</v>
      </c>
      <c r="BQ52" s="111" t="s">
        <v>88</v>
      </c>
      <c r="BR52" s="111" t="s">
        <v>88</v>
      </c>
      <c r="BS52" s="111" t="s">
        <v>88</v>
      </c>
      <c r="BT52" s="111" t="s">
        <v>88</v>
      </c>
      <c r="BU52" s="111" t="s">
        <v>88</v>
      </c>
      <c r="BV52" s="111" t="s">
        <v>88</v>
      </c>
      <c r="BW52" s="219"/>
      <c r="BX52" s="111"/>
      <c r="BY52" s="111"/>
      <c r="BZ52" s="111" t="s">
        <v>88</v>
      </c>
      <c r="CA52" s="111" t="s">
        <v>88</v>
      </c>
      <c r="CB52" s="111"/>
      <c r="CC52" s="111" t="s">
        <v>88</v>
      </c>
      <c r="CD52" s="220" t="s">
        <v>88</v>
      </c>
      <c r="CE52" s="111" t="s">
        <v>88</v>
      </c>
      <c r="CF52" s="111" t="s">
        <v>88</v>
      </c>
      <c r="CG52" s="111" t="s">
        <v>88</v>
      </c>
      <c r="CH52" s="111" t="s">
        <v>88</v>
      </c>
    </row>
    <row r="53" spans="1:86" ht="58.5" hidden="1" customHeight="1">
      <c r="A53" s="238">
        <v>45945</v>
      </c>
      <c r="B53" s="237" t="s">
        <v>456</v>
      </c>
      <c r="C53" s="238">
        <v>45943</v>
      </c>
      <c r="D53" s="238">
        <v>45945</v>
      </c>
      <c r="E53" s="239">
        <v>2392</v>
      </c>
      <c r="F53" s="240" t="s">
        <v>665</v>
      </c>
      <c r="G53" s="237" t="s">
        <v>167</v>
      </c>
      <c r="H53" s="237" t="s">
        <v>87</v>
      </c>
      <c r="I53" s="241" t="s">
        <v>88</v>
      </c>
      <c r="J53" s="237" t="s">
        <v>89</v>
      </c>
      <c r="K53" s="237" t="s">
        <v>594</v>
      </c>
      <c r="L53" s="237" t="s">
        <v>189</v>
      </c>
      <c r="M53" s="237" t="s">
        <v>88</v>
      </c>
      <c r="N53" s="237" t="s">
        <v>666</v>
      </c>
      <c r="O53" s="253" t="s">
        <v>667</v>
      </c>
      <c r="P53" s="237" t="s">
        <v>192</v>
      </c>
      <c r="Q53" s="237" t="s">
        <v>668</v>
      </c>
      <c r="R53" s="237" t="s">
        <v>669</v>
      </c>
      <c r="S53" s="237" t="s">
        <v>88</v>
      </c>
      <c r="T53" s="237" t="s">
        <v>88</v>
      </c>
      <c r="U53" s="111" t="s">
        <v>88</v>
      </c>
      <c r="V53" s="243" t="s">
        <v>88</v>
      </c>
      <c r="W53" s="111" t="s">
        <v>88</v>
      </c>
      <c r="X53" s="111" t="s">
        <v>88</v>
      </c>
      <c r="Y53" s="111" t="s">
        <v>88</v>
      </c>
      <c r="Z53" s="111" t="s">
        <v>88</v>
      </c>
      <c r="AA53" s="111" t="s">
        <v>88</v>
      </c>
      <c r="AB53" s="111" t="s">
        <v>88</v>
      </c>
      <c r="AC53" s="111" t="s">
        <v>88</v>
      </c>
      <c r="AD53" s="111" t="s">
        <v>88</v>
      </c>
      <c r="AE53" s="111" t="s">
        <v>88</v>
      </c>
      <c r="AF53" s="111" t="s">
        <v>88</v>
      </c>
      <c r="AG53" s="244" t="s">
        <v>88</v>
      </c>
      <c r="AH53" s="111" t="s">
        <v>88</v>
      </c>
      <c r="AI53" s="111" t="s">
        <v>88</v>
      </c>
      <c r="AJ53" s="111" t="s">
        <v>88</v>
      </c>
      <c r="AK53" s="111" t="s">
        <v>88</v>
      </c>
      <c r="AL53" s="111" t="s">
        <v>88</v>
      </c>
      <c r="AM53" s="111" t="s">
        <v>88</v>
      </c>
      <c r="AN53" s="111" t="s">
        <v>88</v>
      </c>
      <c r="AO53" s="111" t="s">
        <v>88</v>
      </c>
      <c r="AP53" s="111" t="s">
        <v>88</v>
      </c>
      <c r="AQ53" s="111" t="s">
        <v>88</v>
      </c>
      <c r="AR53" s="111" t="s">
        <v>88</v>
      </c>
      <c r="AS53" s="111" t="s">
        <v>88</v>
      </c>
      <c r="AT53" s="456"/>
      <c r="AU53" s="456"/>
      <c r="AV53" s="456"/>
      <c r="AW53" s="938" t="s">
        <v>88</v>
      </c>
      <c r="AX53" s="456" t="s">
        <v>88</v>
      </c>
      <c r="AY53" s="456"/>
      <c r="AZ53" s="456"/>
      <c r="BA53" s="456"/>
      <c r="BB53" s="456"/>
      <c r="BC53" s="456"/>
      <c r="BD53" s="456"/>
      <c r="BE53" s="456"/>
      <c r="BF53" s="456"/>
      <c r="BG53" s="456"/>
      <c r="BH53" s="456" t="s">
        <v>88</v>
      </c>
      <c r="BI53" s="456" t="s">
        <v>88</v>
      </c>
      <c r="BJ53" s="456" t="s">
        <v>88</v>
      </c>
      <c r="BK53" s="456" t="s">
        <v>88</v>
      </c>
      <c r="BL53" s="456" t="s">
        <v>88</v>
      </c>
      <c r="BM53" s="939" t="s">
        <v>88</v>
      </c>
      <c r="BN53" s="943" t="s">
        <v>88</v>
      </c>
      <c r="BO53" s="943" t="s">
        <v>88</v>
      </c>
      <c r="BP53" s="943" t="s">
        <v>88</v>
      </c>
      <c r="BQ53" s="943" t="s">
        <v>88</v>
      </c>
      <c r="BR53" s="943" t="s">
        <v>88</v>
      </c>
      <c r="BS53" s="943" t="s">
        <v>88</v>
      </c>
      <c r="BT53" s="943" t="s">
        <v>88</v>
      </c>
      <c r="BU53" s="943" t="s">
        <v>88</v>
      </c>
      <c r="BV53" s="943" t="s">
        <v>88</v>
      </c>
      <c r="BW53" s="456"/>
      <c r="BX53" s="456"/>
      <c r="BY53" s="456"/>
      <c r="BZ53" s="456" t="s">
        <v>88</v>
      </c>
      <c r="CA53" s="456" t="s">
        <v>88</v>
      </c>
      <c r="CB53" s="456"/>
      <c r="CC53" s="456" t="s">
        <v>88</v>
      </c>
      <c r="CD53" s="456" t="s">
        <v>88</v>
      </c>
      <c r="CE53" s="456" t="s">
        <v>88</v>
      </c>
      <c r="CF53" s="456" t="s">
        <v>88</v>
      </c>
      <c r="CG53" s="456" t="s">
        <v>88</v>
      </c>
      <c r="CH53" s="456" t="s">
        <v>88</v>
      </c>
    </row>
    <row r="54" spans="1:86" ht="21.5" customHeight="1">
      <c r="A54" s="988">
        <v>45945</v>
      </c>
      <c r="B54" s="977" t="s">
        <v>357</v>
      </c>
      <c r="C54" s="976">
        <v>45943</v>
      </c>
      <c r="D54" s="976">
        <v>45945</v>
      </c>
      <c r="E54" s="978">
        <v>2397</v>
      </c>
      <c r="F54" s="992" t="s">
        <v>670</v>
      </c>
      <c r="G54" s="976" t="s">
        <v>167</v>
      </c>
      <c r="H54" s="976" t="s">
        <v>87</v>
      </c>
      <c r="I54" s="987">
        <v>23862397</v>
      </c>
      <c r="J54" s="976" t="s">
        <v>97</v>
      </c>
      <c r="K54" s="976" t="s">
        <v>671</v>
      </c>
      <c r="L54" s="976" t="s">
        <v>91</v>
      </c>
      <c r="M54" s="976" t="s">
        <v>88</v>
      </c>
      <c r="N54" s="976" t="s">
        <v>672</v>
      </c>
      <c r="O54" s="976" t="s">
        <v>673</v>
      </c>
      <c r="P54" s="976" t="s">
        <v>674</v>
      </c>
      <c r="Q54" s="976" t="s">
        <v>461</v>
      </c>
      <c r="R54" s="976" t="s">
        <v>675</v>
      </c>
      <c r="S54" s="976" t="s">
        <v>110</v>
      </c>
      <c r="T54" s="974" t="s">
        <v>98</v>
      </c>
      <c r="U54" s="976" t="s">
        <v>97</v>
      </c>
      <c r="V54" s="973">
        <v>3</v>
      </c>
      <c r="W54" s="976" t="s">
        <v>676</v>
      </c>
      <c r="X54" s="976" t="s">
        <v>677</v>
      </c>
      <c r="Y54" s="974" t="s">
        <v>678</v>
      </c>
      <c r="Z54" s="1020" t="s">
        <v>679</v>
      </c>
      <c r="AA54" s="1020" t="s">
        <v>680</v>
      </c>
      <c r="AB54" s="974" t="s">
        <v>681</v>
      </c>
      <c r="AC54" s="976" t="s">
        <v>682</v>
      </c>
      <c r="AD54" s="976" t="s">
        <v>683</v>
      </c>
      <c r="AE54" s="974" t="s">
        <v>684</v>
      </c>
      <c r="AF54" s="976" t="s">
        <v>97</v>
      </c>
      <c r="AG54" s="973">
        <v>3</v>
      </c>
      <c r="AH54" s="976" t="s">
        <v>676</v>
      </c>
      <c r="AI54" s="976" t="s">
        <v>677</v>
      </c>
      <c r="AJ54" s="976" t="s">
        <v>678</v>
      </c>
      <c r="AK54" s="976" t="s">
        <v>679</v>
      </c>
      <c r="AL54" s="976" t="s">
        <v>680</v>
      </c>
      <c r="AM54" s="976" t="s">
        <v>681</v>
      </c>
      <c r="AN54" s="976" t="s">
        <v>682</v>
      </c>
      <c r="AO54" s="976" t="s">
        <v>683</v>
      </c>
      <c r="AP54" s="976" t="s">
        <v>684</v>
      </c>
      <c r="AQ54" s="976" t="s">
        <v>685</v>
      </c>
      <c r="AR54" s="976" t="s">
        <v>686</v>
      </c>
      <c r="AS54" s="975" t="s">
        <v>687</v>
      </c>
      <c r="AT54" s="603" t="s">
        <v>676</v>
      </c>
      <c r="AU54" s="603" t="s">
        <v>677</v>
      </c>
      <c r="AV54" s="603" t="s">
        <v>678</v>
      </c>
      <c r="AW54" s="336">
        <v>38651662730</v>
      </c>
      <c r="AX54" s="337" t="s">
        <v>688</v>
      </c>
      <c r="AY54" s="331" t="s">
        <v>97</v>
      </c>
      <c r="AZ54" s="337" t="s">
        <v>121</v>
      </c>
      <c r="BA54" s="337" t="s">
        <v>689</v>
      </c>
      <c r="BB54" s="333">
        <v>45943</v>
      </c>
      <c r="BC54" s="339">
        <v>0.28472222222222221</v>
      </c>
      <c r="BD54" s="337" t="s">
        <v>689</v>
      </c>
      <c r="BE54" s="333">
        <v>45947</v>
      </c>
      <c r="BF54" s="339">
        <v>0.85416666666666663</v>
      </c>
      <c r="BG54" s="331" t="s">
        <v>97</v>
      </c>
      <c r="BH54" s="337" t="s">
        <v>690</v>
      </c>
      <c r="BI54" s="111" t="s">
        <v>98</v>
      </c>
      <c r="BJ54" s="111" t="s">
        <v>88</v>
      </c>
      <c r="BK54" s="111" t="s">
        <v>88</v>
      </c>
      <c r="BL54" s="219" t="s">
        <v>88</v>
      </c>
      <c r="BM54" s="517" t="s">
        <v>689</v>
      </c>
      <c r="BN54" s="29" t="s">
        <v>126</v>
      </c>
      <c r="BO54" s="111" t="s">
        <v>88</v>
      </c>
      <c r="BP54" s="111" t="s">
        <v>88</v>
      </c>
      <c r="BQ54" s="111" t="s">
        <v>88</v>
      </c>
      <c r="BR54" s="517" t="s">
        <v>689</v>
      </c>
      <c r="BS54" s="111" t="s">
        <v>88</v>
      </c>
      <c r="BT54" s="111" t="s">
        <v>88</v>
      </c>
      <c r="BU54" s="111" t="s">
        <v>88</v>
      </c>
      <c r="BV54" s="111" t="s">
        <v>88</v>
      </c>
      <c r="BW54" s="772"/>
      <c r="BX54" s="737"/>
      <c r="BY54" s="111"/>
      <c r="BZ54" s="111" t="s">
        <v>88</v>
      </c>
      <c r="CA54" s="111" t="s">
        <v>88</v>
      </c>
      <c r="CB54" s="111"/>
      <c r="CC54" s="111" t="s">
        <v>88</v>
      </c>
      <c r="CD54" s="220" t="s">
        <v>88</v>
      </c>
      <c r="CE54" s="111" t="s">
        <v>88</v>
      </c>
      <c r="CF54" s="517" t="s">
        <v>691</v>
      </c>
      <c r="CG54" s="111" t="s">
        <v>692</v>
      </c>
      <c r="CH54" s="111" t="s">
        <v>88</v>
      </c>
    </row>
    <row r="55" spans="1:86" ht="21.5" hidden="1" customHeight="1">
      <c r="A55" s="989"/>
      <c r="B55" s="977"/>
      <c r="C55" s="977"/>
      <c r="D55" s="977"/>
      <c r="E55" s="978"/>
      <c r="F55" s="986" t="s">
        <v>88</v>
      </c>
      <c r="G55" s="977" t="s">
        <v>88</v>
      </c>
      <c r="H55" s="977" t="s">
        <v>88</v>
      </c>
      <c r="I55" s="987" t="s">
        <v>88</v>
      </c>
      <c r="J55" s="977" t="s">
        <v>88</v>
      </c>
      <c r="K55" s="977" t="s">
        <v>88</v>
      </c>
      <c r="L55" s="977" t="s">
        <v>88</v>
      </c>
      <c r="M55" s="977" t="s">
        <v>88</v>
      </c>
      <c r="N55" s="977" t="s">
        <v>88</v>
      </c>
      <c r="O55" s="977" t="s">
        <v>88</v>
      </c>
      <c r="P55" s="977" t="s">
        <v>88</v>
      </c>
      <c r="Q55" s="977" t="s">
        <v>88</v>
      </c>
      <c r="R55" s="977" t="s">
        <v>88</v>
      </c>
      <c r="S55" s="977" t="s">
        <v>88</v>
      </c>
      <c r="T55" s="974"/>
      <c r="U55" s="977" t="s">
        <v>88</v>
      </c>
      <c r="V55" s="973" t="s">
        <v>88</v>
      </c>
      <c r="W55" s="977" t="s">
        <v>88</v>
      </c>
      <c r="X55" s="977" t="s">
        <v>88</v>
      </c>
      <c r="Y55" s="974"/>
      <c r="Z55" s="1020"/>
      <c r="AA55" s="1020" t="s">
        <v>88</v>
      </c>
      <c r="AB55" s="974" t="s">
        <v>88</v>
      </c>
      <c r="AC55" s="977" t="s">
        <v>88</v>
      </c>
      <c r="AD55" s="977" t="s">
        <v>88</v>
      </c>
      <c r="AE55" s="974" t="s">
        <v>88</v>
      </c>
      <c r="AF55" s="977" t="s">
        <v>88</v>
      </c>
      <c r="AG55" s="973" t="s">
        <v>88</v>
      </c>
      <c r="AH55" s="977" t="s">
        <v>88</v>
      </c>
      <c r="AI55" s="977" t="s">
        <v>88</v>
      </c>
      <c r="AJ55" s="977" t="s">
        <v>88</v>
      </c>
      <c r="AK55" s="977" t="s">
        <v>88</v>
      </c>
      <c r="AL55" s="977" t="s">
        <v>88</v>
      </c>
      <c r="AM55" s="977" t="s">
        <v>88</v>
      </c>
      <c r="AN55" s="977" t="s">
        <v>88</v>
      </c>
      <c r="AO55" s="977" t="s">
        <v>88</v>
      </c>
      <c r="AP55" s="977" t="s">
        <v>88</v>
      </c>
      <c r="AQ55" s="977" t="s">
        <v>88</v>
      </c>
      <c r="AR55" s="977" t="s">
        <v>88</v>
      </c>
      <c r="AS55" s="975" t="s">
        <v>88</v>
      </c>
      <c r="AT55" s="459" t="s">
        <v>679</v>
      </c>
      <c r="AU55" s="459" t="s">
        <v>680</v>
      </c>
      <c r="AV55" s="459" t="s">
        <v>681</v>
      </c>
      <c r="AW55" s="332">
        <v>31611182909</v>
      </c>
      <c r="AX55" s="331" t="s">
        <v>693</v>
      </c>
      <c r="AY55" s="331" t="s">
        <v>97</v>
      </c>
      <c r="AZ55" s="434" t="s">
        <v>154</v>
      </c>
      <c r="BA55" s="434" t="s">
        <v>151</v>
      </c>
      <c r="BB55" s="438">
        <v>45943</v>
      </c>
      <c r="BC55" s="434">
        <v>2000</v>
      </c>
      <c r="BD55" s="434" t="s">
        <v>151</v>
      </c>
      <c r="BE55" s="438">
        <v>45945</v>
      </c>
      <c r="BF55" s="434">
        <v>1600</v>
      </c>
      <c r="BG55" s="331" t="s">
        <v>97</v>
      </c>
      <c r="BH55" s="331" t="s">
        <v>88</v>
      </c>
      <c r="BI55" s="111" t="s">
        <v>98</v>
      </c>
      <c r="BJ55" s="111" t="s">
        <v>98</v>
      </c>
      <c r="BK55" s="111" t="s">
        <v>98</v>
      </c>
      <c r="BL55" s="111" t="s">
        <v>98</v>
      </c>
      <c r="BM55" s="656" t="s">
        <v>151</v>
      </c>
      <c r="BN55" s="111" t="s">
        <v>425</v>
      </c>
      <c r="BO55" s="705">
        <v>45943</v>
      </c>
      <c r="BP55" s="706">
        <v>0.78333333333333333</v>
      </c>
      <c r="BQ55" s="111" t="s">
        <v>88</v>
      </c>
      <c r="BR55" s="656" t="s">
        <v>151</v>
      </c>
      <c r="BS55" s="705">
        <v>45945</v>
      </c>
      <c r="BT55" s="706">
        <v>0.7006944444444444</v>
      </c>
      <c r="BU55" s="111" t="s">
        <v>88</v>
      </c>
      <c r="BV55" s="804">
        <v>201.4</v>
      </c>
      <c r="BW55" s="741">
        <v>1</v>
      </c>
      <c r="BX55" s="132">
        <v>1</v>
      </c>
      <c r="BY55" s="111"/>
      <c r="BZ55" s="483">
        <v>45943</v>
      </c>
      <c r="CA55" s="483">
        <v>45945</v>
      </c>
      <c r="CB55" s="483"/>
      <c r="CC55" s="111">
        <f>BW55+BX55+BY55</f>
        <v>2</v>
      </c>
      <c r="CD55" s="220" t="s">
        <v>88</v>
      </c>
      <c r="CE55" s="111" t="s">
        <v>88</v>
      </c>
      <c r="CF55" s="111" t="s">
        <v>88</v>
      </c>
      <c r="CG55" s="111" t="s">
        <v>88</v>
      </c>
      <c r="CH55" s="111" t="s">
        <v>88</v>
      </c>
    </row>
    <row r="56" spans="1:86" ht="21.5" hidden="1" customHeight="1">
      <c r="A56" s="989"/>
      <c r="B56" s="977"/>
      <c r="C56" s="977"/>
      <c r="D56" s="977"/>
      <c r="E56" s="978"/>
      <c r="F56" s="986" t="s">
        <v>88</v>
      </c>
      <c r="G56" s="977" t="s">
        <v>88</v>
      </c>
      <c r="H56" s="977" t="s">
        <v>88</v>
      </c>
      <c r="I56" s="987" t="s">
        <v>88</v>
      </c>
      <c r="J56" s="977" t="s">
        <v>88</v>
      </c>
      <c r="K56" s="977" t="s">
        <v>88</v>
      </c>
      <c r="L56" s="977" t="s">
        <v>88</v>
      </c>
      <c r="M56" s="977" t="s">
        <v>88</v>
      </c>
      <c r="N56" s="977" t="s">
        <v>88</v>
      </c>
      <c r="O56" s="977" t="s">
        <v>88</v>
      </c>
      <c r="P56" s="977" t="s">
        <v>88</v>
      </c>
      <c r="Q56" s="977" t="s">
        <v>88</v>
      </c>
      <c r="R56" s="977" t="s">
        <v>88</v>
      </c>
      <c r="S56" s="977" t="s">
        <v>88</v>
      </c>
      <c r="T56" s="974"/>
      <c r="U56" s="977" t="s">
        <v>88</v>
      </c>
      <c r="V56" s="973" t="s">
        <v>88</v>
      </c>
      <c r="W56" s="977" t="s">
        <v>88</v>
      </c>
      <c r="X56" s="977" t="s">
        <v>88</v>
      </c>
      <c r="Y56" s="974"/>
      <c r="Z56" s="1020"/>
      <c r="AA56" s="1020" t="s">
        <v>88</v>
      </c>
      <c r="AB56" s="974" t="s">
        <v>88</v>
      </c>
      <c r="AC56" s="977" t="s">
        <v>88</v>
      </c>
      <c r="AD56" s="977" t="s">
        <v>88</v>
      </c>
      <c r="AE56" s="974" t="s">
        <v>88</v>
      </c>
      <c r="AF56" s="977" t="s">
        <v>88</v>
      </c>
      <c r="AG56" s="973" t="s">
        <v>88</v>
      </c>
      <c r="AH56" s="977" t="s">
        <v>88</v>
      </c>
      <c r="AI56" s="977" t="s">
        <v>88</v>
      </c>
      <c r="AJ56" s="977" t="s">
        <v>88</v>
      </c>
      <c r="AK56" s="977" t="s">
        <v>88</v>
      </c>
      <c r="AL56" s="977" t="s">
        <v>88</v>
      </c>
      <c r="AM56" s="977" t="s">
        <v>88</v>
      </c>
      <c r="AN56" s="977" t="s">
        <v>88</v>
      </c>
      <c r="AO56" s="977" t="s">
        <v>88</v>
      </c>
      <c r="AP56" s="977" t="s">
        <v>88</v>
      </c>
      <c r="AQ56" s="977" t="s">
        <v>88</v>
      </c>
      <c r="AR56" s="977" t="s">
        <v>88</v>
      </c>
      <c r="AS56" s="975" t="s">
        <v>88</v>
      </c>
      <c r="AT56" s="459" t="s">
        <v>694</v>
      </c>
      <c r="AU56" s="459" t="s">
        <v>683</v>
      </c>
      <c r="AV56" s="459" t="s">
        <v>684</v>
      </c>
      <c r="AW56" s="332">
        <v>48504854669</v>
      </c>
      <c r="AX56" s="331" t="s">
        <v>695</v>
      </c>
      <c r="AY56" s="331" t="s">
        <v>97</v>
      </c>
      <c r="AZ56" s="434" t="s">
        <v>121</v>
      </c>
      <c r="BA56" s="434" t="s">
        <v>696</v>
      </c>
      <c r="BB56" s="333">
        <v>45943</v>
      </c>
      <c r="BC56" s="434" t="s">
        <v>697</v>
      </c>
      <c r="BD56" s="434" t="s">
        <v>696</v>
      </c>
      <c r="BE56" s="438">
        <v>45946</v>
      </c>
      <c r="BF56" s="434" t="s">
        <v>698</v>
      </c>
      <c r="BG56" s="331" t="s">
        <v>89</v>
      </c>
      <c r="BH56" s="434" t="s">
        <v>699</v>
      </c>
      <c r="BI56" s="132" t="s">
        <v>98</v>
      </c>
      <c r="BJ56" s="132" t="s">
        <v>98</v>
      </c>
      <c r="BK56" s="132" t="s">
        <v>98</v>
      </c>
      <c r="BL56" s="132" t="s">
        <v>98</v>
      </c>
      <c r="BM56" s="656" t="s">
        <v>696</v>
      </c>
      <c r="BN56" s="111" t="s">
        <v>700</v>
      </c>
      <c r="BO56" s="931">
        <v>45943</v>
      </c>
      <c r="BP56" s="932">
        <v>0.43402777777777779</v>
      </c>
      <c r="BQ56" s="930" t="s">
        <v>132</v>
      </c>
      <c r="BR56" s="656" t="s">
        <v>696</v>
      </c>
      <c r="BS56" s="931">
        <v>45946</v>
      </c>
      <c r="BT56" s="932">
        <v>0.42708333333333331</v>
      </c>
      <c r="BU56" s="930" t="s">
        <v>701</v>
      </c>
      <c r="BV56" s="804">
        <v>546.54999999999995</v>
      </c>
      <c r="BW56" s="748">
        <v>0</v>
      </c>
      <c r="BX56" s="619">
        <v>0</v>
      </c>
      <c r="BY56" s="111"/>
      <c r="BZ56" s="111" t="s">
        <v>88</v>
      </c>
      <c r="CA56" s="111" t="s">
        <v>88</v>
      </c>
      <c r="CB56" s="111"/>
      <c r="CC56" s="111" t="s">
        <v>88</v>
      </c>
      <c r="CD56" s="220" t="s">
        <v>88</v>
      </c>
      <c r="CE56" s="111" t="s">
        <v>88</v>
      </c>
      <c r="CF56" s="111" t="s">
        <v>702</v>
      </c>
      <c r="CG56" s="111" t="s">
        <v>88</v>
      </c>
      <c r="CH56" s="111" t="s">
        <v>88</v>
      </c>
    </row>
    <row r="57" spans="1:86" ht="21.5" customHeight="1">
      <c r="A57" s="988">
        <v>45945</v>
      </c>
      <c r="B57" s="977" t="s">
        <v>100</v>
      </c>
      <c r="C57" s="976">
        <v>45943</v>
      </c>
      <c r="D57" s="976">
        <v>45945</v>
      </c>
      <c r="E57" s="978">
        <v>2402</v>
      </c>
      <c r="F57" s="992" t="s">
        <v>703</v>
      </c>
      <c r="G57" s="976" t="s">
        <v>167</v>
      </c>
      <c r="H57" s="976" t="s">
        <v>102</v>
      </c>
      <c r="I57" s="987">
        <v>24022480</v>
      </c>
      <c r="J57" s="976" t="s">
        <v>97</v>
      </c>
      <c r="K57" s="976" t="s">
        <v>594</v>
      </c>
      <c r="L57" s="976" t="s">
        <v>189</v>
      </c>
      <c r="M57" s="976" t="s">
        <v>88</v>
      </c>
      <c r="N57" s="976" t="s">
        <v>704</v>
      </c>
      <c r="O57" s="976" t="s">
        <v>705</v>
      </c>
      <c r="P57" s="976" t="s">
        <v>192</v>
      </c>
      <c r="Q57" s="976" t="s">
        <v>706</v>
      </c>
      <c r="R57" s="976" t="s">
        <v>707</v>
      </c>
      <c r="S57" s="976" t="s">
        <v>110</v>
      </c>
      <c r="T57" s="1047" t="s">
        <v>662</v>
      </c>
      <c r="U57" s="976" t="s">
        <v>97</v>
      </c>
      <c r="V57" s="973">
        <v>2</v>
      </c>
      <c r="W57" s="976" t="s">
        <v>663</v>
      </c>
      <c r="X57" s="976" t="s">
        <v>663</v>
      </c>
      <c r="Y57" s="976" t="s">
        <v>663</v>
      </c>
      <c r="Z57" s="976" t="s">
        <v>663</v>
      </c>
      <c r="AA57" s="976" t="s">
        <v>663</v>
      </c>
      <c r="AB57" s="976" t="s">
        <v>663</v>
      </c>
      <c r="AC57" s="976" t="s">
        <v>708</v>
      </c>
      <c r="AD57" s="976" t="s">
        <v>708</v>
      </c>
      <c r="AE57" s="976" t="s">
        <v>708</v>
      </c>
      <c r="AF57" s="976" t="s">
        <v>97</v>
      </c>
      <c r="AG57" s="973">
        <v>2</v>
      </c>
      <c r="AH57" s="1044" t="s">
        <v>663</v>
      </c>
      <c r="AI57" s="1044" t="s">
        <v>663</v>
      </c>
      <c r="AJ57" s="1044" t="s">
        <v>663</v>
      </c>
      <c r="AK57" s="1044" t="s">
        <v>663</v>
      </c>
      <c r="AL57" s="1044" t="s">
        <v>663</v>
      </c>
      <c r="AM57" s="1044" t="s">
        <v>663</v>
      </c>
      <c r="AN57" s="976"/>
      <c r="AO57" s="976"/>
      <c r="AP57" s="976"/>
      <c r="AQ57" s="976" t="s">
        <v>613</v>
      </c>
      <c r="AR57" s="976" t="s">
        <v>88</v>
      </c>
      <c r="AS57" s="976" t="s">
        <v>88</v>
      </c>
      <c r="AT57" s="429" t="s">
        <v>663</v>
      </c>
      <c r="AU57" s="429" t="s">
        <v>663</v>
      </c>
      <c r="AV57" s="429" t="s">
        <v>663</v>
      </c>
      <c r="AW57" s="194" t="s">
        <v>88</v>
      </c>
      <c r="AX57" s="111" t="s">
        <v>88</v>
      </c>
      <c r="AY57" s="111" t="s">
        <v>97</v>
      </c>
      <c r="AZ57" s="111" t="s">
        <v>88</v>
      </c>
      <c r="BA57" s="111" t="s">
        <v>88</v>
      </c>
      <c r="BB57" s="111" t="s">
        <v>88</v>
      </c>
      <c r="BC57" s="111" t="s">
        <v>88</v>
      </c>
      <c r="BD57" s="111" t="s">
        <v>88</v>
      </c>
      <c r="BE57" s="111" t="s">
        <v>88</v>
      </c>
      <c r="BF57" s="111" t="s">
        <v>88</v>
      </c>
      <c r="BG57" s="111" t="s">
        <v>97</v>
      </c>
      <c r="BH57" s="111" t="s">
        <v>88</v>
      </c>
      <c r="BI57" s="111" t="s">
        <v>88</v>
      </c>
      <c r="BJ57" s="111" t="s">
        <v>88</v>
      </c>
      <c r="BK57" s="111" t="s">
        <v>88</v>
      </c>
      <c r="BL57" s="111" t="s">
        <v>88</v>
      </c>
      <c r="BM57" s="222" t="s">
        <v>88</v>
      </c>
      <c r="BN57" s="222" t="s">
        <v>88</v>
      </c>
      <c r="BO57" s="222" t="s">
        <v>88</v>
      </c>
      <c r="BP57" s="222" t="s">
        <v>88</v>
      </c>
      <c r="BQ57" s="222" t="s">
        <v>88</v>
      </c>
      <c r="BR57" s="222" t="s">
        <v>88</v>
      </c>
      <c r="BS57" s="222" t="s">
        <v>88</v>
      </c>
      <c r="BT57" s="222" t="s">
        <v>88</v>
      </c>
      <c r="BU57" s="222" t="s">
        <v>88</v>
      </c>
      <c r="BV57" s="222" t="s">
        <v>88</v>
      </c>
      <c r="BW57" s="219"/>
      <c r="BX57" s="111"/>
      <c r="BY57" s="111"/>
      <c r="BZ57" s="111" t="s">
        <v>88</v>
      </c>
      <c r="CA57" s="111" t="s">
        <v>88</v>
      </c>
      <c r="CB57" s="111"/>
      <c r="CC57" s="111" t="s">
        <v>88</v>
      </c>
      <c r="CD57" s="220" t="s">
        <v>88</v>
      </c>
      <c r="CE57" s="111" t="s">
        <v>88</v>
      </c>
      <c r="CF57" s="111" t="s">
        <v>88</v>
      </c>
      <c r="CG57" s="111" t="s">
        <v>88</v>
      </c>
      <c r="CH57" s="111" t="s">
        <v>88</v>
      </c>
    </row>
    <row r="58" spans="1:86" ht="21.5" hidden="1" customHeight="1">
      <c r="A58" s="989"/>
      <c r="B58" s="977"/>
      <c r="C58" s="977"/>
      <c r="D58" s="977"/>
      <c r="E58" s="978"/>
      <c r="F58" s="986" t="s">
        <v>88</v>
      </c>
      <c r="G58" s="977" t="s">
        <v>88</v>
      </c>
      <c r="H58" s="977" t="s">
        <v>88</v>
      </c>
      <c r="I58" s="987" t="s">
        <v>88</v>
      </c>
      <c r="J58" s="977" t="s">
        <v>88</v>
      </c>
      <c r="K58" s="977" t="s">
        <v>88</v>
      </c>
      <c r="L58" s="977" t="s">
        <v>88</v>
      </c>
      <c r="M58" s="977" t="s">
        <v>88</v>
      </c>
      <c r="N58" s="977" t="s">
        <v>88</v>
      </c>
      <c r="O58" s="977" t="s">
        <v>88</v>
      </c>
      <c r="P58" s="977" t="s">
        <v>88</v>
      </c>
      <c r="Q58" s="977" t="s">
        <v>88</v>
      </c>
      <c r="R58" s="977" t="s">
        <v>88</v>
      </c>
      <c r="S58" s="977" t="s">
        <v>88</v>
      </c>
      <c r="T58" s="1047"/>
      <c r="U58" s="977" t="s">
        <v>88</v>
      </c>
      <c r="V58" s="973" t="s">
        <v>88</v>
      </c>
      <c r="W58" s="977" t="s">
        <v>88</v>
      </c>
      <c r="X58" s="977" t="s">
        <v>88</v>
      </c>
      <c r="Y58" s="977" t="s">
        <v>88</v>
      </c>
      <c r="Z58" s="977" t="s">
        <v>88</v>
      </c>
      <c r="AA58" s="977" t="s">
        <v>88</v>
      </c>
      <c r="AB58" s="977" t="s">
        <v>88</v>
      </c>
      <c r="AC58" s="977" t="s">
        <v>88</v>
      </c>
      <c r="AD58" s="977" t="s">
        <v>88</v>
      </c>
      <c r="AE58" s="977" t="s">
        <v>88</v>
      </c>
      <c r="AF58" s="977" t="s">
        <v>88</v>
      </c>
      <c r="AG58" s="973" t="s">
        <v>88</v>
      </c>
      <c r="AH58" s="1045" t="s">
        <v>88</v>
      </c>
      <c r="AI58" s="1045" t="s">
        <v>88</v>
      </c>
      <c r="AJ58" s="1045" t="s">
        <v>88</v>
      </c>
      <c r="AK58" s="1045" t="s">
        <v>88</v>
      </c>
      <c r="AL58" s="1045" t="s">
        <v>88</v>
      </c>
      <c r="AM58" s="1045" t="s">
        <v>88</v>
      </c>
      <c r="AN58" s="977"/>
      <c r="AO58" s="977"/>
      <c r="AP58" s="977"/>
      <c r="AQ58" s="977" t="s">
        <v>88</v>
      </c>
      <c r="AR58" s="977" t="s">
        <v>88</v>
      </c>
      <c r="AS58" s="977" t="s">
        <v>88</v>
      </c>
      <c r="AT58" s="429" t="s">
        <v>663</v>
      </c>
      <c r="AU58" s="429" t="s">
        <v>663</v>
      </c>
      <c r="AV58" s="429" t="s">
        <v>663</v>
      </c>
      <c r="AW58" s="194" t="s">
        <v>88</v>
      </c>
      <c r="AX58" s="111" t="s">
        <v>88</v>
      </c>
      <c r="AY58" s="111" t="s">
        <v>97</v>
      </c>
      <c r="AZ58" s="111" t="s">
        <v>88</v>
      </c>
      <c r="BA58" s="111" t="s">
        <v>88</v>
      </c>
      <c r="BB58" s="111" t="s">
        <v>88</v>
      </c>
      <c r="BC58" s="111" t="s">
        <v>88</v>
      </c>
      <c r="BD58" s="111" t="s">
        <v>88</v>
      </c>
      <c r="BE58" s="111" t="s">
        <v>88</v>
      </c>
      <c r="BF58" s="111" t="s">
        <v>88</v>
      </c>
      <c r="BG58" s="111" t="s">
        <v>97</v>
      </c>
      <c r="BH58" s="111" t="s">
        <v>88</v>
      </c>
      <c r="BI58" s="111" t="s">
        <v>88</v>
      </c>
      <c r="BJ58" s="111" t="s">
        <v>88</v>
      </c>
      <c r="BK58" s="111" t="s">
        <v>88</v>
      </c>
      <c r="BL58" s="111" t="s">
        <v>88</v>
      </c>
      <c r="BM58" s="221" t="s">
        <v>88</v>
      </c>
      <c r="BN58" s="221" t="s">
        <v>88</v>
      </c>
      <c r="BO58" s="221" t="s">
        <v>88</v>
      </c>
      <c r="BP58" s="221" t="s">
        <v>88</v>
      </c>
      <c r="BQ58" s="221" t="s">
        <v>88</v>
      </c>
      <c r="BR58" s="221" t="s">
        <v>88</v>
      </c>
      <c r="BS58" s="221" t="s">
        <v>88</v>
      </c>
      <c r="BT58" s="221" t="s">
        <v>88</v>
      </c>
      <c r="BU58" s="221" t="s">
        <v>88</v>
      </c>
      <c r="BV58" s="221" t="s">
        <v>88</v>
      </c>
      <c r="BW58" s="219"/>
      <c r="BX58" s="111"/>
      <c r="BY58" s="111"/>
      <c r="BZ58" s="111" t="s">
        <v>88</v>
      </c>
      <c r="CA58" s="111" t="s">
        <v>88</v>
      </c>
      <c r="CB58" s="111"/>
      <c r="CC58" s="111" t="s">
        <v>88</v>
      </c>
      <c r="CD58" s="220" t="s">
        <v>88</v>
      </c>
      <c r="CE58" s="111" t="s">
        <v>88</v>
      </c>
      <c r="CF58" s="111" t="s">
        <v>88</v>
      </c>
      <c r="CG58" s="111" t="s">
        <v>88</v>
      </c>
      <c r="CH58" s="111" t="s">
        <v>88</v>
      </c>
    </row>
    <row r="59" spans="1:86" ht="31.5" customHeight="1">
      <c r="A59" s="236">
        <v>45945</v>
      </c>
      <c r="B59" s="237" t="s">
        <v>100</v>
      </c>
      <c r="C59" s="238">
        <v>45943</v>
      </c>
      <c r="D59" s="238">
        <v>45945</v>
      </c>
      <c r="E59" s="239">
        <v>2405</v>
      </c>
      <c r="F59" s="240" t="s">
        <v>709</v>
      </c>
      <c r="G59" s="237" t="s">
        <v>86</v>
      </c>
      <c r="H59" s="237" t="s">
        <v>102</v>
      </c>
      <c r="I59" s="241" t="s">
        <v>88</v>
      </c>
      <c r="J59" s="237" t="s">
        <v>89</v>
      </c>
      <c r="K59" s="237" t="s">
        <v>710</v>
      </c>
      <c r="L59" s="237" t="s">
        <v>189</v>
      </c>
      <c r="M59" s="237" t="s">
        <v>88</v>
      </c>
      <c r="N59" s="237" t="s">
        <v>711</v>
      </c>
      <c r="O59" s="237" t="s">
        <v>712</v>
      </c>
      <c r="P59" s="237" t="s">
        <v>713</v>
      </c>
      <c r="Q59" s="237" t="s">
        <v>714</v>
      </c>
      <c r="R59" s="237" t="s">
        <v>715</v>
      </c>
      <c r="S59" s="237" t="s">
        <v>110</v>
      </c>
      <c r="T59" s="245" t="s">
        <v>98</v>
      </c>
      <c r="U59" s="237" t="s">
        <v>97</v>
      </c>
      <c r="V59" s="243">
        <v>1</v>
      </c>
      <c r="W59" s="237" t="s">
        <v>716</v>
      </c>
      <c r="X59" s="237" t="s">
        <v>717</v>
      </c>
      <c r="Y59" s="285" t="s">
        <v>718</v>
      </c>
      <c r="Z59" s="255" t="s">
        <v>255</v>
      </c>
      <c r="AA59" s="255" t="s">
        <v>255</v>
      </c>
      <c r="AB59" s="255" t="s">
        <v>255</v>
      </c>
      <c r="AC59" s="255" t="s">
        <v>255</v>
      </c>
      <c r="AD59" s="255" t="s">
        <v>255</v>
      </c>
      <c r="AE59" s="255" t="s">
        <v>255</v>
      </c>
      <c r="AF59" s="237" t="s">
        <v>97</v>
      </c>
      <c r="AG59" s="244">
        <v>1</v>
      </c>
      <c r="AH59" s="237" t="s">
        <v>719</v>
      </c>
      <c r="AI59" s="237" t="s">
        <v>717</v>
      </c>
      <c r="AJ59" s="254" t="s">
        <v>720</v>
      </c>
      <c r="AK59" s="250"/>
      <c r="AL59" s="250"/>
      <c r="AM59" s="250"/>
      <c r="AN59" s="250"/>
      <c r="AO59" s="250"/>
      <c r="AP59" s="250"/>
      <c r="AQ59" s="237" t="s">
        <v>376</v>
      </c>
      <c r="AR59" s="111" t="s">
        <v>721</v>
      </c>
      <c r="AS59" s="111" t="s">
        <v>88</v>
      </c>
      <c r="AT59" s="434" t="s">
        <v>722</v>
      </c>
      <c r="AU59" s="604" t="s">
        <v>723</v>
      </c>
      <c r="AV59" s="331" t="s">
        <v>720</v>
      </c>
      <c r="AW59" s="332">
        <v>31640248255</v>
      </c>
      <c r="AX59" s="331" t="s">
        <v>724</v>
      </c>
      <c r="AY59" s="331" t="s">
        <v>97</v>
      </c>
      <c r="AZ59" s="434" t="s">
        <v>154</v>
      </c>
      <c r="BA59" s="434" t="s">
        <v>725</v>
      </c>
      <c r="BB59" s="438">
        <v>45945</v>
      </c>
      <c r="BC59" s="434" t="s">
        <v>726</v>
      </c>
      <c r="BD59" s="434" t="s">
        <v>725</v>
      </c>
      <c r="BE59" s="438">
        <v>45945</v>
      </c>
      <c r="BF59" s="434" t="s">
        <v>727</v>
      </c>
      <c r="BG59" s="331" t="s">
        <v>89</v>
      </c>
      <c r="BH59" s="331" t="s">
        <v>88</v>
      </c>
      <c r="BI59" s="132" t="s">
        <v>98</v>
      </c>
      <c r="BJ59" s="132" t="s">
        <v>98</v>
      </c>
      <c r="BK59" s="111" t="s">
        <v>88</v>
      </c>
      <c r="BL59" s="219" t="s">
        <v>88</v>
      </c>
      <c r="BM59" s="656" t="s">
        <v>725</v>
      </c>
      <c r="BN59" s="111" t="s">
        <v>425</v>
      </c>
      <c r="BO59" s="658">
        <v>45945</v>
      </c>
      <c r="BP59" s="692">
        <v>0.2986111111111111</v>
      </c>
      <c r="BQ59" s="111" t="s">
        <v>728</v>
      </c>
      <c r="BR59" s="656" t="s">
        <v>725</v>
      </c>
      <c r="BS59" s="658">
        <v>45945</v>
      </c>
      <c r="BT59" s="111" t="s">
        <v>729</v>
      </c>
      <c r="BU59" s="111" t="s">
        <v>730</v>
      </c>
      <c r="BV59" s="737" t="s">
        <v>88</v>
      </c>
      <c r="BW59" s="748">
        <v>0</v>
      </c>
      <c r="BX59" s="619">
        <v>0</v>
      </c>
      <c r="BY59" s="111"/>
      <c r="BZ59" s="111" t="s">
        <v>88</v>
      </c>
      <c r="CA59" s="111" t="s">
        <v>88</v>
      </c>
      <c r="CB59" s="111"/>
      <c r="CC59" s="111" t="s">
        <v>88</v>
      </c>
      <c r="CD59" s="220" t="s">
        <v>88</v>
      </c>
      <c r="CE59" s="111" t="s">
        <v>88</v>
      </c>
      <c r="CF59" s="391" t="s">
        <v>731</v>
      </c>
      <c r="CG59" s="111" t="s">
        <v>732</v>
      </c>
      <c r="CH59" s="111" t="s">
        <v>88</v>
      </c>
    </row>
    <row r="60" spans="1:86" ht="21.5" customHeight="1">
      <c r="A60" s="988">
        <v>45944</v>
      </c>
      <c r="B60" s="977" t="s">
        <v>206</v>
      </c>
      <c r="C60" s="993">
        <v>45943</v>
      </c>
      <c r="D60" s="976">
        <v>45945</v>
      </c>
      <c r="E60" s="978">
        <v>2426</v>
      </c>
      <c r="F60" s="992" t="s">
        <v>733</v>
      </c>
      <c r="G60" s="976" t="s">
        <v>135</v>
      </c>
      <c r="H60" s="976" t="s">
        <v>87</v>
      </c>
      <c r="I60" s="987" t="s">
        <v>88</v>
      </c>
      <c r="J60" s="976" t="s">
        <v>89</v>
      </c>
      <c r="K60" s="976" t="s">
        <v>594</v>
      </c>
      <c r="L60" s="976" t="s">
        <v>189</v>
      </c>
      <c r="M60" s="976" t="s">
        <v>88</v>
      </c>
      <c r="N60" s="976" t="s">
        <v>734</v>
      </c>
      <c r="O60" s="976" t="s">
        <v>735</v>
      </c>
      <c r="P60" s="976" t="s">
        <v>192</v>
      </c>
      <c r="Q60" s="976" t="s">
        <v>736</v>
      </c>
      <c r="R60" s="976" t="s">
        <v>737</v>
      </c>
      <c r="S60" s="976" t="s">
        <v>110</v>
      </c>
      <c r="T60" s="974" t="s">
        <v>98</v>
      </c>
      <c r="U60" s="976" t="s">
        <v>97</v>
      </c>
      <c r="V60" s="973">
        <v>2</v>
      </c>
      <c r="W60" s="1020" t="s">
        <v>738</v>
      </c>
      <c r="X60" s="1020" t="s">
        <v>739</v>
      </c>
      <c r="Y60" s="974" t="s">
        <v>740</v>
      </c>
      <c r="Z60" s="976" t="s">
        <v>741</v>
      </c>
      <c r="AA60" s="976" t="s">
        <v>742</v>
      </c>
      <c r="AB60" s="974" t="s">
        <v>743</v>
      </c>
      <c r="AC60" s="976"/>
      <c r="AD60" s="976"/>
      <c r="AE60" s="976"/>
      <c r="AF60" s="976" t="s">
        <v>97</v>
      </c>
      <c r="AG60" s="973">
        <v>1</v>
      </c>
      <c r="AH60" s="976" t="s">
        <v>741</v>
      </c>
      <c r="AI60" s="976" t="s">
        <v>742</v>
      </c>
      <c r="AJ60" s="976" t="s">
        <v>743</v>
      </c>
      <c r="AK60" s="976"/>
      <c r="AL60" s="976"/>
      <c r="AM60" s="976"/>
      <c r="AN60" s="976"/>
      <c r="AO60" s="976"/>
      <c r="AP60" s="976"/>
      <c r="AQ60" s="976" t="s">
        <v>376</v>
      </c>
      <c r="AR60" s="976" t="s">
        <v>88</v>
      </c>
      <c r="AS60" s="976" t="s">
        <v>88</v>
      </c>
      <c r="AT60" s="331" t="s">
        <v>738</v>
      </c>
      <c r="AU60" s="331" t="s">
        <v>739</v>
      </c>
      <c r="AV60" s="331" t="s">
        <v>740</v>
      </c>
      <c r="AW60" s="334" t="s">
        <v>744</v>
      </c>
      <c r="AX60" s="334" t="s">
        <v>745</v>
      </c>
      <c r="AY60" s="331" t="s">
        <v>97</v>
      </c>
      <c r="AZ60" s="334" t="s">
        <v>154</v>
      </c>
      <c r="BA60" s="334" t="s">
        <v>746</v>
      </c>
      <c r="BB60" s="333">
        <v>45943</v>
      </c>
      <c r="BC60" s="334" t="s">
        <v>747</v>
      </c>
      <c r="BD60" s="334" t="s">
        <v>746</v>
      </c>
      <c r="BE60" s="333">
        <v>45945</v>
      </c>
      <c r="BF60" s="334" t="s">
        <v>748</v>
      </c>
      <c r="BG60" s="331" t="s">
        <v>97</v>
      </c>
      <c r="BH60" s="334" t="s">
        <v>749</v>
      </c>
      <c r="BI60" s="132" t="s">
        <v>98</v>
      </c>
      <c r="BJ60" s="132" t="s">
        <v>98</v>
      </c>
      <c r="BK60" s="132" t="s">
        <v>98</v>
      </c>
      <c r="BL60" s="667" t="s">
        <v>98</v>
      </c>
      <c r="BM60" s="740" t="s">
        <v>746</v>
      </c>
      <c r="BN60" s="111" t="s">
        <v>425</v>
      </c>
      <c r="BO60" s="658">
        <v>45943</v>
      </c>
      <c r="BP60" s="659">
        <v>0.59583333333333333</v>
      </c>
      <c r="BQ60" s="660" t="s">
        <v>750</v>
      </c>
      <c r="BR60" s="740" t="s">
        <v>746</v>
      </c>
      <c r="BS60" s="658">
        <v>45945</v>
      </c>
      <c r="BT60" s="659">
        <v>0.63611111111111107</v>
      </c>
      <c r="BU60" s="660" t="s">
        <v>751</v>
      </c>
      <c r="BV60" s="662">
        <v>318</v>
      </c>
      <c r="BW60" s="741">
        <v>1</v>
      </c>
      <c r="BX60" s="132">
        <v>1</v>
      </c>
      <c r="BY60" s="111"/>
      <c r="BZ60" s="483">
        <v>45943</v>
      </c>
      <c r="CA60" s="483">
        <v>45945</v>
      </c>
      <c r="CB60" s="483"/>
      <c r="CC60" s="111">
        <f>BW60+BX60+BY60</f>
        <v>2</v>
      </c>
      <c r="CD60" s="220" t="s">
        <v>88</v>
      </c>
      <c r="CE60" s="689"/>
      <c r="CF60" s="111" t="s">
        <v>88</v>
      </c>
      <c r="CG60" s="111" t="s">
        <v>88</v>
      </c>
      <c r="CH60" s="111" t="s">
        <v>88</v>
      </c>
    </row>
    <row r="61" spans="1:86" ht="21.5" hidden="1" customHeight="1">
      <c r="A61" s="989"/>
      <c r="B61" s="977"/>
      <c r="C61" s="994"/>
      <c r="D61" s="977"/>
      <c r="E61" s="978"/>
      <c r="F61" s="986" t="s">
        <v>88</v>
      </c>
      <c r="G61" s="977" t="s">
        <v>88</v>
      </c>
      <c r="H61" s="977" t="s">
        <v>88</v>
      </c>
      <c r="I61" s="987" t="s">
        <v>88</v>
      </c>
      <c r="J61" s="977" t="s">
        <v>88</v>
      </c>
      <c r="K61" s="977" t="s">
        <v>88</v>
      </c>
      <c r="L61" s="977" t="s">
        <v>88</v>
      </c>
      <c r="M61" s="977" t="s">
        <v>88</v>
      </c>
      <c r="N61" s="977" t="s">
        <v>88</v>
      </c>
      <c r="O61" s="977" t="s">
        <v>88</v>
      </c>
      <c r="P61" s="977" t="s">
        <v>88</v>
      </c>
      <c r="Q61" s="977" t="s">
        <v>88</v>
      </c>
      <c r="R61" s="977" t="s">
        <v>88</v>
      </c>
      <c r="S61" s="977" t="s">
        <v>88</v>
      </c>
      <c r="T61" s="974"/>
      <c r="U61" s="977" t="s">
        <v>88</v>
      </c>
      <c r="V61" s="973"/>
      <c r="W61" s="1020"/>
      <c r="X61" s="1020" t="s">
        <v>88</v>
      </c>
      <c r="Y61" s="974" t="s">
        <v>88</v>
      </c>
      <c r="Z61" s="977" t="s">
        <v>88</v>
      </c>
      <c r="AA61" s="977" t="s">
        <v>88</v>
      </c>
      <c r="AB61" s="974" t="s">
        <v>88</v>
      </c>
      <c r="AC61" s="977" t="s">
        <v>88</v>
      </c>
      <c r="AD61" s="977" t="s">
        <v>88</v>
      </c>
      <c r="AE61" s="977" t="s">
        <v>88</v>
      </c>
      <c r="AF61" s="977" t="s">
        <v>88</v>
      </c>
      <c r="AG61" s="973" t="s">
        <v>88</v>
      </c>
      <c r="AH61" s="977" t="s">
        <v>88</v>
      </c>
      <c r="AI61" s="977" t="s">
        <v>88</v>
      </c>
      <c r="AJ61" s="977" t="s">
        <v>88</v>
      </c>
      <c r="AK61" s="977"/>
      <c r="AL61" s="977"/>
      <c r="AM61" s="977"/>
      <c r="AN61" s="977" t="s">
        <v>88</v>
      </c>
      <c r="AO61" s="977" t="s">
        <v>88</v>
      </c>
      <c r="AP61" s="977" t="s">
        <v>88</v>
      </c>
      <c r="AQ61" s="977" t="s">
        <v>88</v>
      </c>
      <c r="AR61" s="977" t="s">
        <v>88</v>
      </c>
      <c r="AS61" s="977" t="s">
        <v>88</v>
      </c>
      <c r="AT61" s="331" t="s">
        <v>741</v>
      </c>
      <c r="AU61" s="331" t="s">
        <v>742</v>
      </c>
      <c r="AV61" s="343" t="s">
        <v>743</v>
      </c>
      <c r="AW61" s="340" t="s">
        <v>752</v>
      </c>
      <c r="AX61" s="340" t="s">
        <v>753</v>
      </c>
      <c r="AY61" s="331" t="s">
        <v>97</v>
      </c>
      <c r="AZ61" s="340" t="s">
        <v>154</v>
      </c>
      <c r="BA61" s="340" t="s">
        <v>754</v>
      </c>
      <c r="BB61" s="333">
        <v>45943</v>
      </c>
      <c r="BC61" s="340" t="s">
        <v>755</v>
      </c>
      <c r="BD61" s="340" t="s">
        <v>408</v>
      </c>
      <c r="BE61" s="333">
        <v>45945</v>
      </c>
      <c r="BF61" s="340" t="s">
        <v>756</v>
      </c>
      <c r="BG61" s="331" t="s">
        <v>97</v>
      </c>
      <c r="BH61" s="340" t="s">
        <v>757</v>
      </c>
      <c r="BI61" s="132" t="s">
        <v>98</v>
      </c>
      <c r="BJ61" s="132" t="s">
        <v>98</v>
      </c>
      <c r="BK61" s="132" t="s">
        <v>98</v>
      </c>
      <c r="BL61" s="667" t="s">
        <v>98</v>
      </c>
      <c r="BM61" s="391" t="s">
        <v>758</v>
      </c>
      <c r="BN61" s="29" t="s">
        <v>759</v>
      </c>
      <c r="BO61" s="658">
        <v>45943</v>
      </c>
      <c r="BP61" s="692">
        <v>0.86458333333333337</v>
      </c>
      <c r="BQ61" s="29" t="s">
        <v>760</v>
      </c>
      <c r="BR61" s="391" t="s">
        <v>408</v>
      </c>
      <c r="BS61" s="658">
        <v>45945</v>
      </c>
      <c r="BT61" s="692">
        <v>0.66666666666666663</v>
      </c>
      <c r="BU61" s="111" t="s">
        <v>625</v>
      </c>
      <c r="BV61" s="662">
        <v>549.17999999999995</v>
      </c>
      <c r="BW61" s="741">
        <v>1</v>
      </c>
      <c r="BX61" s="132">
        <v>1</v>
      </c>
      <c r="BY61" s="111"/>
      <c r="BZ61" s="483">
        <v>45943</v>
      </c>
      <c r="CA61" s="483">
        <v>45945</v>
      </c>
      <c r="CB61" s="111"/>
      <c r="CC61" s="111">
        <f>BW61+BX61+BY61</f>
        <v>2</v>
      </c>
      <c r="CD61" s="220" t="s">
        <v>88</v>
      </c>
      <c r="CE61" s="111" t="s">
        <v>88</v>
      </c>
      <c r="CF61" s="111" t="s">
        <v>88</v>
      </c>
      <c r="CG61" s="111" t="s">
        <v>88</v>
      </c>
      <c r="CH61" s="111" t="s">
        <v>88</v>
      </c>
    </row>
    <row r="62" spans="1:86" ht="21.5" customHeight="1">
      <c r="A62" s="236">
        <v>45944</v>
      </c>
      <c r="B62" s="237" t="s">
        <v>357</v>
      </c>
      <c r="C62" s="238">
        <v>45943</v>
      </c>
      <c r="D62" s="238">
        <v>45945</v>
      </c>
      <c r="E62" s="239">
        <v>2429</v>
      </c>
      <c r="F62" s="423" t="s">
        <v>761</v>
      </c>
      <c r="G62" s="238" t="s">
        <v>167</v>
      </c>
      <c r="H62" s="238" t="s">
        <v>87</v>
      </c>
      <c r="I62" s="241">
        <v>24292651</v>
      </c>
      <c r="J62" s="238" t="s">
        <v>97</v>
      </c>
      <c r="K62" s="238" t="s">
        <v>762</v>
      </c>
      <c r="L62" s="238" t="s">
        <v>189</v>
      </c>
      <c r="M62" s="238" t="s">
        <v>88</v>
      </c>
      <c r="N62" s="238" t="s">
        <v>763</v>
      </c>
      <c r="O62" s="424" t="s">
        <v>764</v>
      </c>
      <c r="P62" s="238" t="s">
        <v>765</v>
      </c>
      <c r="Q62" s="238" t="s">
        <v>766</v>
      </c>
      <c r="R62" s="238" t="s">
        <v>767</v>
      </c>
      <c r="S62" s="238" t="s">
        <v>110</v>
      </c>
      <c r="T62" s="425" t="s">
        <v>98</v>
      </c>
      <c r="U62" s="238" t="s">
        <v>97</v>
      </c>
      <c r="V62" s="243">
        <v>1</v>
      </c>
      <c r="W62" s="427" t="s">
        <v>768</v>
      </c>
      <c r="X62" s="428" t="s">
        <v>769</v>
      </c>
      <c r="Y62" s="426" t="s">
        <v>770</v>
      </c>
      <c r="Z62" s="238" t="s">
        <v>708</v>
      </c>
      <c r="AA62" s="238" t="s">
        <v>708</v>
      </c>
      <c r="AB62" s="238" t="s">
        <v>708</v>
      </c>
      <c r="AC62" s="238" t="s">
        <v>708</v>
      </c>
      <c r="AD62" s="238" t="s">
        <v>708</v>
      </c>
      <c r="AE62" s="238" t="s">
        <v>708</v>
      </c>
      <c r="AF62" s="238" t="s">
        <v>97</v>
      </c>
      <c r="AG62" s="243">
        <v>1</v>
      </c>
      <c r="AH62" s="427" t="s">
        <v>768</v>
      </c>
      <c r="AI62" s="428" t="s">
        <v>769</v>
      </c>
      <c r="AJ62" s="426" t="s">
        <v>770</v>
      </c>
      <c r="AK62" s="238"/>
      <c r="AL62" s="238"/>
      <c r="AM62" s="238"/>
      <c r="AN62" s="238"/>
      <c r="AO62" s="238"/>
      <c r="AP62" s="238"/>
      <c r="AQ62" s="238" t="s">
        <v>613</v>
      </c>
      <c r="AR62" s="238" t="s">
        <v>88</v>
      </c>
      <c r="AS62" s="238" t="s">
        <v>88</v>
      </c>
      <c r="AT62" s="331" t="s">
        <v>771</v>
      </c>
      <c r="AU62" s="331" t="s">
        <v>769</v>
      </c>
      <c r="AV62" s="343" t="s">
        <v>770</v>
      </c>
      <c r="AW62" s="332" t="s">
        <v>772</v>
      </c>
      <c r="AX62" s="331" t="s">
        <v>773</v>
      </c>
      <c r="AY62" s="331" t="s">
        <v>97</v>
      </c>
      <c r="AZ62" s="331" t="s">
        <v>774</v>
      </c>
      <c r="BA62" s="331" t="s">
        <v>122</v>
      </c>
      <c r="BB62" s="333">
        <v>45943</v>
      </c>
      <c r="BC62" s="366" t="s">
        <v>775</v>
      </c>
      <c r="BD62" s="366" t="s">
        <v>776</v>
      </c>
      <c r="BE62" s="333">
        <v>45945</v>
      </c>
      <c r="BF62" s="366"/>
      <c r="BG62" s="331" t="s">
        <v>97</v>
      </c>
      <c r="BH62" s="331" t="s">
        <v>88</v>
      </c>
      <c r="BI62" s="111" t="s">
        <v>98</v>
      </c>
      <c r="BJ62" s="111" t="s">
        <v>98</v>
      </c>
      <c r="BK62" s="111" t="s">
        <v>98</v>
      </c>
      <c r="BL62" s="219" t="s">
        <v>98</v>
      </c>
      <c r="BM62" s="519" t="s">
        <v>122</v>
      </c>
      <c r="BN62" s="29" t="s">
        <v>126</v>
      </c>
      <c r="BO62" s="663">
        <v>45943</v>
      </c>
      <c r="BP62" s="664">
        <v>0.74652777777777779</v>
      </c>
      <c r="BQ62" s="665" t="s">
        <v>777</v>
      </c>
      <c r="BR62" s="519" t="s">
        <v>122</v>
      </c>
      <c r="BS62" s="663">
        <v>45945</v>
      </c>
      <c r="BT62" s="664">
        <v>0.43055555555555558</v>
      </c>
      <c r="BU62" s="665" t="s">
        <v>778</v>
      </c>
      <c r="BV62" s="666">
        <v>280.10000000000002</v>
      </c>
      <c r="BW62" s="741">
        <v>1</v>
      </c>
      <c r="BX62" s="132">
        <v>1</v>
      </c>
      <c r="BY62" s="111"/>
      <c r="BZ62" s="483">
        <v>45943</v>
      </c>
      <c r="CA62" s="483">
        <v>45945</v>
      </c>
      <c r="CB62" s="483"/>
      <c r="CC62" s="111">
        <f>BW62+BX62+BY62</f>
        <v>2</v>
      </c>
      <c r="CD62" s="220" t="s">
        <v>88</v>
      </c>
      <c r="CE62" s="111" t="s">
        <v>88</v>
      </c>
      <c r="CF62" s="111" t="s">
        <v>88</v>
      </c>
      <c r="CG62" s="111" t="s">
        <v>88</v>
      </c>
      <c r="CH62" s="111" t="s">
        <v>88</v>
      </c>
    </row>
    <row r="63" spans="1:86" ht="50.5" customHeight="1">
      <c r="A63" s="238">
        <v>45944</v>
      </c>
      <c r="B63" s="237" t="s">
        <v>779</v>
      </c>
      <c r="C63" s="238">
        <v>45943</v>
      </c>
      <c r="D63" s="238">
        <v>45945</v>
      </c>
      <c r="E63" s="239">
        <v>2435</v>
      </c>
      <c r="F63" s="240" t="s">
        <v>780</v>
      </c>
      <c r="G63" s="237" t="s">
        <v>135</v>
      </c>
      <c r="H63" s="237" t="s">
        <v>102</v>
      </c>
      <c r="I63" s="241">
        <v>21462435</v>
      </c>
      <c r="J63" s="237" t="s">
        <v>97</v>
      </c>
      <c r="K63" s="237" t="s">
        <v>781</v>
      </c>
      <c r="L63" s="237" t="s">
        <v>169</v>
      </c>
      <c r="M63" s="237" t="s">
        <v>88</v>
      </c>
      <c r="N63" s="237" t="s">
        <v>782</v>
      </c>
      <c r="O63" s="286" t="s">
        <v>783</v>
      </c>
      <c r="P63" s="237" t="s">
        <v>781</v>
      </c>
      <c r="Q63" s="237" t="s">
        <v>784</v>
      </c>
      <c r="R63" s="237" t="s">
        <v>785</v>
      </c>
      <c r="S63" s="237" t="s">
        <v>110</v>
      </c>
      <c r="T63" s="117" t="s">
        <v>561</v>
      </c>
      <c r="U63" s="237" t="s">
        <v>562</v>
      </c>
      <c r="V63" s="243" t="s">
        <v>88</v>
      </c>
      <c r="W63" s="237" t="s">
        <v>88</v>
      </c>
      <c r="X63" s="237" t="s">
        <v>88</v>
      </c>
      <c r="Y63" s="237" t="s">
        <v>88</v>
      </c>
      <c r="Z63" s="237" t="s">
        <v>88</v>
      </c>
      <c r="AA63" s="237" t="s">
        <v>88</v>
      </c>
      <c r="AB63" s="237" t="s">
        <v>88</v>
      </c>
      <c r="AC63" s="237" t="s">
        <v>88</v>
      </c>
      <c r="AD63" s="237" t="s">
        <v>88</v>
      </c>
      <c r="AE63" s="237" t="s">
        <v>88</v>
      </c>
      <c r="AF63" s="237" t="s">
        <v>563</v>
      </c>
      <c r="AG63" s="244" t="s">
        <v>88</v>
      </c>
      <c r="AH63" s="111" t="s">
        <v>88</v>
      </c>
      <c r="AI63" s="111" t="s">
        <v>88</v>
      </c>
      <c r="AJ63" s="111" t="s">
        <v>88</v>
      </c>
      <c r="AK63" s="111" t="s">
        <v>88</v>
      </c>
      <c r="AL63" s="111" t="s">
        <v>88</v>
      </c>
      <c r="AM63" s="111" t="s">
        <v>88</v>
      </c>
      <c r="AN63" s="111" t="s">
        <v>88</v>
      </c>
      <c r="AO63" s="111" t="s">
        <v>88</v>
      </c>
      <c r="AP63" s="111" t="s">
        <v>88</v>
      </c>
      <c r="AQ63" s="237" t="s">
        <v>613</v>
      </c>
      <c r="AR63" s="111" t="s">
        <v>88</v>
      </c>
      <c r="AS63" s="111" t="s">
        <v>88</v>
      </c>
      <c r="AT63" s="446" t="s">
        <v>88</v>
      </c>
      <c r="AU63" s="446" t="s">
        <v>88</v>
      </c>
      <c r="AV63" s="446" t="s">
        <v>88</v>
      </c>
      <c r="AW63" s="952" t="s">
        <v>88</v>
      </c>
      <c r="AX63" s="446" t="s">
        <v>88</v>
      </c>
      <c r="AY63" s="446" t="s">
        <v>88</v>
      </c>
      <c r="AZ63" s="446" t="s">
        <v>88</v>
      </c>
      <c r="BA63" s="446" t="s">
        <v>88</v>
      </c>
      <c r="BB63" s="446" t="s">
        <v>88</v>
      </c>
      <c r="BC63" s="446" t="s">
        <v>88</v>
      </c>
      <c r="BD63" s="446" t="s">
        <v>88</v>
      </c>
      <c r="BE63" s="446" t="s">
        <v>88</v>
      </c>
      <c r="BF63" s="446" t="s">
        <v>88</v>
      </c>
      <c r="BG63" s="446"/>
      <c r="BH63" s="446" t="s">
        <v>88</v>
      </c>
      <c r="BI63" s="111" t="s">
        <v>88</v>
      </c>
      <c r="BJ63" s="111" t="s">
        <v>88</v>
      </c>
      <c r="BK63" s="111" t="s">
        <v>88</v>
      </c>
      <c r="BL63" s="111" t="s">
        <v>88</v>
      </c>
      <c r="BM63" s="670" t="s">
        <v>88</v>
      </c>
      <c r="BN63" s="670" t="s">
        <v>88</v>
      </c>
      <c r="BO63" s="670" t="s">
        <v>88</v>
      </c>
      <c r="BP63" s="670" t="s">
        <v>88</v>
      </c>
      <c r="BQ63" s="670" t="s">
        <v>88</v>
      </c>
      <c r="BR63" s="670" t="s">
        <v>88</v>
      </c>
      <c r="BS63" s="670" t="s">
        <v>88</v>
      </c>
      <c r="BT63" s="670" t="s">
        <v>88</v>
      </c>
      <c r="BU63" s="670" t="s">
        <v>88</v>
      </c>
      <c r="BV63" s="670" t="s">
        <v>88</v>
      </c>
      <c r="BW63" s="219"/>
      <c r="BX63" s="111"/>
      <c r="BY63" s="111"/>
      <c r="BZ63" s="111" t="s">
        <v>88</v>
      </c>
      <c r="CA63" s="111" t="s">
        <v>88</v>
      </c>
      <c r="CB63" s="111"/>
      <c r="CC63" s="111" t="s">
        <v>88</v>
      </c>
      <c r="CD63" s="220" t="s">
        <v>88</v>
      </c>
      <c r="CE63" s="111" t="s">
        <v>88</v>
      </c>
      <c r="CF63" s="111" t="s">
        <v>88</v>
      </c>
      <c r="CG63" s="111" t="s">
        <v>88</v>
      </c>
      <c r="CH63" s="111" t="s">
        <v>88</v>
      </c>
    </row>
    <row r="64" spans="1:86" s="226" customFormat="1" ht="21.5" customHeight="1">
      <c r="A64" s="988">
        <v>45944</v>
      </c>
      <c r="B64" s="977" t="s">
        <v>779</v>
      </c>
      <c r="C64" s="976">
        <v>45943</v>
      </c>
      <c r="D64" s="976">
        <v>45945</v>
      </c>
      <c r="E64" s="978">
        <v>2449</v>
      </c>
      <c r="F64" s="992" t="s">
        <v>786</v>
      </c>
      <c r="G64" s="976" t="s">
        <v>86</v>
      </c>
      <c r="H64" s="976" t="s">
        <v>102</v>
      </c>
      <c r="I64" s="987">
        <v>24492578</v>
      </c>
      <c r="J64" s="976" t="s">
        <v>97</v>
      </c>
      <c r="K64" s="976" t="s">
        <v>787</v>
      </c>
      <c r="L64" s="976" t="s">
        <v>519</v>
      </c>
      <c r="M64" s="976" t="s">
        <v>88</v>
      </c>
      <c r="N64" s="976" t="s">
        <v>788</v>
      </c>
      <c r="O64" s="976" t="s">
        <v>789</v>
      </c>
      <c r="P64" s="976" t="s">
        <v>790</v>
      </c>
      <c r="Q64" s="976" t="s">
        <v>791</v>
      </c>
      <c r="R64" s="976" t="s">
        <v>792</v>
      </c>
      <c r="S64" s="976" t="s">
        <v>110</v>
      </c>
      <c r="T64" s="1019" t="s">
        <v>98</v>
      </c>
      <c r="U64" s="976" t="s">
        <v>97</v>
      </c>
      <c r="V64" s="973">
        <v>3</v>
      </c>
      <c r="W64" s="1020" t="s">
        <v>793</v>
      </c>
      <c r="X64" s="1020" t="s">
        <v>794</v>
      </c>
      <c r="Y64" s="974" t="s">
        <v>795</v>
      </c>
      <c r="Z64" s="976" t="s">
        <v>796</v>
      </c>
      <c r="AA64" s="976" t="s">
        <v>797</v>
      </c>
      <c r="AB64" s="1041" t="s">
        <v>798</v>
      </c>
      <c r="AC64" s="976" t="s">
        <v>799</v>
      </c>
      <c r="AD64" s="976" t="s">
        <v>800</v>
      </c>
      <c r="AE64" s="1041" t="s">
        <v>801</v>
      </c>
      <c r="AF64" s="976" t="s">
        <v>97</v>
      </c>
      <c r="AG64" s="973">
        <v>3</v>
      </c>
      <c r="AH64" s="976" t="s">
        <v>793</v>
      </c>
      <c r="AI64" s="976" t="s">
        <v>794</v>
      </c>
      <c r="AJ64" s="976" t="s">
        <v>795</v>
      </c>
      <c r="AK64" s="976" t="s">
        <v>796</v>
      </c>
      <c r="AL64" s="976" t="s">
        <v>797</v>
      </c>
      <c r="AM64" s="1015" t="s">
        <v>798</v>
      </c>
      <c r="AN64" s="976" t="s">
        <v>799</v>
      </c>
      <c r="AO64" s="976" t="s">
        <v>800</v>
      </c>
      <c r="AP64" s="1015" t="s">
        <v>801</v>
      </c>
      <c r="AQ64" s="976" t="s">
        <v>376</v>
      </c>
      <c r="AR64" s="976" t="s">
        <v>88</v>
      </c>
      <c r="AS64" s="976" t="s">
        <v>88</v>
      </c>
      <c r="AT64" s="331" t="s">
        <v>793</v>
      </c>
      <c r="AU64" s="331" t="s">
        <v>794</v>
      </c>
      <c r="AV64" s="331" t="s">
        <v>795</v>
      </c>
      <c r="AW64" s="340" t="s">
        <v>802</v>
      </c>
      <c r="AX64" s="340" t="s">
        <v>803</v>
      </c>
      <c r="AY64" s="331" t="s">
        <v>97</v>
      </c>
      <c r="AZ64" s="340" t="s">
        <v>121</v>
      </c>
      <c r="BA64" s="340" t="s">
        <v>535</v>
      </c>
      <c r="BB64" s="333">
        <v>45943</v>
      </c>
      <c r="BC64" s="340" t="s">
        <v>804</v>
      </c>
      <c r="BD64" s="340" t="s">
        <v>535</v>
      </c>
      <c r="BE64" s="333">
        <v>45945</v>
      </c>
      <c r="BF64" s="340" t="s">
        <v>805</v>
      </c>
      <c r="BG64" s="331" t="s">
        <v>97</v>
      </c>
      <c r="BH64" s="340" t="s">
        <v>806</v>
      </c>
      <c r="BI64" s="132" t="s">
        <v>98</v>
      </c>
      <c r="BJ64" s="111" t="s">
        <v>88</v>
      </c>
      <c r="BK64" s="111" t="s">
        <v>88</v>
      </c>
      <c r="BL64" s="219" t="s">
        <v>88</v>
      </c>
      <c r="BM64" s="657" t="s">
        <v>535</v>
      </c>
      <c r="BN64" s="111" t="s">
        <v>88</v>
      </c>
      <c r="BO64" s="111" t="s">
        <v>88</v>
      </c>
      <c r="BP64" s="111" t="s">
        <v>88</v>
      </c>
      <c r="BQ64" s="111" t="s">
        <v>88</v>
      </c>
      <c r="BR64" s="657" t="s">
        <v>535</v>
      </c>
      <c r="BS64" s="111" t="s">
        <v>88</v>
      </c>
      <c r="BT64" s="111" t="s">
        <v>88</v>
      </c>
      <c r="BU64" s="111" t="s">
        <v>88</v>
      </c>
      <c r="BV64" s="111" t="s">
        <v>88</v>
      </c>
      <c r="BW64" s="773"/>
      <c r="BX64" s="774"/>
      <c r="BY64" s="222"/>
      <c r="BZ64" s="222" t="s">
        <v>88</v>
      </c>
      <c r="CA64" s="222" t="s">
        <v>88</v>
      </c>
      <c r="CB64" s="222"/>
      <c r="CC64" s="222">
        <f>BW64+BX64+BY64</f>
        <v>0</v>
      </c>
      <c r="CD64" s="111" t="s">
        <v>88</v>
      </c>
      <c r="CE64" s="111" t="s">
        <v>88</v>
      </c>
      <c r="CF64" s="111" t="s">
        <v>88</v>
      </c>
      <c r="CG64" s="111" t="s">
        <v>88</v>
      </c>
      <c r="CH64" s="111" t="s">
        <v>88</v>
      </c>
    </row>
    <row r="65" spans="1:86" ht="21.5" hidden="1" customHeight="1">
      <c r="A65" s="989"/>
      <c r="B65" s="977"/>
      <c r="C65" s="977"/>
      <c r="D65" s="977"/>
      <c r="E65" s="978"/>
      <c r="F65" s="986" t="s">
        <v>88</v>
      </c>
      <c r="G65" s="977" t="s">
        <v>88</v>
      </c>
      <c r="H65" s="977" t="s">
        <v>88</v>
      </c>
      <c r="I65" s="987" t="s">
        <v>88</v>
      </c>
      <c r="J65" s="977" t="s">
        <v>88</v>
      </c>
      <c r="K65" s="977" t="s">
        <v>88</v>
      </c>
      <c r="L65" s="977" t="s">
        <v>88</v>
      </c>
      <c r="M65" s="977" t="s">
        <v>88</v>
      </c>
      <c r="N65" s="977" t="s">
        <v>88</v>
      </c>
      <c r="O65" s="977" t="s">
        <v>88</v>
      </c>
      <c r="P65" s="977" t="s">
        <v>88</v>
      </c>
      <c r="Q65" s="977" t="s">
        <v>88</v>
      </c>
      <c r="R65" s="977" t="s">
        <v>88</v>
      </c>
      <c r="S65" s="977" t="s">
        <v>88</v>
      </c>
      <c r="T65" s="1019"/>
      <c r="U65" s="977" t="s">
        <v>88</v>
      </c>
      <c r="V65" s="973" t="s">
        <v>88</v>
      </c>
      <c r="W65" s="1020"/>
      <c r="X65" s="1020" t="s">
        <v>88</v>
      </c>
      <c r="Y65" s="974" t="s">
        <v>88</v>
      </c>
      <c r="Z65" s="977" t="s">
        <v>88</v>
      </c>
      <c r="AA65" s="977" t="s">
        <v>88</v>
      </c>
      <c r="AB65" s="1048" t="s">
        <v>88</v>
      </c>
      <c r="AC65" s="977" t="s">
        <v>88</v>
      </c>
      <c r="AD65" s="977" t="s">
        <v>88</v>
      </c>
      <c r="AE65" s="1042" t="s">
        <v>88</v>
      </c>
      <c r="AF65" s="977" t="s">
        <v>88</v>
      </c>
      <c r="AG65" s="973" t="s">
        <v>88</v>
      </c>
      <c r="AH65" s="977" t="s">
        <v>88</v>
      </c>
      <c r="AI65" s="977" t="s">
        <v>88</v>
      </c>
      <c r="AJ65" s="977" t="s">
        <v>88</v>
      </c>
      <c r="AK65" s="977" t="s">
        <v>88</v>
      </c>
      <c r="AL65" s="977" t="s">
        <v>88</v>
      </c>
      <c r="AM65" s="1040" t="s">
        <v>88</v>
      </c>
      <c r="AN65" s="977" t="s">
        <v>88</v>
      </c>
      <c r="AO65" s="977" t="s">
        <v>88</v>
      </c>
      <c r="AP65" s="1040" t="s">
        <v>88</v>
      </c>
      <c r="AQ65" s="977" t="s">
        <v>88</v>
      </c>
      <c r="AR65" s="977" t="s">
        <v>88</v>
      </c>
      <c r="AS65" s="977" t="s">
        <v>88</v>
      </c>
      <c r="AT65" s="331" t="s">
        <v>807</v>
      </c>
      <c r="AU65" s="331" t="s">
        <v>797</v>
      </c>
      <c r="AV65" s="343" t="s">
        <v>798</v>
      </c>
      <c r="AW65" s="334" t="s">
        <v>808</v>
      </c>
      <c r="AX65" s="334" t="s">
        <v>809</v>
      </c>
      <c r="AY65" s="331" t="s">
        <v>97</v>
      </c>
      <c r="AZ65" s="334" t="s">
        <v>579</v>
      </c>
      <c r="BA65" s="334" t="s">
        <v>422</v>
      </c>
      <c r="BB65" s="333">
        <v>45943</v>
      </c>
      <c r="BC65" s="334" t="s">
        <v>810</v>
      </c>
      <c r="BD65" s="334" t="s">
        <v>647</v>
      </c>
      <c r="BE65" s="333">
        <v>45945</v>
      </c>
      <c r="BF65" s="334" t="s">
        <v>811</v>
      </c>
      <c r="BG65" s="331" t="s">
        <v>97</v>
      </c>
      <c r="BH65" s="334" t="s">
        <v>812</v>
      </c>
      <c r="BI65" s="132" t="s">
        <v>98</v>
      </c>
      <c r="BJ65" s="132" t="s">
        <v>98</v>
      </c>
      <c r="BK65" s="132" t="s">
        <v>98</v>
      </c>
      <c r="BL65" s="667" t="s">
        <v>98</v>
      </c>
      <c r="BM65" s="113" t="s">
        <v>746</v>
      </c>
      <c r="BN65" s="111" t="s">
        <v>759</v>
      </c>
      <c r="BO65" s="658">
        <v>45943</v>
      </c>
      <c r="BP65" s="659">
        <v>0.66319444444444442</v>
      </c>
      <c r="BQ65" s="660" t="s">
        <v>813</v>
      </c>
      <c r="BR65" s="111" t="s">
        <v>647</v>
      </c>
      <c r="BS65" s="658">
        <v>45945</v>
      </c>
      <c r="BT65" s="659">
        <v>0.78819444444444442</v>
      </c>
      <c r="BU65" s="660" t="s">
        <v>814</v>
      </c>
      <c r="BV65" s="662">
        <v>240.22</v>
      </c>
      <c r="BW65" s="690">
        <v>1</v>
      </c>
      <c r="BX65" s="132">
        <v>1</v>
      </c>
      <c r="BY65" s="111"/>
      <c r="BZ65" s="483">
        <v>45943</v>
      </c>
      <c r="CA65" s="483">
        <v>45945</v>
      </c>
      <c r="CB65" s="483"/>
      <c r="CC65" s="111">
        <f>BW65+BX65+BY65</f>
        <v>2</v>
      </c>
      <c r="CD65" s="111" t="s">
        <v>88</v>
      </c>
      <c r="CE65" s="111" t="s">
        <v>88</v>
      </c>
      <c r="CF65" s="111" t="s">
        <v>88</v>
      </c>
      <c r="CG65" s="111" t="s">
        <v>88</v>
      </c>
      <c r="CH65" s="111" t="s">
        <v>88</v>
      </c>
    </row>
    <row r="66" spans="1:86" ht="21.5" hidden="1" customHeight="1">
      <c r="A66" s="989"/>
      <c r="B66" s="977"/>
      <c r="C66" s="977"/>
      <c r="D66" s="977"/>
      <c r="E66" s="978"/>
      <c r="F66" s="986" t="s">
        <v>88</v>
      </c>
      <c r="G66" s="977" t="s">
        <v>88</v>
      </c>
      <c r="H66" s="977" t="s">
        <v>88</v>
      </c>
      <c r="I66" s="987" t="s">
        <v>88</v>
      </c>
      <c r="J66" s="977" t="s">
        <v>88</v>
      </c>
      <c r="K66" s="977" t="s">
        <v>88</v>
      </c>
      <c r="L66" s="977" t="s">
        <v>88</v>
      </c>
      <c r="M66" s="977" t="s">
        <v>88</v>
      </c>
      <c r="N66" s="977" t="s">
        <v>88</v>
      </c>
      <c r="O66" s="977" t="s">
        <v>88</v>
      </c>
      <c r="P66" s="977" t="s">
        <v>88</v>
      </c>
      <c r="Q66" s="977" t="s">
        <v>88</v>
      </c>
      <c r="R66" s="977" t="s">
        <v>88</v>
      </c>
      <c r="S66" s="977" t="s">
        <v>88</v>
      </c>
      <c r="T66" s="1019"/>
      <c r="U66" s="977" t="s">
        <v>88</v>
      </c>
      <c r="V66" s="973" t="s">
        <v>88</v>
      </c>
      <c r="W66" s="1020"/>
      <c r="X66" s="1020" t="s">
        <v>88</v>
      </c>
      <c r="Y66" s="974" t="s">
        <v>88</v>
      </c>
      <c r="Z66" s="977" t="s">
        <v>88</v>
      </c>
      <c r="AA66" s="977" t="s">
        <v>88</v>
      </c>
      <c r="AB66" s="1048" t="s">
        <v>88</v>
      </c>
      <c r="AC66" s="977" t="s">
        <v>88</v>
      </c>
      <c r="AD66" s="977" t="s">
        <v>88</v>
      </c>
      <c r="AE66" s="1042" t="s">
        <v>88</v>
      </c>
      <c r="AF66" s="977" t="s">
        <v>88</v>
      </c>
      <c r="AG66" s="973" t="s">
        <v>88</v>
      </c>
      <c r="AH66" s="977" t="s">
        <v>88</v>
      </c>
      <c r="AI66" s="977" t="s">
        <v>88</v>
      </c>
      <c r="AJ66" s="977" t="s">
        <v>88</v>
      </c>
      <c r="AK66" s="977" t="s">
        <v>88</v>
      </c>
      <c r="AL66" s="977" t="s">
        <v>88</v>
      </c>
      <c r="AM66" s="1040" t="s">
        <v>88</v>
      </c>
      <c r="AN66" s="977" t="s">
        <v>88</v>
      </c>
      <c r="AO66" s="977" t="s">
        <v>88</v>
      </c>
      <c r="AP66" s="1040" t="s">
        <v>88</v>
      </c>
      <c r="AQ66" s="977" t="s">
        <v>88</v>
      </c>
      <c r="AR66" s="977" t="s">
        <v>88</v>
      </c>
      <c r="AS66" s="977" t="s">
        <v>88</v>
      </c>
      <c r="AT66" s="331" t="s">
        <v>799</v>
      </c>
      <c r="AU66" s="331" t="s">
        <v>815</v>
      </c>
      <c r="AV66" s="343" t="s">
        <v>801</v>
      </c>
      <c r="AW66" s="332" t="s">
        <v>816</v>
      </c>
      <c r="AX66" s="331" t="s">
        <v>817</v>
      </c>
      <c r="AY66" s="331" t="s">
        <v>97</v>
      </c>
      <c r="AZ66" s="434" t="s">
        <v>121</v>
      </c>
      <c r="BA66" s="434" t="s">
        <v>498</v>
      </c>
      <c r="BB66" s="333">
        <v>45943</v>
      </c>
      <c r="BC66" s="434" t="s">
        <v>499</v>
      </c>
      <c r="BD66" s="434" t="s">
        <v>498</v>
      </c>
      <c r="BE66" s="333">
        <v>45946</v>
      </c>
      <c r="BF66" s="434" t="s">
        <v>499</v>
      </c>
      <c r="BG66" s="331" t="s">
        <v>97</v>
      </c>
      <c r="BH66" s="434" t="s">
        <v>818</v>
      </c>
      <c r="BI66" s="132" t="s">
        <v>98</v>
      </c>
      <c r="BJ66" s="111" t="s">
        <v>88</v>
      </c>
      <c r="BK66" s="111" t="s">
        <v>88</v>
      </c>
      <c r="BL66" s="219" t="s">
        <v>88</v>
      </c>
      <c r="BM66" s="656" t="s">
        <v>498</v>
      </c>
      <c r="BN66" s="111" t="s">
        <v>126</v>
      </c>
      <c r="BO66" s="111" t="s">
        <v>88</v>
      </c>
      <c r="BP66" s="111" t="s">
        <v>88</v>
      </c>
      <c r="BQ66" s="111" t="s">
        <v>88</v>
      </c>
      <c r="BR66" s="656" t="s">
        <v>498</v>
      </c>
      <c r="BS66" s="111" t="s">
        <v>88</v>
      </c>
      <c r="BT66" s="111" t="s">
        <v>88</v>
      </c>
      <c r="BU66" s="111" t="s">
        <v>88</v>
      </c>
      <c r="BV66" s="111" t="s">
        <v>88</v>
      </c>
      <c r="BW66" s="773"/>
      <c r="BX66" s="737"/>
      <c r="BY66" s="111"/>
      <c r="BZ66" s="111" t="s">
        <v>88</v>
      </c>
      <c r="CA66" s="111" t="s">
        <v>88</v>
      </c>
      <c r="CB66" s="111"/>
      <c r="CC66" s="111" t="s">
        <v>88</v>
      </c>
      <c r="CD66" s="111" t="s">
        <v>88</v>
      </c>
      <c r="CE66" s="111" t="s">
        <v>88</v>
      </c>
      <c r="CF66" s="391" t="s">
        <v>819</v>
      </c>
      <c r="CG66" s="111" t="s">
        <v>820</v>
      </c>
      <c r="CH66" s="111" t="s">
        <v>88</v>
      </c>
    </row>
    <row r="67" spans="1:86" ht="21.5" customHeight="1">
      <c r="A67" s="995">
        <v>45944</v>
      </c>
      <c r="B67" s="977" t="s">
        <v>779</v>
      </c>
      <c r="C67" s="976">
        <v>45943</v>
      </c>
      <c r="D67" s="976">
        <v>45945</v>
      </c>
      <c r="E67" s="978">
        <v>2450</v>
      </c>
      <c r="F67" s="992" t="s">
        <v>821</v>
      </c>
      <c r="G67" s="976" t="s">
        <v>135</v>
      </c>
      <c r="H67" s="976" t="s">
        <v>102</v>
      </c>
      <c r="I67" s="987">
        <v>243924502487</v>
      </c>
      <c r="J67" s="976" t="s">
        <v>97</v>
      </c>
      <c r="K67" s="976" t="s">
        <v>822</v>
      </c>
      <c r="L67" s="976" t="s">
        <v>823</v>
      </c>
      <c r="M67" s="976" t="s">
        <v>88</v>
      </c>
      <c r="N67" s="976" t="s">
        <v>824</v>
      </c>
      <c r="O67" s="976" t="s">
        <v>825</v>
      </c>
      <c r="P67" s="976" t="s">
        <v>826</v>
      </c>
      <c r="Q67" s="976" t="s">
        <v>827</v>
      </c>
      <c r="R67" s="976" t="s">
        <v>828</v>
      </c>
      <c r="S67" s="976" t="s">
        <v>110</v>
      </c>
      <c r="T67" s="974" t="s">
        <v>110</v>
      </c>
      <c r="U67" s="976" t="s">
        <v>97</v>
      </c>
      <c r="V67" s="973">
        <v>2</v>
      </c>
      <c r="W67" s="1020" t="s">
        <v>829</v>
      </c>
      <c r="X67" s="1020" t="s">
        <v>830</v>
      </c>
      <c r="Y67" s="974" t="s">
        <v>831</v>
      </c>
      <c r="Z67" s="976" t="s">
        <v>832</v>
      </c>
      <c r="AA67" s="976" t="s">
        <v>833</v>
      </c>
      <c r="AB67" s="974" t="s">
        <v>834</v>
      </c>
      <c r="AC67" s="976" t="s">
        <v>88</v>
      </c>
      <c r="AD67" s="976" t="s">
        <v>88</v>
      </c>
      <c r="AE67" s="976" t="s">
        <v>88</v>
      </c>
      <c r="AF67" s="976" t="s">
        <v>97</v>
      </c>
      <c r="AG67" s="973">
        <v>2</v>
      </c>
      <c r="AH67" s="976" t="s">
        <v>829</v>
      </c>
      <c r="AI67" s="976" t="s">
        <v>830</v>
      </c>
      <c r="AJ67" s="976" t="s">
        <v>831</v>
      </c>
      <c r="AK67" s="976" t="s">
        <v>832</v>
      </c>
      <c r="AL67" s="976" t="s">
        <v>833</v>
      </c>
      <c r="AM67" s="976" t="s">
        <v>834</v>
      </c>
      <c r="AN67" s="976" t="s">
        <v>88</v>
      </c>
      <c r="AO67" s="976" t="s">
        <v>88</v>
      </c>
      <c r="AP67" s="976" t="s">
        <v>88</v>
      </c>
      <c r="AQ67" s="1016" t="s">
        <v>201</v>
      </c>
      <c r="AR67" s="976" t="s">
        <v>88</v>
      </c>
      <c r="AS67" s="976" t="s">
        <v>835</v>
      </c>
      <c r="AT67" s="460" t="s">
        <v>829</v>
      </c>
      <c r="AU67" s="460" t="s">
        <v>830</v>
      </c>
      <c r="AV67" s="460" t="s">
        <v>831</v>
      </c>
      <c r="AW67" s="271" t="s">
        <v>836</v>
      </c>
      <c r="AX67" s="434" t="s">
        <v>803</v>
      </c>
      <c r="AY67" s="331" t="s">
        <v>97</v>
      </c>
      <c r="AZ67" s="434" t="s">
        <v>121</v>
      </c>
      <c r="BA67" s="434" t="s">
        <v>122</v>
      </c>
      <c r="BB67" s="333">
        <v>45943</v>
      </c>
      <c r="BC67" s="434" t="s">
        <v>837</v>
      </c>
      <c r="BD67" s="434" t="s">
        <v>122</v>
      </c>
      <c r="BE67" s="438">
        <v>45945</v>
      </c>
      <c r="BF67" s="434" t="s">
        <v>838</v>
      </c>
      <c r="BG67" s="331" t="s">
        <v>97</v>
      </c>
      <c r="BH67" s="331" t="s">
        <v>88</v>
      </c>
      <c r="BI67" s="132" t="s">
        <v>98</v>
      </c>
      <c r="BJ67" s="111" t="s">
        <v>88</v>
      </c>
      <c r="BK67" s="111" t="s">
        <v>88</v>
      </c>
      <c r="BL67" s="219" t="s">
        <v>88</v>
      </c>
      <c r="BM67" s="656" t="s">
        <v>122</v>
      </c>
      <c r="BN67" s="111" t="s">
        <v>126</v>
      </c>
      <c r="BO67" s="111" t="s">
        <v>88</v>
      </c>
      <c r="BP67" s="111" t="s">
        <v>88</v>
      </c>
      <c r="BQ67" s="111" t="s">
        <v>88</v>
      </c>
      <c r="BR67" s="656" t="s">
        <v>122</v>
      </c>
      <c r="BS67" s="111" t="s">
        <v>88</v>
      </c>
      <c r="BT67" s="111" t="s">
        <v>88</v>
      </c>
      <c r="BU67" s="111" t="s">
        <v>88</v>
      </c>
      <c r="BV67" s="111" t="s">
        <v>88</v>
      </c>
      <c r="BW67" s="773"/>
      <c r="BX67" s="737"/>
      <c r="BY67" s="111"/>
      <c r="BZ67" s="111" t="s">
        <v>88</v>
      </c>
      <c r="CA67" s="111" t="s">
        <v>88</v>
      </c>
      <c r="CB67" s="111"/>
      <c r="CC67" s="111" t="s">
        <v>88</v>
      </c>
      <c r="CD67" s="111" t="s">
        <v>88</v>
      </c>
      <c r="CE67" s="111" t="s">
        <v>88</v>
      </c>
      <c r="CF67" s="111" t="s">
        <v>88</v>
      </c>
      <c r="CG67" s="111" t="s">
        <v>88</v>
      </c>
      <c r="CH67" s="111" t="s">
        <v>88</v>
      </c>
    </row>
    <row r="68" spans="1:86" ht="21.5" hidden="1" customHeight="1">
      <c r="A68" s="977"/>
      <c r="B68" s="977"/>
      <c r="C68" s="977"/>
      <c r="D68" s="977"/>
      <c r="E68" s="978"/>
      <c r="F68" s="986" t="s">
        <v>88</v>
      </c>
      <c r="G68" s="977" t="s">
        <v>88</v>
      </c>
      <c r="H68" s="977" t="s">
        <v>88</v>
      </c>
      <c r="I68" s="987" t="s">
        <v>88</v>
      </c>
      <c r="J68" s="977" t="s">
        <v>88</v>
      </c>
      <c r="K68" s="977" t="s">
        <v>88</v>
      </c>
      <c r="L68" s="977" t="s">
        <v>88</v>
      </c>
      <c r="M68" s="977" t="s">
        <v>88</v>
      </c>
      <c r="N68" s="977" t="s">
        <v>88</v>
      </c>
      <c r="O68" s="977" t="s">
        <v>88</v>
      </c>
      <c r="P68" s="977" t="s">
        <v>88</v>
      </c>
      <c r="Q68" s="977" t="s">
        <v>88</v>
      </c>
      <c r="R68" s="977" t="s">
        <v>88</v>
      </c>
      <c r="S68" s="977" t="s">
        <v>88</v>
      </c>
      <c r="T68" s="974" t="s">
        <v>88</v>
      </c>
      <c r="U68" s="977" t="s">
        <v>88</v>
      </c>
      <c r="V68" s="973" t="s">
        <v>88</v>
      </c>
      <c r="W68" s="1020" t="s">
        <v>88</v>
      </c>
      <c r="X68" s="1020" t="s">
        <v>88</v>
      </c>
      <c r="Y68" s="974" t="s">
        <v>88</v>
      </c>
      <c r="Z68" s="977" t="s">
        <v>88</v>
      </c>
      <c r="AA68" s="977" t="s">
        <v>88</v>
      </c>
      <c r="AB68" s="974" t="s">
        <v>88</v>
      </c>
      <c r="AC68" s="977" t="s">
        <v>88</v>
      </c>
      <c r="AD68" s="977" t="s">
        <v>88</v>
      </c>
      <c r="AE68" s="977" t="s">
        <v>88</v>
      </c>
      <c r="AF68" s="977" t="s">
        <v>88</v>
      </c>
      <c r="AG68" s="973" t="s">
        <v>88</v>
      </c>
      <c r="AH68" s="977" t="s">
        <v>88</v>
      </c>
      <c r="AI68" s="977" t="s">
        <v>88</v>
      </c>
      <c r="AJ68" s="977" t="s">
        <v>88</v>
      </c>
      <c r="AK68" s="977" t="s">
        <v>88</v>
      </c>
      <c r="AL68" s="977" t="s">
        <v>88</v>
      </c>
      <c r="AM68" s="977" t="s">
        <v>88</v>
      </c>
      <c r="AN68" s="977" t="s">
        <v>88</v>
      </c>
      <c r="AO68" s="977" t="s">
        <v>88</v>
      </c>
      <c r="AP68" s="977" t="s">
        <v>88</v>
      </c>
      <c r="AQ68" s="1016"/>
      <c r="AR68" s="977" t="s">
        <v>88</v>
      </c>
      <c r="AS68" s="977" t="s">
        <v>88</v>
      </c>
      <c r="AT68" s="331" t="s">
        <v>832</v>
      </c>
      <c r="AU68" s="331" t="s">
        <v>833</v>
      </c>
      <c r="AV68" s="331" t="s">
        <v>834</v>
      </c>
      <c r="AW68" s="340" t="s">
        <v>839</v>
      </c>
      <c r="AX68" s="340" t="s">
        <v>840</v>
      </c>
      <c r="AY68" s="331" t="s">
        <v>97</v>
      </c>
      <c r="AZ68" s="340" t="s">
        <v>154</v>
      </c>
      <c r="BA68" s="340" t="s">
        <v>422</v>
      </c>
      <c r="BB68" s="333">
        <v>45943</v>
      </c>
      <c r="BC68" s="340" t="s">
        <v>841</v>
      </c>
      <c r="BD68" s="340" t="s">
        <v>422</v>
      </c>
      <c r="BE68" s="333">
        <v>45945</v>
      </c>
      <c r="BF68" s="340" t="s">
        <v>842</v>
      </c>
      <c r="BG68" s="331" t="s">
        <v>97</v>
      </c>
      <c r="BH68" s="331" t="s">
        <v>88</v>
      </c>
      <c r="BI68" s="132" t="s">
        <v>98</v>
      </c>
      <c r="BJ68" s="132" t="s">
        <v>98</v>
      </c>
      <c r="BK68" s="132" t="s">
        <v>98</v>
      </c>
      <c r="BL68" s="667" t="s">
        <v>98</v>
      </c>
      <c r="BM68" s="113" t="s">
        <v>746</v>
      </c>
      <c r="BN68" s="111" t="s">
        <v>425</v>
      </c>
      <c r="BO68" s="658">
        <v>45943</v>
      </c>
      <c r="BP68" s="659">
        <v>0.66319444444444442</v>
      </c>
      <c r="BQ68" s="660" t="s">
        <v>813</v>
      </c>
      <c r="BR68" s="113" t="s">
        <v>746</v>
      </c>
      <c r="BS68" s="658">
        <v>45945</v>
      </c>
      <c r="BT68" s="659">
        <v>0.61319444444444449</v>
      </c>
      <c r="BU68" s="660" t="s">
        <v>843</v>
      </c>
      <c r="BV68" s="662">
        <v>190</v>
      </c>
      <c r="BW68" s="690">
        <v>1</v>
      </c>
      <c r="BX68" s="132">
        <v>1</v>
      </c>
      <c r="BY68" s="111"/>
      <c r="BZ68" s="483">
        <v>45943</v>
      </c>
      <c r="CA68" s="483">
        <v>45945</v>
      </c>
      <c r="CB68" s="483"/>
      <c r="CC68" s="111">
        <f>BW68+BX68+BY68</f>
        <v>2</v>
      </c>
      <c r="CD68" s="111" t="s">
        <v>88</v>
      </c>
      <c r="CE68" s="111" t="s">
        <v>88</v>
      </c>
      <c r="CF68" s="111" t="s">
        <v>88</v>
      </c>
      <c r="CG68" s="111" t="s">
        <v>88</v>
      </c>
      <c r="CH68" s="111" t="s">
        <v>88</v>
      </c>
    </row>
    <row r="69" spans="1:86" ht="34" hidden="1" customHeight="1">
      <c r="A69" s="238">
        <v>45945</v>
      </c>
      <c r="B69" s="237" t="s">
        <v>100</v>
      </c>
      <c r="C69" s="238">
        <v>45943</v>
      </c>
      <c r="D69" s="238">
        <v>45945</v>
      </c>
      <c r="E69" s="239">
        <v>2468</v>
      </c>
      <c r="F69" s="240" t="s">
        <v>844</v>
      </c>
      <c r="G69" s="237" t="s">
        <v>86</v>
      </c>
      <c r="H69" s="237" t="s">
        <v>102</v>
      </c>
      <c r="I69" s="241" t="s">
        <v>88</v>
      </c>
      <c r="J69" s="237" t="s">
        <v>89</v>
      </c>
      <c r="K69" s="237" t="s">
        <v>845</v>
      </c>
      <c r="L69" s="237" t="s">
        <v>189</v>
      </c>
      <c r="M69" s="237" t="s">
        <v>88</v>
      </c>
      <c r="N69" s="237" t="s">
        <v>846</v>
      </c>
      <c r="O69" s="237" t="s">
        <v>847</v>
      </c>
      <c r="P69" s="237" t="s">
        <v>848</v>
      </c>
      <c r="Q69" s="237" t="s">
        <v>140</v>
      </c>
      <c r="R69" s="237" t="s">
        <v>849</v>
      </c>
      <c r="S69" s="111" t="s">
        <v>88</v>
      </c>
      <c r="T69" s="111" t="s">
        <v>88</v>
      </c>
      <c r="U69" s="111" t="s">
        <v>88</v>
      </c>
      <c r="V69" s="243" t="s">
        <v>88</v>
      </c>
      <c r="W69" s="111" t="s">
        <v>88</v>
      </c>
      <c r="X69" s="111" t="s">
        <v>88</v>
      </c>
      <c r="Y69" s="111" t="s">
        <v>88</v>
      </c>
      <c r="Z69" s="111" t="s">
        <v>88</v>
      </c>
      <c r="AA69" s="111" t="s">
        <v>88</v>
      </c>
      <c r="AB69" s="111" t="s">
        <v>88</v>
      </c>
      <c r="AC69" s="111" t="s">
        <v>88</v>
      </c>
      <c r="AD69" s="111" t="s">
        <v>88</v>
      </c>
      <c r="AE69" s="111" t="s">
        <v>88</v>
      </c>
      <c r="AF69" s="111" t="s">
        <v>88</v>
      </c>
      <c r="AG69" s="244" t="s">
        <v>88</v>
      </c>
      <c r="AH69" s="111" t="s">
        <v>88</v>
      </c>
      <c r="AI69" s="111" t="s">
        <v>88</v>
      </c>
      <c r="AJ69" s="111" t="s">
        <v>88</v>
      </c>
      <c r="AK69" s="111" t="s">
        <v>88</v>
      </c>
      <c r="AL69" s="111" t="s">
        <v>88</v>
      </c>
      <c r="AM69" s="111" t="s">
        <v>88</v>
      </c>
      <c r="AN69" s="111" t="s">
        <v>88</v>
      </c>
      <c r="AO69" s="111" t="s">
        <v>88</v>
      </c>
      <c r="AP69" s="111" t="s">
        <v>88</v>
      </c>
      <c r="AQ69" s="111" t="s">
        <v>88</v>
      </c>
      <c r="AR69" s="111" t="s">
        <v>88</v>
      </c>
      <c r="AS69" s="111" t="s">
        <v>88</v>
      </c>
      <c r="AT69" s="456"/>
      <c r="AU69" s="456"/>
      <c r="AV69" s="456"/>
      <c r="AW69" s="938" t="s">
        <v>88</v>
      </c>
      <c r="AX69" s="456" t="s">
        <v>88</v>
      </c>
      <c r="AY69" s="456"/>
      <c r="AZ69" s="456"/>
      <c r="BA69" s="456"/>
      <c r="BB69" s="456"/>
      <c r="BC69" s="456"/>
      <c r="BD69" s="456"/>
      <c r="BE69" s="456"/>
      <c r="BF69" s="456"/>
      <c r="BG69" s="456"/>
      <c r="BH69" s="456" t="s">
        <v>88</v>
      </c>
      <c r="BI69" s="456" t="s">
        <v>88</v>
      </c>
      <c r="BJ69" s="456" t="s">
        <v>88</v>
      </c>
      <c r="BK69" s="456" t="s">
        <v>88</v>
      </c>
      <c r="BL69" s="456" t="s">
        <v>88</v>
      </c>
      <c r="BM69" s="939" t="s">
        <v>88</v>
      </c>
      <c r="BN69" s="943" t="s">
        <v>88</v>
      </c>
      <c r="BO69" s="943" t="s">
        <v>88</v>
      </c>
      <c r="BP69" s="943" t="s">
        <v>88</v>
      </c>
      <c r="BQ69" s="943" t="s">
        <v>88</v>
      </c>
      <c r="BR69" s="943" t="s">
        <v>88</v>
      </c>
      <c r="BS69" s="943" t="s">
        <v>88</v>
      </c>
      <c r="BT69" s="943" t="s">
        <v>88</v>
      </c>
      <c r="BU69" s="943" t="s">
        <v>88</v>
      </c>
      <c r="BV69" s="943" t="s">
        <v>88</v>
      </c>
      <c r="BW69" s="456"/>
      <c r="BX69" s="456"/>
      <c r="BY69" s="456"/>
      <c r="BZ69" s="456" t="s">
        <v>88</v>
      </c>
      <c r="CA69" s="456" t="s">
        <v>88</v>
      </c>
      <c r="CB69" s="456"/>
      <c r="CC69" s="456" t="s">
        <v>88</v>
      </c>
      <c r="CD69" s="456" t="s">
        <v>88</v>
      </c>
      <c r="CE69" s="456" t="s">
        <v>88</v>
      </c>
      <c r="CF69" s="456" t="s">
        <v>88</v>
      </c>
      <c r="CG69" s="456" t="s">
        <v>88</v>
      </c>
      <c r="CH69" s="456" t="s">
        <v>88</v>
      </c>
    </row>
    <row r="70" spans="1:86" ht="45" customHeight="1">
      <c r="A70" s="246">
        <v>45945</v>
      </c>
      <c r="B70" s="237" t="s">
        <v>242</v>
      </c>
      <c r="C70" s="238">
        <v>45945</v>
      </c>
      <c r="D70" s="238">
        <v>45946</v>
      </c>
      <c r="E70" s="239">
        <v>2476</v>
      </c>
      <c r="F70" s="240" t="s">
        <v>850</v>
      </c>
      <c r="G70" s="237" t="s">
        <v>86</v>
      </c>
      <c r="H70" s="237" t="s">
        <v>102</v>
      </c>
      <c r="I70" s="241">
        <v>24332476</v>
      </c>
      <c r="J70" s="237" t="s">
        <v>97</v>
      </c>
      <c r="K70" s="237" t="s">
        <v>851</v>
      </c>
      <c r="L70" s="237" t="s">
        <v>189</v>
      </c>
      <c r="M70" s="237" t="s">
        <v>88</v>
      </c>
      <c r="N70" s="237" t="s">
        <v>852</v>
      </c>
      <c r="O70" s="237" t="s">
        <v>853</v>
      </c>
      <c r="P70" s="237" t="s">
        <v>192</v>
      </c>
      <c r="Q70" s="237" t="s">
        <v>714</v>
      </c>
      <c r="R70" s="237" t="s">
        <v>854</v>
      </c>
      <c r="S70" s="237" t="s">
        <v>97</v>
      </c>
      <c r="T70" s="245" t="s">
        <v>110</v>
      </c>
      <c r="U70" s="237" t="s">
        <v>97</v>
      </c>
      <c r="V70" s="243">
        <v>1</v>
      </c>
      <c r="W70" s="237" t="s">
        <v>855</v>
      </c>
      <c r="X70" s="237" t="s">
        <v>856</v>
      </c>
      <c r="Y70" s="114" t="s">
        <v>857</v>
      </c>
      <c r="Z70" s="237" t="s">
        <v>88</v>
      </c>
      <c r="AA70" s="237" t="s">
        <v>88</v>
      </c>
      <c r="AB70" s="237" t="s">
        <v>88</v>
      </c>
      <c r="AC70" s="237" t="s">
        <v>88</v>
      </c>
      <c r="AD70" s="237" t="s">
        <v>88</v>
      </c>
      <c r="AE70" s="237" t="s">
        <v>88</v>
      </c>
      <c r="AF70" s="237" t="s">
        <v>97</v>
      </c>
      <c r="AG70" s="244">
        <v>1</v>
      </c>
      <c r="AH70" s="237" t="s">
        <v>855</v>
      </c>
      <c r="AI70" s="237" t="s">
        <v>856</v>
      </c>
      <c r="AJ70" s="286" t="s">
        <v>857</v>
      </c>
      <c r="AK70" s="111" t="s">
        <v>88</v>
      </c>
      <c r="AL70" s="111" t="s">
        <v>88</v>
      </c>
      <c r="AM70" s="111" t="s">
        <v>88</v>
      </c>
      <c r="AN70" s="111" t="s">
        <v>88</v>
      </c>
      <c r="AO70" s="111" t="s">
        <v>88</v>
      </c>
      <c r="AP70" s="111" t="s">
        <v>88</v>
      </c>
      <c r="AQ70" s="237" t="s">
        <v>858</v>
      </c>
      <c r="AR70" s="111" t="s">
        <v>88</v>
      </c>
      <c r="AS70" s="111" t="s">
        <v>88</v>
      </c>
      <c r="AT70" s="331" t="s">
        <v>855</v>
      </c>
      <c r="AU70" s="331" t="s">
        <v>856</v>
      </c>
      <c r="AV70" s="331" t="s">
        <v>857</v>
      </c>
      <c r="AW70" s="340" t="s">
        <v>859</v>
      </c>
      <c r="AX70" s="340" t="s">
        <v>860</v>
      </c>
      <c r="AY70" s="331" t="s">
        <v>97</v>
      </c>
      <c r="AZ70" s="340" t="s">
        <v>154</v>
      </c>
      <c r="BA70" s="340" t="s">
        <v>104</v>
      </c>
      <c r="BB70" s="333">
        <v>45943</v>
      </c>
      <c r="BC70" s="340" t="s">
        <v>861</v>
      </c>
      <c r="BD70" s="340" t="s">
        <v>104</v>
      </c>
      <c r="BE70" s="333">
        <v>45946</v>
      </c>
      <c r="BF70" s="340" t="s">
        <v>862</v>
      </c>
      <c r="BG70" s="331" t="s">
        <v>97</v>
      </c>
      <c r="BH70" s="331"/>
      <c r="BI70" s="132" t="s">
        <v>98</v>
      </c>
      <c r="BJ70" s="111" t="s">
        <v>88</v>
      </c>
      <c r="BK70" s="111" t="s">
        <v>88</v>
      </c>
      <c r="BL70" s="219" t="s">
        <v>88</v>
      </c>
      <c r="BM70" s="519" t="s">
        <v>104</v>
      </c>
      <c r="BN70" s="111" t="s">
        <v>159</v>
      </c>
      <c r="BO70" s="111" t="s">
        <v>88</v>
      </c>
      <c r="BP70" s="111" t="s">
        <v>88</v>
      </c>
      <c r="BQ70" s="111" t="s">
        <v>88</v>
      </c>
      <c r="BR70" s="519" t="s">
        <v>104</v>
      </c>
      <c r="BS70" s="111" t="s">
        <v>88</v>
      </c>
      <c r="BT70" s="111" t="s">
        <v>88</v>
      </c>
      <c r="BU70" s="111" t="s">
        <v>88</v>
      </c>
      <c r="BV70" s="111" t="s">
        <v>88</v>
      </c>
      <c r="BW70" s="220"/>
      <c r="BX70" s="111"/>
      <c r="BY70" s="688">
        <v>0</v>
      </c>
      <c r="BZ70" s="111" t="s">
        <v>88</v>
      </c>
      <c r="CA70" s="111" t="s">
        <v>88</v>
      </c>
      <c r="CB70" s="111"/>
      <c r="CC70" s="111" t="s">
        <v>88</v>
      </c>
      <c r="CD70" s="111" t="s">
        <v>88</v>
      </c>
      <c r="CE70" s="111" t="s">
        <v>88</v>
      </c>
      <c r="CF70" s="195" t="s">
        <v>863</v>
      </c>
      <c r="CG70" s="445" t="s">
        <v>864</v>
      </c>
      <c r="CH70" s="111" t="s">
        <v>88</v>
      </c>
    </row>
    <row r="71" spans="1:86" ht="46.5" hidden="1" customHeight="1">
      <c r="A71" s="238">
        <v>45945</v>
      </c>
      <c r="B71" s="237" t="s">
        <v>165</v>
      </c>
      <c r="C71" s="238">
        <v>45945</v>
      </c>
      <c r="D71" s="238">
        <v>45946</v>
      </c>
      <c r="E71" s="239">
        <v>2479</v>
      </c>
      <c r="F71" s="240" t="s">
        <v>865</v>
      </c>
      <c r="G71" s="237" t="s">
        <v>86</v>
      </c>
      <c r="H71" s="237" t="s">
        <v>102</v>
      </c>
      <c r="I71" s="241" t="s">
        <v>88</v>
      </c>
      <c r="J71" s="237" t="s">
        <v>89</v>
      </c>
      <c r="K71" s="237" t="s">
        <v>866</v>
      </c>
      <c r="L71" s="237" t="s">
        <v>318</v>
      </c>
      <c r="M71" s="237" t="s">
        <v>88</v>
      </c>
      <c r="N71" s="237" t="s">
        <v>867</v>
      </c>
      <c r="O71" s="237" t="s">
        <v>868</v>
      </c>
      <c r="P71" s="237" t="s">
        <v>869</v>
      </c>
      <c r="Q71" s="237" t="s">
        <v>870</v>
      </c>
      <c r="R71" s="237" t="s">
        <v>871</v>
      </c>
      <c r="S71" s="111" t="s">
        <v>88</v>
      </c>
      <c r="T71" s="111" t="s">
        <v>88</v>
      </c>
      <c r="U71" s="111" t="s">
        <v>88</v>
      </c>
      <c r="V71" s="243" t="s">
        <v>88</v>
      </c>
      <c r="W71" s="111" t="s">
        <v>88</v>
      </c>
      <c r="X71" s="111" t="s">
        <v>88</v>
      </c>
      <c r="Y71" s="111" t="s">
        <v>88</v>
      </c>
      <c r="Z71" s="111" t="s">
        <v>88</v>
      </c>
      <c r="AA71" s="111" t="s">
        <v>88</v>
      </c>
      <c r="AB71" s="111" t="s">
        <v>88</v>
      </c>
      <c r="AC71" s="111" t="s">
        <v>88</v>
      </c>
      <c r="AD71" s="111" t="s">
        <v>88</v>
      </c>
      <c r="AE71" s="111" t="s">
        <v>88</v>
      </c>
      <c r="AF71" s="111" t="s">
        <v>88</v>
      </c>
      <c r="AG71" s="244" t="s">
        <v>88</v>
      </c>
      <c r="AH71" s="111" t="s">
        <v>88</v>
      </c>
      <c r="AI71" s="111" t="s">
        <v>88</v>
      </c>
      <c r="AJ71" s="111" t="s">
        <v>88</v>
      </c>
      <c r="AK71" s="111" t="s">
        <v>88</v>
      </c>
      <c r="AL71" s="111" t="s">
        <v>88</v>
      </c>
      <c r="AM71" s="111" t="s">
        <v>88</v>
      </c>
      <c r="AN71" s="111" t="s">
        <v>88</v>
      </c>
      <c r="AO71" s="111" t="s">
        <v>88</v>
      </c>
      <c r="AP71" s="111" t="s">
        <v>88</v>
      </c>
      <c r="AQ71" s="111" t="s">
        <v>88</v>
      </c>
      <c r="AR71" s="111" t="s">
        <v>88</v>
      </c>
      <c r="AS71" s="111" t="s">
        <v>88</v>
      </c>
      <c r="AT71" s="456"/>
      <c r="AU71" s="456"/>
      <c r="AV71" s="456"/>
      <c r="AW71" s="938" t="s">
        <v>88</v>
      </c>
      <c r="AX71" s="456" t="s">
        <v>88</v>
      </c>
      <c r="AY71" s="456"/>
      <c r="AZ71" s="456"/>
      <c r="BA71" s="456"/>
      <c r="BB71" s="456"/>
      <c r="BC71" s="456"/>
      <c r="BD71" s="456"/>
      <c r="BE71" s="456"/>
      <c r="BF71" s="456"/>
      <c r="BG71" s="456"/>
      <c r="BH71" s="456" t="s">
        <v>88</v>
      </c>
      <c r="BI71" s="456" t="s">
        <v>88</v>
      </c>
      <c r="BJ71" s="456" t="s">
        <v>88</v>
      </c>
      <c r="BK71" s="456" t="s">
        <v>88</v>
      </c>
      <c r="BL71" s="456" t="s">
        <v>88</v>
      </c>
      <c r="BM71" s="939" t="s">
        <v>88</v>
      </c>
      <c r="BN71" s="943" t="s">
        <v>88</v>
      </c>
      <c r="BO71" s="943" t="s">
        <v>88</v>
      </c>
      <c r="BP71" s="943" t="s">
        <v>88</v>
      </c>
      <c r="BQ71" s="943" t="s">
        <v>88</v>
      </c>
      <c r="BR71" s="943" t="s">
        <v>88</v>
      </c>
      <c r="BS71" s="943" t="s">
        <v>88</v>
      </c>
      <c r="BT71" s="943" t="s">
        <v>88</v>
      </c>
      <c r="BU71" s="943" t="s">
        <v>88</v>
      </c>
      <c r="BV71" s="943" t="s">
        <v>88</v>
      </c>
      <c r="BW71" s="456"/>
      <c r="BX71" s="456"/>
      <c r="BY71" s="456"/>
      <c r="BZ71" s="456" t="s">
        <v>88</v>
      </c>
      <c r="CA71" s="456" t="s">
        <v>88</v>
      </c>
      <c r="CB71" s="456"/>
      <c r="CC71" s="456" t="s">
        <v>88</v>
      </c>
      <c r="CD71" s="456" t="s">
        <v>88</v>
      </c>
      <c r="CE71" s="456" t="s">
        <v>88</v>
      </c>
      <c r="CF71" s="456" t="s">
        <v>88</v>
      </c>
      <c r="CG71" s="456" t="s">
        <v>88</v>
      </c>
      <c r="CH71" s="456" t="s">
        <v>88</v>
      </c>
    </row>
    <row r="72" spans="1:86" ht="21.5" customHeight="1">
      <c r="A72" s="988">
        <v>45945</v>
      </c>
      <c r="B72" s="977" t="s">
        <v>186</v>
      </c>
      <c r="C72" s="976">
        <v>45943</v>
      </c>
      <c r="D72" s="976">
        <v>45945</v>
      </c>
      <c r="E72" s="978">
        <v>2499</v>
      </c>
      <c r="F72" s="992" t="s">
        <v>872</v>
      </c>
      <c r="G72" s="976" t="s">
        <v>167</v>
      </c>
      <c r="H72" s="976" t="s">
        <v>102</v>
      </c>
      <c r="I72" s="987" t="s">
        <v>88</v>
      </c>
      <c r="J72" s="976" t="s">
        <v>89</v>
      </c>
      <c r="K72" s="976" t="s">
        <v>873</v>
      </c>
      <c r="L72" s="976" t="s">
        <v>428</v>
      </c>
      <c r="M72" s="976" t="s">
        <v>88</v>
      </c>
      <c r="N72" s="976" t="s">
        <v>874</v>
      </c>
      <c r="O72" s="976" t="s">
        <v>875</v>
      </c>
      <c r="P72" s="976" t="s">
        <v>876</v>
      </c>
      <c r="Q72" s="976" t="s">
        <v>877</v>
      </c>
      <c r="R72" s="976" t="s">
        <v>878</v>
      </c>
      <c r="S72" s="976" t="s">
        <v>251</v>
      </c>
      <c r="T72" s="1011" t="s">
        <v>98</v>
      </c>
      <c r="U72" s="976" t="s">
        <v>97</v>
      </c>
      <c r="V72" s="973">
        <v>3</v>
      </c>
      <c r="W72" s="976" t="s">
        <v>879</v>
      </c>
      <c r="X72" s="976" t="s">
        <v>880</v>
      </c>
      <c r="Y72" s="1012" t="s">
        <v>881</v>
      </c>
      <c r="Z72" s="976" t="s">
        <v>882</v>
      </c>
      <c r="AA72" s="976" t="s">
        <v>883</v>
      </c>
      <c r="AB72" s="1012" t="s">
        <v>884</v>
      </c>
      <c r="AC72" s="976" t="s">
        <v>885</v>
      </c>
      <c r="AD72" s="976" t="s">
        <v>886</v>
      </c>
      <c r="AE72" s="1012" t="s">
        <v>887</v>
      </c>
      <c r="AF72" s="976" t="s">
        <v>97</v>
      </c>
      <c r="AG72" s="973">
        <v>3</v>
      </c>
      <c r="AH72" s="976" t="s">
        <v>879</v>
      </c>
      <c r="AI72" s="976" t="s">
        <v>880</v>
      </c>
      <c r="AJ72" s="1015" t="s">
        <v>881</v>
      </c>
      <c r="AK72" s="976" t="s">
        <v>882</v>
      </c>
      <c r="AL72" s="976" t="s">
        <v>883</v>
      </c>
      <c r="AM72" s="1015" t="s">
        <v>884</v>
      </c>
      <c r="AN72" s="976" t="s">
        <v>885</v>
      </c>
      <c r="AO72" s="976" t="s">
        <v>886</v>
      </c>
      <c r="AP72" s="1015" t="s">
        <v>887</v>
      </c>
      <c r="AQ72" s="976" t="s">
        <v>888</v>
      </c>
      <c r="AR72" s="976" t="s">
        <v>88</v>
      </c>
      <c r="AS72" s="976" t="s">
        <v>88</v>
      </c>
      <c r="AT72" s="331" t="s">
        <v>879</v>
      </c>
      <c r="AU72" s="331" t="s">
        <v>880</v>
      </c>
      <c r="AV72" s="331" t="s">
        <v>881</v>
      </c>
      <c r="AW72" s="334" t="s">
        <v>889</v>
      </c>
      <c r="AX72" s="334" t="s">
        <v>890</v>
      </c>
      <c r="AY72" s="331" t="s">
        <v>97</v>
      </c>
      <c r="AZ72" s="334" t="s">
        <v>121</v>
      </c>
      <c r="BA72" s="334" t="s">
        <v>891</v>
      </c>
      <c r="BB72" s="333">
        <v>45943</v>
      </c>
      <c r="BC72" s="334" t="s">
        <v>892</v>
      </c>
      <c r="BD72" s="334" t="s">
        <v>891</v>
      </c>
      <c r="BE72" s="333">
        <v>45945</v>
      </c>
      <c r="BF72" s="334" t="s">
        <v>893</v>
      </c>
      <c r="BG72" s="331" t="s">
        <v>97</v>
      </c>
      <c r="BH72" s="334" t="s">
        <v>894</v>
      </c>
      <c r="BI72" s="132" t="s">
        <v>98</v>
      </c>
      <c r="BJ72" s="132" t="s">
        <v>98</v>
      </c>
      <c r="BK72" s="132" t="s">
        <v>98</v>
      </c>
      <c r="BL72" s="667" t="s">
        <v>98</v>
      </c>
      <c r="BM72" s="111" t="s">
        <v>891</v>
      </c>
      <c r="BN72" s="29" t="s">
        <v>126</v>
      </c>
      <c r="BO72" s="658">
        <v>45943</v>
      </c>
      <c r="BP72" s="659">
        <v>0.65625</v>
      </c>
      <c r="BQ72" s="660" t="s">
        <v>895</v>
      </c>
      <c r="BR72" s="111" t="s">
        <v>891</v>
      </c>
      <c r="BS72" s="658">
        <v>45945</v>
      </c>
      <c r="BT72" s="659">
        <v>0.75347222222222221</v>
      </c>
      <c r="BU72" s="660" t="s">
        <v>896</v>
      </c>
      <c r="BV72" s="662">
        <v>485.67</v>
      </c>
      <c r="BW72" s="690">
        <v>1</v>
      </c>
      <c r="BX72" s="132">
        <v>1</v>
      </c>
      <c r="BY72" s="111"/>
      <c r="BZ72" s="483">
        <v>45943</v>
      </c>
      <c r="CA72" s="483">
        <v>45945</v>
      </c>
      <c r="CB72" s="483"/>
      <c r="CC72" s="111">
        <f>BW72+BX72+BY72</f>
        <v>2</v>
      </c>
      <c r="CD72" s="111" t="s">
        <v>88</v>
      </c>
      <c r="CE72" s="111" t="s">
        <v>88</v>
      </c>
      <c r="CF72" s="111" t="s">
        <v>88</v>
      </c>
      <c r="CG72" s="111" t="s">
        <v>88</v>
      </c>
      <c r="CH72" s="111" t="s">
        <v>88</v>
      </c>
    </row>
    <row r="73" spans="1:86" ht="21.5" hidden="1" customHeight="1">
      <c r="A73" s="989"/>
      <c r="B73" s="977"/>
      <c r="C73" s="977"/>
      <c r="D73" s="977"/>
      <c r="E73" s="978"/>
      <c r="F73" s="986" t="s">
        <v>88</v>
      </c>
      <c r="G73" s="977" t="s">
        <v>88</v>
      </c>
      <c r="H73" s="977" t="s">
        <v>88</v>
      </c>
      <c r="I73" s="987" t="s">
        <v>88</v>
      </c>
      <c r="J73" s="977" t="s">
        <v>88</v>
      </c>
      <c r="K73" s="977" t="s">
        <v>88</v>
      </c>
      <c r="L73" s="977" t="s">
        <v>88</v>
      </c>
      <c r="M73" s="977" t="s">
        <v>88</v>
      </c>
      <c r="N73" s="977" t="s">
        <v>88</v>
      </c>
      <c r="O73" s="977" t="s">
        <v>88</v>
      </c>
      <c r="P73" s="977" t="s">
        <v>88</v>
      </c>
      <c r="Q73" s="977" t="s">
        <v>88</v>
      </c>
      <c r="R73" s="977" t="s">
        <v>88</v>
      </c>
      <c r="S73" s="977" t="s">
        <v>88</v>
      </c>
      <c r="T73" s="1011"/>
      <c r="U73" s="977" t="s">
        <v>88</v>
      </c>
      <c r="V73" s="973" t="s">
        <v>88</v>
      </c>
      <c r="W73" s="977" t="s">
        <v>88</v>
      </c>
      <c r="X73" s="977" t="s">
        <v>88</v>
      </c>
      <c r="Y73" s="1013" t="s">
        <v>88</v>
      </c>
      <c r="Z73" s="977" t="s">
        <v>88</v>
      </c>
      <c r="AA73" s="977" t="s">
        <v>88</v>
      </c>
      <c r="AB73" s="1013" t="s">
        <v>88</v>
      </c>
      <c r="AC73" s="977" t="s">
        <v>88</v>
      </c>
      <c r="AD73" s="977" t="s">
        <v>88</v>
      </c>
      <c r="AE73" s="1013" t="s">
        <v>88</v>
      </c>
      <c r="AF73" s="977" t="s">
        <v>88</v>
      </c>
      <c r="AG73" s="973" t="s">
        <v>88</v>
      </c>
      <c r="AH73" s="977" t="s">
        <v>88</v>
      </c>
      <c r="AI73" s="977" t="s">
        <v>88</v>
      </c>
      <c r="AJ73" s="977" t="s">
        <v>88</v>
      </c>
      <c r="AK73" s="977" t="s">
        <v>88</v>
      </c>
      <c r="AL73" s="977" t="s">
        <v>88</v>
      </c>
      <c r="AM73" s="977" t="s">
        <v>88</v>
      </c>
      <c r="AN73" s="977" t="s">
        <v>88</v>
      </c>
      <c r="AO73" s="977" t="s">
        <v>88</v>
      </c>
      <c r="AP73" s="977" t="s">
        <v>88</v>
      </c>
      <c r="AQ73" s="977" t="s">
        <v>88</v>
      </c>
      <c r="AR73" s="977" t="s">
        <v>88</v>
      </c>
      <c r="AS73" s="977" t="s">
        <v>88</v>
      </c>
      <c r="AT73" s="331" t="s">
        <v>897</v>
      </c>
      <c r="AU73" s="331" t="s">
        <v>883</v>
      </c>
      <c r="AV73" s="331" t="s">
        <v>884</v>
      </c>
      <c r="AW73" s="332">
        <v>306948125141</v>
      </c>
      <c r="AX73" s="331" t="s">
        <v>890</v>
      </c>
      <c r="AY73" s="331" t="s">
        <v>97</v>
      </c>
      <c r="AZ73" s="349" t="s">
        <v>121</v>
      </c>
      <c r="BA73" s="349" t="s">
        <v>898</v>
      </c>
      <c r="BB73" s="333">
        <v>45943</v>
      </c>
      <c r="BC73" s="349" t="s">
        <v>302</v>
      </c>
      <c r="BD73" s="349" t="s">
        <v>898</v>
      </c>
      <c r="BE73" s="333">
        <v>45945</v>
      </c>
      <c r="BF73" s="349" t="s">
        <v>899</v>
      </c>
      <c r="BG73" s="331" t="s">
        <v>97</v>
      </c>
      <c r="BH73" s="349" t="s">
        <v>900</v>
      </c>
      <c r="BI73" s="132" t="s">
        <v>98</v>
      </c>
      <c r="BJ73" s="132" t="s">
        <v>98</v>
      </c>
      <c r="BK73" s="132" t="s">
        <v>98</v>
      </c>
      <c r="BL73" s="667" t="s">
        <v>98</v>
      </c>
      <c r="BM73" s="113" t="s">
        <v>898</v>
      </c>
      <c r="BN73" s="29" t="s">
        <v>126</v>
      </c>
      <c r="BO73" s="658">
        <v>45943</v>
      </c>
      <c r="BP73" s="659">
        <v>0.44791666666666669</v>
      </c>
      <c r="BQ73" s="660" t="s">
        <v>901</v>
      </c>
      <c r="BR73" s="113" t="s">
        <v>898</v>
      </c>
      <c r="BS73" s="658">
        <v>45945</v>
      </c>
      <c r="BT73" s="659">
        <v>0.83333333333333337</v>
      </c>
      <c r="BU73" s="660" t="s">
        <v>902</v>
      </c>
      <c r="BV73" s="666">
        <v>528.45000000000005</v>
      </c>
      <c r="BW73" s="690">
        <v>1</v>
      </c>
      <c r="BX73" s="132">
        <v>1</v>
      </c>
      <c r="BY73" s="111"/>
      <c r="BZ73" s="483">
        <v>45943</v>
      </c>
      <c r="CA73" s="483">
        <v>45945</v>
      </c>
      <c r="CB73" s="483"/>
      <c r="CC73" s="111">
        <f>BW73+BX73+BY73</f>
        <v>2</v>
      </c>
      <c r="CD73" s="111" t="s">
        <v>88</v>
      </c>
      <c r="CE73" s="111" t="s">
        <v>88</v>
      </c>
      <c r="CF73" s="111" t="s">
        <v>88</v>
      </c>
      <c r="CG73" s="111" t="s">
        <v>88</v>
      </c>
      <c r="CH73" s="111" t="s">
        <v>88</v>
      </c>
    </row>
    <row r="74" spans="1:86" ht="21.5" hidden="1" customHeight="1">
      <c r="A74" s="989"/>
      <c r="B74" s="977"/>
      <c r="C74" s="977"/>
      <c r="D74" s="977"/>
      <c r="E74" s="978"/>
      <c r="F74" s="986" t="s">
        <v>88</v>
      </c>
      <c r="G74" s="977" t="s">
        <v>88</v>
      </c>
      <c r="H74" s="977" t="s">
        <v>88</v>
      </c>
      <c r="I74" s="987" t="s">
        <v>88</v>
      </c>
      <c r="J74" s="977" t="s">
        <v>88</v>
      </c>
      <c r="K74" s="977" t="s">
        <v>88</v>
      </c>
      <c r="L74" s="977" t="s">
        <v>88</v>
      </c>
      <c r="M74" s="977" t="s">
        <v>88</v>
      </c>
      <c r="N74" s="977" t="s">
        <v>88</v>
      </c>
      <c r="O74" s="977" t="s">
        <v>88</v>
      </c>
      <c r="P74" s="977" t="s">
        <v>88</v>
      </c>
      <c r="Q74" s="977" t="s">
        <v>88</v>
      </c>
      <c r="R74" s="977" t="s">
        <v>88</v>
      </c>
      <c r="S74" s="977" t="s">
        <v>88</v>
      </c>
      <c r="T74" s="1011"/>
      <c r="U74" s="977" t="s">
        <v>88</v>
      </c>
      <c r="V74" s="973" t="s">
        <v>88</v>
      </c>
      <c r="W74" s="977" t="s">
        <v>88</v>
      </c>
      <c r="X74" s="977" t="s">
        <v>88</v>
      </c>
      <c r="Y74" s="1013" t="s">
        <v>88</v>
      </c>
      <c r="Z74" s="977" t="s">
        <v>88</v>
      </c>
      <c r="AA74" s="977" t="s">
        <v>88</v>
      </c>
      <c r="AB74" s="1013" t="s">
        <v>88</v>
      </c>
      <c r="AC74" s="977" t="s">
        <v>88</v>
      </c>
      <c r="AD74" s="977" t="s">
        <v>88</v>
      </c>
      <c r="AE74" s="1013" t="s">
        <v>88</v>
      </c>
      <c r="AF74" s="977" t="s">
        <v>88</v>
      </c>
      <c r="AG74" s="973" t="s">
        <v>88</v>
      </c>
      <c r="AH74" s="977" t="s">
        <v>88</v>
      </c>
      <c r="AI74" s="977" t="s">
        <v>88</v>
      </c>
      <c r="AJ74" s="977" t="s">
        <v>88</v>
      </c>
      <c r="AK74" s="977" t="s">
        <v>88</v>
      </c>
      <c r="AL74" s="977" t="s">
        <v>88</v>
      </c>
      <c r="AM74" s="977" t="s">
        <v>88</v>
      </c>
      <c r="AN74" s="977" t="s">
        <v>88</v>
      </c>
      <c r="AO74" s="977" t="s">
        <v>88</v>
      </c>
      <c r="AP74" s="977" t="s">
        <v>88</v>
      </c>
      <c r="AQ74" s="977" t="s">
        <v>88</v>
      </c>
      <c r="AR74" s="977" t="s">
        <v>88</v>
      </c>
      <c r="AS74" s="977" t="s">
        <v>88</v>
      </c>
      <c r="AT74" s="331" t="s">
        <v>885</v>
      </c>
      <c r="AU74" s="331" t="s">
        <v>886</v>
      </c>
      <c r="AV74" s="331" t="s">
        <v>887</v>
      </c>
      <c r="AW74" s="349">
        <v>34662244419</v>
      </c>
      <c r="AX74" s="331" t="s">
        <v>890</v>
      </c>
      <c r="AY74" s="331" t="s">
        <v>97</v>
      </c>
      <c r="AZ74" s="349" t="s">
        <v>121</v>
      </c>
      <c r="BA74" s="349" t="s">
        <v>498</v>
      </c>
      <c r="BB74" s="333">
        <v>45943</v>
      </c>
      <c r="BC74" s="349">
        <v>9</v>
      </c>
      <c r="BD74" s="349" t="s">
        <v>498</v>
      </c>
      <c r="BE74" s="333">
        <v>45945</v>
      </c>
      <c r="BF74" s="349">
        <v>19</v>
      </c>
      <c r="BG74" s="331" t="s">
        <v>97</v>
      </c>
      <c r="BH74" s="331" t="s">
        <v>88</v>
      </c>
      <c r="BI74" s="132" t="s">
        <v>98</v>
      </c>
      <c r="BJ74" s="132" t="s">
        <v>98</v>
      </c>
      <c r="BK74" s="132" t="s">
        <v>98</v>
      </c>
      <c r="BL74" s="667" t="s">
        <v>98</v>
      </c>
      <c r="BM74" s="113" t="s">
        <v>498</v>
      </c>
      <c r="BN74" s="29" t="s">
        <v>126</v>
      </c>
      <c r="BO74" s="658">
        <v>45943</v>
      </c>
      <c r="BP74" s="659">
        <v>0.50694444444444442</v>
      </c>
      <c r="BQ74" s="660" t="s">
        <v>903</v>
      </c>
      <c r="BR74" s="113" t="s">
        <v>498</v>
      </c>
      <c r="BS74" s="658">
        <v>45945</v>
      </c>
      <c r="BT74" s="659">
        <v>0.75347222222222221</v>
      </c>
      <c r="BU74" s="660" t="s">
        <v>904</v>
      </c>
      <c r="BV74" s="662">
        <v>324.10000000000002</v>
      </c>
      <c r="BW74" s="690">
        <v>1</v>
      </c>
      <c r="BX74" s="132">
        <v>1</v>
      </c>
      <c r="BY74" s="111"/>
      <c r="BZ74" s="483">
        <v>45943</v>
      </c>
      <c r="CA74" s="483">
        <v>45945</v>
      </c>
      <c r="CB74" s="483"/>
      <c r="CC74" s="111">
        <f>BW74+BX74+BY74</f>
        <v>2</v>
      </c>
      <c r="CD74" s="111" t="s">
        <v>88</v>
      </c>
      <c r="CE74" s="111" t="s">
        <v>88</v>
      </c>
      <c r="CF74" s="111" t="s">
        <v>88</v>
      </c>
      <c r="CG74" s="111" t="s">
        <v>88</v>
      </c>
      <c r="CH74" s="111" t="s">
        <v>88</v>
      </c>
    </row>
    <row r="75" spans="1:86" ht="21.5" customHeight="1">
      <c r="A75" s="988">
        <v>45944</v>
      </c>
      <c r="B75" s="977" t="s">
        <v>100</v>
      </c>
      <c r="C75" s="976">
        <v>45943</v>
      </c>
      <c r="D75" s="979">
        <v>45945</v>
      </c>
      <c r="E75" s="990">
        <v>2502</v>
      </c>
      <c r="F75" s="981" t="s">
        <v>905</v>
      </c>
      <c r="G75" s="979" t="s">
        <v>86</v>
      </c>
      <c r="H75" s="979" t="s">
        <v>102</v>
      </c>
      <c r="I75" s="985">
        <v>25022524</v>
      </c>
      <c r="J75" s="979" t="s">
        <v>97</v>
      </c>
      <c r="K75" s="979" t="s">
        <v>906</v>
      </c>
      <c r="L75" s="979" t="s">
        <v>428</v>
      </c>
      <c r="M75" s="979" t="s">
        <v>88</v>
      </c>
      <c r="N75" s="979" t="s">
        <v>907</v>
      </c>
      <c r="O75" s="979" t="s">
        <v>908</v>
      </c>
      <c r="P75" s="979" t="s">
        <v>909</v>
      </c>
      <c r="Q75" s="979" t="s">
        <v>249</v>
      </c>
      <c r="R75" s="979" t="s">
        <v>910</v>
      </c>
      <c r="S75" s="979" t="s">
        <v>110</v>
      </c>
      <c r="T75" s="1021" t="s">
        <v>98</v>
      </c>
      <c r="U75" s="979" t="s">
        <v>97</v>
      </c>
      <c r="V75" s="1024">
        <v>3</v>
      </c>
      <c r="W75" s="979" t="s">
        <v>911</v>
      </c>
      <c r="X75" s="979" t="s">
        <v>912</v>
      </c>
      <c r="Y75" s="1021" t="s">
        <v>913</v>
      </c>
      <c r="Z75" s="979" t="s">
        <v>914</v>
      </c>
      <c r="AA75" s="979" t="s">
        <v>915</v>
      </c>
      <c r="AB75" s="970" t="s">
        <v>916</v>
      </c>
      <c r="AC75" s="979" t="s">
        <v>917</v>
      </c>
      <c r="AD75" s="979" t="s">
        <v>918</v>
      </c>
      <c r="AE75" s="1021" t="s">
        <v>919</v>
      </c>
      <c r="AF75" s="979" t="s">
        <v>97</v>
      </c>
      <c r="AG75" s="1024">
        <v>3</v>
      </c>
      <c r="AH75" s="979" t="s">
        <v>911</v>
      </c>
      <c r="AI75" s="979" t="s">
        <v>912</v>
      </c>
      <c r="AJ75" s="979" t="s">
        <v>913</v>
      </c>
      <c r="AK75" s="979" t="s">
        <v>914</v>
      </c>
      <c r="AL75" s="979" t="s">
        <v>915</v>
      </c>
      <c r="AM75" s="979" t="s">
        <v>916</v>
      </c>
      <c r="AN75" s="979" t="s">
        <v>917</v>
      </c>
      <c r="AO75" s="979" t="s">
        <v>918</v>
      </c>
      <c r="AP75" s="1015" t="s">
        <v>919</v>
      </c>
      <c r="AQ75" s="979" t="s">
        <v>88</v>
      </c>
      <c r="AR75" s="979" t="s">
        <v>88</v>
      </c>
      <c r="AS75" s="979" t="s">
        <v>88</v>
      </c>
      <c r="AT75" s="345" t="s">
        <v>911</v>
      </c>
      <c r="AU75" s="345" t="s">
        <v>912</v>
      </c>
      <c r="AV75" s="343" t="s">
        <v>913</v>
      </c>
      <c r="AW75" s="340" t="s">
        <v>920</v>
      </c>
      <c r="AX75" s="331" t="s">
        <v>921</v>
      </c>
      <c r="AY75" s="331" t="s">
        <v>97</v>
      </c>
      <c r="AZ75" s="331" t="s">
        <v>121</v>
      </c>
      <c r="BA75" s="331" t="s">
        <v>473</v>
      </c>
      <c r="BB75" s="333">
        <v>45943</v>
      </c>
      <c r="BC75" s="331" t="s">
        <v>922</v>
      </c>
      <c r="BD75" s="331" t="s">
        <v>384</v>
      </c>
      <c r="BE75" s="333">
        <v>45945</v>
      </c>
      <c r="BF75" s="331" t="s">
        <v>923</v>
      </c>
      <c r="BG75" s="331" t="s">
        <v>97</v>
      </c>
      <c r="BH75" s="331"/>
      <c r="BI75" s="132" t="s">
        <v>98</v>
      </c>
      <c r="BJ75" s="132" t="s">
        <v>98</v>
      </c>
      <c r="BK75" s="132" t="s">
        <v>98</v>
      </c>
      <c r="BL75" s="667" t="s">
        <v>98</v>
      </c>
      <c r="BM75" s="111" t="s">
        <v>473</v>
      </c>
      <c r="BN75" s="29" t="s">
        <v>126</v>
      </c>
      <c r="BO75" s="663">
        <v>45943</v>
      </c>
      <c r="BP75" s="664">
        <v>0.68055555555555558</v>
      </c>
      <c r="BQ75" s="665" t="s">
        <v>924</v>
      </c>
      <c r="BR75" s="111" t="s">
        <v>473</v>
      </c>
      <c r="BS75" s="663">
        <v>45945</v>
      </c>
      <c r="BT75" s="664">
        <v>0.49305555555555558</v>
      </c>
      <c r="BU75" s="665" t="s">
        <v>925</v>
      </c>
      <c r="BV75" s="666">
        <v>304.32</v>
      </c>
      <c r="BW75" s="690">
        <v>1</v>
      </c>
      <c r="BX75" s="132">
        <v>1</v>
      </c>
      <c r="BY75" s="111"/>
      <c r="BZ75" s="483">
        <v>45943</v>
      </c>
      <c r="CA75" s="483">
        <v>45945</v>
      </c>
      <c r="CB75" s="483"/>
      <c r="CC75" s="111">
        <f>BW75+BX75+BY75</f>
        <v>2</v>
      </c>
      <c r="CD75" s="111" t="s">
        <v>88</v>
      </c>
      <c r="CE75" s="111" t="s">
        <v>88</v>
      </c>
      <c r="CF75" s="111" t="s">
        <v>88</v>
      </c>
      <c r="CG75" s="111" t="s">
        <v>88</v>
      </c>
      <c r="CH75" s="111" t="s">
        <v>88</v>
      </c>
    </row>
    <row r="76" spans="1:86" ht="21.5" hidden="1" customHeight="1">
      <c r="A76" s="989"/>
      <c r="B76" s="977"/>
      <c r="C76" s="977"/>
      <c r="D76" s="980"/>
      <c r="E76" s="990"/>
      <c r="F76" s="982" t="s">
        <v>88</v>
      </c>
      <c r="G76" s="980" t="s">
        <v>88</v>
      </c>
      <c r="H76" s="980" t="s">
        <v>88</v>
      </c>
      <c r="I76" s="985" t="s">
        <v>88</v>
      </c>
      <c r="J76" s="980" t="s">
        <v>88</v>
      </c>
      <c r="K76" s="980" t="s">
        <v>88</v>
      </c>
      <c r="L76" s="980" t="s">
        <v>88</v>
      </c>
      <c r="M76" s="980" t="s">
        <v>88</v>
      </c>
      <c r="N76" s="980" t="s">
        <v>88</v>
      </c>
      <c r="O76" s="980" t="s">
        <v>88</v>
      </c>
      <c r="P76" s="980" t="s">
        <v>88</v>
      </c>
      <c r="Q76" s="980" t="s">
        <v>88</v>
      </c>
      <c r="R76" s="980" t="s">
        <v>88</v>
      </c>
      <c r="S76" s="980" t="s">
        <v>88</v>
      </c>
      <c r="T76" s="1021" t="s">
        <v>88</v>
      </c>
      <c r="U76" s="980" t="s">
        <v>88</v>
      </c>
      <c r="V76" s="1024" t="s">
        <v>88</v>
      </c>
      <c r="W76" s="980" t="s">
        <v>88</v>
      </c>
      <c r="X76" s="980" t="s">
        <v>88</v>
      </c>
      <c r="Y76" s="1021" t="s">
        <v>88</v>
      </c>
      <c r="Z76" s="980" t="s">
        <v>88</v>
      </c>
      <c r="AA76" s="980" t="s">
        <v>88</v>
      </c>
      <c r="AB76" s="970" t="s">
        <v>88</v>
      </c>
      <c r="AC76" s="980" t="s">
        <v>88</v>
      </c>
      <c r="AD76" s="980" t="s">
        <v>88</v>
      </c>
      <c r="AE76" s="1021" t="s">
        <v>88</v>
      </c>
      <c r="AF76" s="980" t="s">
        <v>88</v>
      </c>
      <c r="AG76" s="1024" t="s">
        <v>88</v>
      </c>
      <c r="AH76" s="980" t="s">
        <v>88</v>
      </c>
      <c r="AI76" s="980" t="s">
        <v>88</v>
      </c>
      <c r="AJ76" s="980" t="s">
        <v>88</v>
      </c>
      <c r="AK76" s="980" t="s">
        <v>88</v>
      </c>
      <c r="AL76" s="980" t="s">
        <v>88</v>
      </c>
      <c r="AM76" s="980" t="s">
        <v>88</v>
      </c>
      <c r="AN76" s="980" t="s">
        <v>88</v>
      </c>
      <c r="AO76" s="980" t="s">
        <v>88</v>
      </c>
      <c r="AP76" s="1040" t="s">
        <v>88</v>
      </c>
      <c r="AQ76" s="980" t="s">
        <v>88</v>
      </c>
      <c r="AR76" s="980" t="s">
        <v>88</v>
      </c>
      <c r="AS76" s="980" t="s">
        <v>88</v>
      </c>
      <c r="AT76" s="603" t="s">
        <v>914</v>
      </c>
      <c r="AU76" s="345" t="s">
        <v>915</v>
      </c>
      <c r="AV76" s="343" t="s">
        <v>926</v>
      </c>
      <c r="AW76" s="332">
        <v>393665049991</v>
      </c>
      <c r="AX76" s="331" t="s">
        <v>927</v>
      </c>
      <c r="AY76" s="331" t="s">
        <v>97</v>
      </c>
      <c r="AZ76" s="381" t="s">
        <v>579</v>
      </c>
      <c r="BA76" s="381" t="s">
        <v>928</v>
      </c>
      <c r="BB76" s="333">
        <v>45943</v>
      </c>
      <c r="BC76" s="381" t="s">
        <v>929</v>
      </c>
      <c r="BD76" s="381" t="s">
        <v>928</v>
      </c>
      <c r="BE76" s="333">
        <v>45947</v>
      </c>
      <c r="BF76" s="381" t="s">
        <v>929</v>
      </c>
      <c r="BG76" s="331" t="s">
        <v>97</v>
      </c>
      <c r="BH76" s="331" t="s">
        <v>88</v>
      </c>
      <c r="BI76" s="132" t="s">
        <v>98</v>
      </c>
      <c r="BJ76" s="132" t="s">
        <v>98</v>
      </c>
      <c r="BK76" s="132" t="s">
        <v>98</v>
      </c>
      <c r="BL76" s="667" t="s">
        <v>98</v>
      </c>
      <c r="BM76" s="656" t="s">
        <v>928</v>
      </c>
      <c r="BN76" s="29" t="s">
        <v>126</v>
      </c>
      <c r="BO76" s="663">
        <v>45943</v>
      </c>
      <c r="BP76" s="664">
        <v>0.53819444444444442</v>
      </c>
      <c r="BQ76" s="665" t="s">
        <v>930</v>
      </c>
      <c r="BR76" s="656" t="s">
        <v>928</v>
      </c>
      <c r="BS76" s="663">
        <v>45945</v>
      </c>
      <c r="BT76" s="664">
        <v>0.40625</v>
      </c>
      <c r="BU76" s="665" t="s">
        <v>931</v>
      </c>
      <c r="BV76" s="666">
        <v>356.92</v>
      </c>
      <c r="BW76" s="690">
        <v>1</v>
      </c>
      <c r="BX76" s="132">
        <v>1</v>
      </c>
      <c r="BY76" s="111"/>
      <c r="BZ76" s="483">
        <v>45943</v>
      </c>
      <c r="CA76" s="483">
        <v>45945</v>
      </c>
      <c r="CB76" s="483"/>
      <c r="CC76" s="111">
        <f>BW76+BX76+BY76</f>
        <v>2</v>
      </c>
      <c r="CD76" s="111" t="s">
        <v>88</v>
      </c>
      <c r="CE76" s="111" t="s">
        <v>88</v>
      </c>
      <c r="CF76" s="111" t="s">
        <v>932</v>
      </c>
      <c r="CG76" s="111" t="s">
        <v>933</v>
      </c>
      <c r="CH76" s="111" t="s">
        <v>88</v>
      </c>
    </row>
    <row r="77" spans="1:86" ht="21.5" hidden="1" customHeight="1">
      <c r="A77" s="989"/>
      <c r="B77" s="977"/>
      <c r="C77" s="977"/>
      <c r="D77" s="980"/>
      <c r="E77" s="990"/>
      <c r="F77" s="982" t="s">
        <v>88</v>
      </c>
      <c r="G77" s="980" t="s">
        <v>88</v>
      </c>
      <c r="H77" s="980" t="s">
        <v>88</v>
      </c>
      <c r="I77" s="985" t="s">
        <v>88</v>
      </c>
      <c r="J77" s="980" t="s">
        <v>88</v>
      </c>
      <c r="K77" s="980" t="s">
        <v>88</v>
      </c>
      <c r="L77" s="980" t="s">
        <v>88</v>
      </c>
      <c r="M77" s="980" t="s">
        <v>88</v>
      </c>
      <c r="N77" s="980" t="s">
        <v>88</v>
      </c>
      <c r="O77" s="980" t="s">
        <v>88</v>
      </c>
      <c r="P77" s="980" t="s">
        <v>88</v>
      </c>
      <c r="Q77" s="980" t="s">
        <v>88</v>
      </c>
      <c r="R77" s="980" t="s">
        <v>88</v>
      </c>
      <c r="S77" s="980" t="s">
        <v>88</v>
      </c>
      <c r="T77" s="1021" t="s">
        <v>88</v>
      </c>
      <c r="U77" s="980" t="s">
        <v>88</v>
      </c>
      <c r="V77" s="1024" t="s">
        <v>88</v>
      </c>
      <c r="W77" s="980" t="s">
        <v>88</v>
      </c>
      <c r="X77" s="980" t="s">
        <v>88</v>
      </c>
      <c r="Y77" s="1021" t="s">
        <v>88</v>
      </c>
      <c r="Z77" s="980" t="s">
        <v>88</v>
      </c>
      <c r="AA77" s="980" t="s">
        <v>88</v>
      </c>
      <c r="AB77" s="970" t="s">
        <v>88</v>
      </c>
      <c r="AC77" s="980" t="s">
        <v>88</v>
      </c>
      <c r="AD77" s="980" t="s">
        <v>88</v>
      </c>
      <c r="AE77" s="1021" t="s">
        <v>88</v>
      </c>
      <c r="AF77" s="980" t="s">
        <v>88</v>
      </c>
      <c r="AG77" s="1024" t="s">
        <v>88</v>
      </c>
      <c r="AH77" s="980" t="s">
        <v>88</v>
      </c>
      <c r="AI77" s="980" t="s">
        <v>88</v>
      </c>
      <c r="AJ77" s="980" t="s">
        <v>88</v>
      </c>
      <c r="AK77" s="980" t="s">
        <v>88</v>
      </c>
      <c r="AL77" s="980" t="s">
        <v>88</v>
      </c>
      <c r="AM77" s="980" t="s">
        <v>88</v>
      </c>
      <c r="AN77" s="980" t="s">
        <v>88</v>
      </c>
      <c r="AO77" s="980" t="s">
        <v>88</v>
      </c>
      <c r="AP77" s="1040" t="s">
        <v>88</v>
      </c>
      <c r="AQ77" s="980" t="s">
        <v>88</v>
      </c>
      <c r="AR77" s="980" t="s">
        <v>88</v>
      </c>
      <c r="AS77" s="980" t="s">
        <v>88</v>
      </c>
      <c r="AT77" s="603" t="s">
        <v>917</v>
      </c>
      <c r="AU77" s="603" t="s">
        <v>934</v>
      </c>
      <c r="AV77" s="343" t="s">
        <v>935</v>
      </c>
      <c r="AW77" s="332" t="s">
        <v>936</v>
      </c>
      <c r="AX77" s="331" t="s">
        <v>937</v>
      </c>
      <c r="AY77" s="331" t="s">
        <v>97</v>
      </c>
      <c r="AZ77" s="331" t="s">
        <v>579</v>
      </c>
      <c r="BA77" s="331" t="s">
        <v>938</v>
      </c>
      <c r="BB77" s="333">
        <v>45943</v>
      </c>
      <c r="BC77" s="331">
        <v>10</v>
      </c>
      <c r="BD77" s="331" t="s">
        <v>938</v>
      </c>
      <c r="BE77" s="333">
        <v>45946</v>
      </c>
      <c r="BF77" s="331">
        <v>10</v>
      </c>
      <c r="BG77" s="331" t="s">
        <v>97</v>
      </c>
      <c r="BH77" s="331"/>
      <c r="BI77" s="132" t="s">
        <v>98</v>
      </c>
      <c r="BJ77" s="111" t="s">
        <v>88</v>
      </c>
      <c r="BK77" s="111" t="s">
        <v>88</v>
      </c>
      <c r="BL77" s="219" t="s">
        <v>88</v>
      </c>
      <c r="BM77" s="519" t="s">
        <v>938</v>
      </c>
      <c r="BN77" s="29" t="s">
        <v>126</v>
      </c>
      <c r="BO77" s="111" t="s">
        <v>88</v>
      </c>
      <c r="BP77" s="111" t="s">
        <v>88</v>
      </c>
      <c r="BQ77" s="111" t="s">
        <v>88</v>
      </c>
      <c r="BR77" s="519" t="s">
        <v>938</v>
      </c>
      <c r="BS77" s="111" t="s">
        <v>88</v>
      </c>
      <c r="BT77" s="111" t="s">
        <v>88</v>
      </c>
      <c r="BU77" s="111" t="s">
        <v>88</v>
      </c>
      <c r="BV77" s="111" t="s">
        <v>88</v>
      </c>
      <c r="BW77" s="773"/>
      <c r="BX77" s="737"/>
      <c r="BY77" s="111"/>
      <c r="BZ77" s="111" t="s">
        <v>88</v>
      </c>
      <c r="CA77" s="111" t="s">
        <v>88</v>
      </c>
      <c r="CB77" s="111"/>
      <c r="CC77" s="111" t="s">
        <v>88</v>
      </c>
      <c r="CD77" s="111" t="s">
        <v>88</v>
      </c>
      <c r="CE77" s="111" t="s">
        <v>88</v>
      </c>
      <c r="CF77" s="111" t="s">
        <v>939</v>
      </c>
      <c r="CG77" s="111" t="s">
        <v>933</v>
      </c>
      <c r="CH77" s="111" t="s">
        <v>88</v>
      </c>
    </row>
    <row r="78" spans="1:86" ht="21.5" customHeight="1">
      <c r="A78" s="988">
        <v>45944</v>
      </c>
      <c r="B78" s="977" t="s">
        <v>186</v>
      </c>
      <c r="C78" s="976">
        <v>45943</v>
      </c>
      <c r="D78" s="976">
        <v>45945</v>
      </c>
      <c r="E78" s="990">
        <v>2519</v>
      </c>
      <c r="F78" s="981" t="s">
        <v>940</v>
      </c>
      <c r="G78" s="979" t="s">
        <v>135</v>
      </c>
      <c r="H78" s="979" t="s">
        <v>102</v>
      </c>
      <c r="I78" s="985" t="s">
        <v>88</v>
      </c>
      <c r="J78" s="979" t="s">
        <v>89</v>
      </c>
      <c r="K78" s="979" t="s">
        <v>941</v>
      </c>
      <c r="L78" s="979" t="s">
        <v>318</v>
      </c>
      <c r="M78" s="979" t="s">
        <v>88</v>
      </c>
      <c r="N78" s="979" t="s">
        <v>942</v>
      </c>
      <c r="O78" s="979" t="s">
        <v>943</v>
      </c>
      <c r="P78" s="979" t="s">
        <v>944</v>
      </c>
      <c r="Q78" s="979" t="s">
        <v>945</v>
      </c>
      <c r="R78" s="979" t="s">
        <v>946</v>
      </c>
      <c r="S78" s="979" t="s">
        <v>110</v>
      </c>
      <c r="T78" s="1049" t="s">
        <v>947</v>
      </c>
      <c r="U78" s="979" t="s">
        <v>97</v>
      </c>
      <c r="V78" s="1024">
        <v>3</v>
      </c>
      <c r="W78" s="1052" t="s">
        <v>948</v>
      </c>
      <c r="X78" s="1052" t="s">
        <v>949</v>
      </c>
      <c r="Y78" s="1021" t="s">
        <v>950</v>
      </c>
      <c r="Z78" s="979" t="s">
        <v>832</v>
      </c>
      <c r="AA78" s="979" t="s">
        <v>833</v>
      </c>
      <c r="AB78" s="1021" t="s">
        <v>951</v>
      </c>
      <c r="AC78" s="1049" t="s">
        <v>952</v>
      </c>
      <c r="AD78" s="1049" t="s">
        <v>953</v>
      </c>
      <c r="AE78" s="1049" t="s">
        <v>954</v>
      </c>
      <c r="AF78" s="979" t="s">
        <v>97</v>
      </c>
      <c r="AG78" s="1024">
        <v>3</v>
      </c>
      <c r="AH78" s="979" t="s">
        <v>948</v>
      </c>
      <c r="AI78" s="979" t="s">
        <v>949</v>
      </c>
      <c r="AJ78" s="979" t="s">
        <v>950</v>
      </c>
      <c r="AK78" s="979" t="s">
        <v>832</v>
      </c>
      <c r="AL78" s="979" t="s">
        <v>833</v>
      </c>
      <c r="AM78" s="979" t="s">
        <v>951</v>
      </c>
      <c r="AN78" s="1053" t="s">
        <v>952</v>
      </c>
      <c r="AO78" s="1053" t="s">
        <v>953</v>
      </c>
      <c r="AP78" s="1053" t="s">
        <v>954</v>
      </c>
      <c r="AQ78" s="979" t="s">
        <v>613</v>
      </c>
      <c r="AR78" s="979" t="s">
        <v>118</v>
      </c>
      <c r="AS78" s="979" t="s">
        <v>955</v>
      </c>
      <c r="AT78" s="460" t="s">
        <v>956</v>
      </c>
      <c r="AU78" s="460" t="s">
        <v>949</v>
      </c>
      <c r="AV78" s="460" t="s">
        <v>950</v>
      </c>
      <c r="AW78" s="332">
        <v>33788916350</v>
      </c>
      <c r="AX78" s="605">
        <v>45944.479166666664</v>
      </c>
      <c r="AY78" s="331" t="s">
        <v>97</v>
      </c>
      <c r="AZ78" s="434" t="s">
        <v>154</v>
      </c>
      <c r="BA78" s="434" t="s">
        <v>422</v>
      </c>
      <c r="BB78" s="333">
        <v>45943</v>
      </c>
      <c r="BC78" s="606">
        <v>0.66666666666666663</v>
      </c>
      <c r="BD78" s="434" t="s">
        <v>384</v>
      </c>
      <c r="BE78" s="438">
        <v>45945</v>
      </c>
      <c r="BF78" s="434">
        <v>1700</v>
      </c>
      <c r="BG78" s="331" t="s">
        <v>97</v>
      </c>
      <c r="BH78" s="331"/>
      <c r="BI78" s="111" t="s">
        <v>98</v>
      </c>
      <c r="BJ78" s="111" t="s">
        <v>98</v>
      </c>
      <c r="BK78" s="111" t="s">
        <v>98</v>
      </c>
      <c r="BL78" s="219" t="s">
        <v>98</v>
      </c>
      <c r="BM78" s="656" t="s">
        <v>422</v>
      </c>
      <c r="BN78" s="111" t="s">
        <v>425</v>
      </c>
      <c r="BO78" s="663">
        <v>45943</v>
      </c>
      <c r="BP78" s="664">
        <v>0.68125000000000002</v>
      </c>
      <c r="BQ78" s="111" t="s">
        <v>88</v>
      </c>
      <c r="BR78" s="656" t="s">
        <v>422</v>
      </c>
      <c r="BS78" s="663">
        <v>45945</v>
      </c>
      <c r="BT78" s="664">
        <v>0.71944444444444444</v>
      </c>
      <c r="BU78" s="111" t="s">
        <v>88</v>
      </c>
      <c r="BV78" s="666">
        <v>318</v>
      </c>
      <c r="BW78" s="690">
        <v>1</v>
      </c>
      <c r="BX78" s="132">
        <v>1</v>
      </c>
      <c r="BY78" s="111"/>
      <c r="BZ78" s="483">
        <v>45943</v>
      </c>
      <c r="CA78" s="483">
        <v>45945</v>
      </c>
      <c r="CB78" s="483"/>
      <c r="CC78" s="111">
        <f>BW78+BX78+BY78</f>
        <v>2</v>
      </c>
      <c r="CD78" s="111" t="s">
        <v>88</v>
      </c>
      <c r="CE78" s="111" t="s">
        <v>88</v>
      </c>
      <c r="CF78" s="111" t="s">
        <v>88</v>
      </c>
      <c r="CG78" s="111" t="s">
        <v>88</v>
      </c>
      <c r="CH78" s="111" t="s">
        <v>88</v>
      </c>
    </row>
    <row r="79" spans="1:86" ht="21.5" hidden="1" customHeight="1">
      <c r="A79" s="989"/>
      <c r="B79" s="977"/>
      <c r="C79" s="977"/>
      <c r="D79" s="977"/>
      <c r="E79" s="990"/>
      <c r="F79" s="982" t="s">
        <v>88</v>
      </c>
      <c r="G79" s="980" t="s">
        <v>88</v>
      </c>
      <c r="H79" s="980" t="s">
        <v>88</v>
      </c>
      <c r="I79" s="985" t="s">
        <v>88</v>
      </c>
      <c r="J79" s="980" t="s">
        <v>88</v>
      </c>
      <c r="K79" s="980" t="s">
        <v>88</v>
      </c>
      <c r="L79" s="980" t="s">
        <v>88</v>
      </c>
      <c r="M79" s="980" t="s">
        <v>88</v>
      </c>
      <c r="N79" s="980" t="s">
        <v>88</v>
      </c>
      <c r="O79" s="980" t="s">
        <v>88</v>
      </c>
      <c r="P79" s="980" t="s">
        <v>88</v>
      </c>
      <c r="Q79" s="980" t="s">
        <v>88</v>
      </c>
      <c r="R79" s="980" t="s">
        <v>88</v>
      </c>
      <c r="S79" s="980" t="s">
        <v>88</v>
      </c>
      <c r="T79" s="1049"/>
      <c r="U79" s="980" t="s">
        <v>88</v>
      </c>
      <c r="V79" s="1024" t="s">
        <v>88</v>
      </c>
      <c r="W79" s="1052"/>
      <c r="X79" s="1052" t="s">
        <v>88</v>
      </c>
      <c r="Y79" s="1021" t="s">
        <v>88</v>
      </c>
      <c r="Z79" s="980" t="s">
        <v>88</v>
      </c>
      <c r="AA79" s="980" t="s">
        <v>88</v>
      </c>
      <c r="AB79" s="1021" t="s">
        <v>88</v>
      </c>
      <c r="AC79" s="1049"/>
      <c r="AD79" s="1049" t="s">
        <v>88</v>
      </c>
      <c r="AE79" s="1049" t="s">
        <v>88</v>
      </c>
      <c r="AF79" s="980" t="s">
        <v>88</v>
      </c>
      <c r="AG79" s="1024" t="s">
        <v>88</v>
      </c>
      <c r="AH79" s="980" t="s">
        <v>88</v>
      </c>
      <c r="AI79" s="980" t="s">
        <v>88</v>
      </c>
      <c r="AJ79" s="980" t="s">
        <v>88</v>
      </c>
      <c r="AK79" s="980" t="s">
        <v>88</v>
      </c>
      <c r="AL79" s="980" t="s">
        <v>88</v>
      </c>
      <c r="AM79" s="980" t="s">
        <v>88</v>
      </c>
      <c r="AN79" s="1053"/>
      <c r="AO79" s="1053" t="s">
        <v>88</v>
      </c>
      <c r="AP79" s="1053" t="s">
        <v>88</v>
      </c>
      <c r="AQ79" s="980" t="s">
        <v>88</v>
      </c>
      <c r="AR79" s="980" t="s">
        <v>88</v>
      </c>
      <c r="AS79" s="980" t="s">
        <v>88</v>
      </c>
      <c r="AT79" s="331" t="s">
        <v>832</v>
      </c>
      <c r="AU79" s="331" t="s">
        <v>833</v>
      </c>
      <c r="AV79" s="331" t="s">
        <v>951</v>
      </c>
      <c r="AW79" s="334" t="s">
        <v>839</v>
      </c>
      <c r="AX79" s="334" t="s">
        <v>840</v>
      </c>
      <c r="AY79" s="331" t="s">
        <v>97</v>
      </c>
      <c r="AZ79" s="334" t="s">
        <v>154</v>
      </c>
      <c r="BA79" s="334" t="s">
        <v>422</v>
      </c>
      <c r="BB79" s="333">
        <v>45943</v>
      </c>
      <c r="BC79" s="334" t="s">
        <v>841</v>
      </c>
      <c r="BD79" s="334" t="s">
        <v>422</v>
      </c>
      <c r="BE79" s="333">
        <v>45945</v>
      </c>
      <c r="BF79" s="334" t="s">
        <v>842</v>
      </c>
      <c r="BG79" s="331" t="s">
        <v>97</v>
      </c>
      <c r="BH79" s="331" t="s">
        <v>88</v>
      </c>
      <c r="BI79" s="111" t="s">
        <v>98</v>
      </c>
      <c r="BJ79" s="111" t="s">
        <v>98</v>
      </c>
      <c r="BK79" s="111" t="s">
        <v>98</v>
      </c>
      <c r="BL79" s="111" t="s">
        <v>98</v>
      </c>
      <c r="BM79" s="656" t="s">
        <v>422</v>
      </c>
      <c r="BN79" s="111" t="s">
        <v>425</v>
      </c>
      <c r="BO79" s="663">
        <v>45943</v>
      </c>
      <c r="BP79" s="692">
        <v>0.66319444444444442</v>
      </c>
      <c r="BQ79" s="111" t="s">
        <v>813</v>
      </c>
      <c r="BR79" s="656" t="s">
        <v>422</v>
      </c>
      <c r="BS79" s="663">
        <v>45945</v>
      </c>
      <c r="BT79" s="692">
        <v>0.61319444444444449</v>
      </c>
      <c r="BU79" s="111" t="s">
        <v>843</v>
      </c>
      <c r="BV79" s="746" t="s">
        <v>88</v>
      </c>
      <c r="BW79" s="690">
        <v>1</v>
      </c>
      <c r="BX79" s="132">
        <v>1</v>
      </c>
      <c r="BY79" s="111"/>
      <c r="BZ79" s="483">
        <v>45943</v>
      </c>
      <c r="CA79" s="483">
        <v>45945</v>
      </c>
      <c r="CB79" s="111"/>
      <c r="CC79" s="111">
        <f>BW79+BX79+BY79</f>
        <v>2</v>
      </c>
      <c r="CD79" s="111" t="s">
        <v>88</v>
      </c>
      <c r="CE79" s="111" t="s">
        <v>88</v>
      </c>
      <c r="CF79" s="111" t="s">
        <v>88</v>
      </c>
      <c r="CG79" s="111" t="s">
        <v>88</v>
      </c>
      <c r="CH79" s="111" t="s">
        <v>88</v>
      </c>
    </row>
    <row r="80" spans="1:86" ht="21.5" hidden="1" customHeight="1">
      <c r="A80" s="989"/>
      <c r="B80" s="977"/>
      <c r="C80" s="977"/>
      <c r="D80" s="977"/>
      <c r="E80" s="990"/>
      <c r="F80" s="982" t="s">
        <v>88</v>
      </c>
      <c r="G80" s="980" t="s">
        <v>88</v>
      </c>
      <c r="H80" s="980" t="s">
        <v>88</v>
      </c>
      <c r="I80" s="985" t="s">
        <v>88</v>
      </c>
      <c r="J80" s="980" t="s">
        <v>88</v>
      </c>
      <c r="K80" s="980" t="s">
        <v>88</v>
      </c>
      <c r="L80" s="980" t="s">
        <v>88</v>
      </c>
      <c r="M80" s="980" t="s">
        <v>88</v>
      </c>
      <c r="N80" s="980" t="s">
        <v>88</v>
      </c>
      <c r="O80" s="980" t="s">
        <v>88</v>
      </c>
      <c r="P80" s="980" t="s">
        <v>88</v>
      </c>
      <c r="Q80" s="980" t="s">
        <v>88</v>
      </c>
      <c r="R80" s="980" t="s">
        <v>88</v>
      </c>
      <c r="S80" s="980" t="s">
        <v>88</v>
      </c>
      <c r="T80" s="1049"/>
      <c r="U80" s="980" t="s">
        <v>88</v>
      </c>
      <c r="V80" s="1024" t="s">
        <v>88</v>
      </c>
      <c r="W80" s="1052"/>
      <c r="X80" s="1052" t="s">
        <v>88</v>
      </c>
      <c r="Y80" s="1021" t="s">
        <v>88</v>
      </c>
      <c r="Z80" s="980" t="s">
        <v>88</v>
      </c>
      <c r="AA80" s="980" t="s">
        <v>88</v>
      </c>
      <c r="AB80" s="1021" t="s">
        <v>88</v>
      </c>
      <c r="AC80" s="1049"/>
      <c r="AD80" s="1049" t="s">
        <v>88</v>
      </c>
      <c r="AE80" s="1049" t="s">
        <v>88</v>
      </c>
      <c r="AF80" s="980" t="s">
        <v>88</v>
      </c>
      <c r="AG80" s="1024" t="s">
        <v>88</v>
      </c>
      <c r="AH80" s="980" t="s">
        <v>88</v>
      </c>
      <c r="AI80" s="980" t="s">
        <v>88</v>
      </c>
      <c r="AJ80" s="980" t="s">
        <v>88</v>
      </c>
      <c r="AK80" s="980" t="s">
        <v>88</v>
      </c>
      <c r="AL80" s="980" t="s">
        <v>88</v>
      </c>
      <c r="AM80" s="980" t="s">
        <v>88</v>
      </c>
      <c r="AN80" s="1053"/>
      <c r="AO80" s="1053" t="s">
        <v>88</v>
      </c>
      <c r="AP80" s="1053" t="s">
        <v>88</v>
      </c>
      <c r="AQ80" s="980" t="s">
        <v>88</v>
      </c>
      <c r="AR80" s="980" t="s">
        <v>88</v>
      </c>
      <c r="AS80" s="980" t="s">
        <v>88</v>
      </c>
      <c r="AT80" s="959" t="s">
        <v>952</v>
      </c>
      <c r="AU80" s="959" t="s">
        <v>953</v>
      </c>
      <c r="AV80" s="959" t="s">
        <v>954</v>
      </c>
      <c r="AW80" s="960" t="s">
        <v>88</v>
      </c>
      <c r="AX80" s="959" t="s">
        <v>88</v>
      </c>
      <c r="AY80" s="959" t="s">
        <v>97</v>
      </c>
      <c r="AZ80" s="959" t="s">
        <v>88</v>
      </c>
      <c r="BA80" s="959" t="s">
        <v>88</v>
      </c>
      <c r="BB80" s="959" t="s">
        <v>88</v>
      </c>
      <c r="BC80" s="959" t="s">
        <v>88</v>
      </c>
      <c r="BD80" s="959" t="s">
        <v>88</v>
      </c>
      <c r="BE80" s="959" t="s">
        <v>88</v>
      </c>
      <c r="BF80" s="959" t="s">
        <v>88</v>
      </c>
      <c r="BG80" s="959" t="s">
        <v>97</v>
      </c>
      <c r="BH80" s="959" t="s">
        <v>88</v>
      </c>
      <c r="BI80" s="446" t="s">
        <v>88</v>
      </c>
      <c r="BJ80" s="446" t="s">
        <v>88</v>
      </c>
      <c r="BK80" s="446" t="s">
        <v>88</v>
      </c>
      <c r="BL80" s="953" t="s">
        <v>88</v>
      </c>
      <c r="BM80" s="446" t="s">
        <v>88</v>
      </c>
      <c r="BN80" s="446" t="s">
        <v>88</v>
      </c>
      <c r="BO80" s="446" t="s">
        <v>88</v>
      </c>
      <c r="BP80" s="446" t="s">
        <v>88</v>
      </c>
      <c r="BQ80" s="446" t="s">
        <v>88</v>
      </c>
      <c r="BR80" s="446" t="s">
        <v>88</v>
      </c>
      <c r="BS80" s="446" t="s">
        <v>88</v>
      </c>
      <c r="BT80" s="446" t="s">
        <v>88</v>
      </c>
      <c r="BU80" s="446" t="s">
        <v>88</v>
      </c>
      <c r="BV80" s="446" t="s">
        <v>88</v>
      </c>
      <c r="BW80" s="775"/>
      <c r="BX80" s="446"/>
      <c r="BY80" s="111"/>
      <c r="BZ80" s="111" t="s">
        <v>88</v>
      </c>
      <c r="CA80" s="111" t="s">
        <v>88</v>
      </c>
      <c r="CB80" s="111"/>
      <c r="CC80" s="111" t="s">
        <v>88</v>
      </c>
      <c r="CD80" s="111" t="s">
        <v>88</v>
      </c>
      <c r="CE80" s="111" t="s">
        <v>88</v>
      </c>
      <c r="CF80" s="111" t="s">
        <v>88</v>
      </c>
      <c r="CG80" s="111" t="s">
        <v>88</v>
      </c>
      <c r="CH80" s="111" t="s">
        <v>88</v>
      </c>
    </row>
    <row r="81" spans="1:86" ht="21.5" customHeight="1">
      <c r="A81" s="988">
        <v>45944</v>
      </c>
      <c r="B81" s="977" t="s">
        <v>779</v>
      </c>
      <c r="C81" s="976">
        <v>45943</v>
      </c>
      <c r="D81" s="972">
        <v>45945</v>
      </c>
      <c r="E81" s="990">
        <v>2522</v>
      </c>
      <c r="F81" s="1054" t="s">
        <v>957</v>
      </c>
      <c r="G81" s="972" t="s">
        <v>167</v>
      </c>
      <c r="H81" s="972" t="s">
        <v>102</v>
      </c>
      <c r="I81" s="1055">
        <v>229523092522</v>
      </c>
      <c r="J81" s="972" t="s">
        <v>97</v>
      </c>
      <c r="K81" s="972" t="s">
        <v>90</v>
      </c>
      <c r="L81" s="972" t="s">
        <v>91</v>
      </c>
      <c r="M81" s="972" t="s">
        <v>88</v>
      </c>
      <c r="N81" s="972" t="s">
        <v>958</v>
      </c>
      <c r="O81" s="1051" t="s">
        <v>959</v>
      </c>
      <c r="P81" s="972" t="s">
        <v>960</v>
      </c>
      <c r="Q81" s="972" t="s">
        <v>461</v>
      </c>
      <c r="R81" s="972" t="s">
        <v>961</v>
      </c>
      <c r="S81" s="972" t="s">
        <v>110</v>
      </c>
      <c r="T81" s="1056" t="s">
        <v>962</v>
      </c>
      <c r="U81" s="972" t="s">
        <v>97</v>
      </c>
      <c r="V81" s="1024">
        <v>3</v>
      </c>
      <c r="W81" s="972" t="s">
        <v>963</v>
      </c>
      <c r="X81" s="972" t="s">
        <v>964</v>
      </c>
      <c r="Y81" s="1050" t="s">
        <v>965</v>
      </c>
      <c r="Z81" s="972" t="s">
        <v>966</v>
      </c>
      <c r="AA81" s="972" t="s">
        <v>967</v>
      </c>
      <c r="AB81" s="1050" t="s">
        <v>968</v>
      </c>
      <c r="AC81" s="972" t="s">
        <v>969</v>
      </c>
      <c r="AD81" s="972" t="s">
        <v>970</v>
      </c>
      <c r="AE81" s="1050" t="s">
        <v>971</v>
      </c>
      <c r="AF81" s="972" t="s">
        <v>97</v>
      </c>
      <c r="AG81" s="1024">
        <v>3</v>
      </c>
      <c r="AH81" s="975" t="s">
        <v>963</v>
      </c>
      <c r="AI81" s="975" t="s">
        <v>964</v>
      </c>
      <c r="AJ81" s="1051" t="s">
        <v>965</v>
      </c>
      <c r="AK81" s="975" t="s">
        <v>966</v>
      </c>
      <c r="AL81" s="975" t="s">
        <v>967</v>
      </c>
      <c r="AM81" s="1051" t="s">
        <v>968</v>
      </c>
      <c r="AN81" s="975" t="s">
        <v>969</v>
      </c>
      <c r="AO81" s="975" t="s">
        <v>970</v>
      </c>
      <c r="AP81" s="1051" t="s">
        <v>971</v>
      </c>
      <c r="AQ81" s="972" t="s">
        <v>376</v>
      </c>
      <c r="AR81" s="972" t="s">
        <v>88</v>
      </c>
      <c r="AS81" s="979" t="s">
        <v>972</v>
      </c>
      <c r="AT81" s="331" t="s">
        <v>963</v>
      </c>
      <c r="AU81" s="331" t="s">
        <v>964</v>
      </c>
      <c r="AV81" s="343" t="s">
        <v>965</v>
      </c>
      <c r="AW81" s="332">
        <v>393770875513</v>
      </c>
      <c r="AX81" s="331" t="s">
        <v>973</v>
      </c>
      <c r="AY81" s="331" t="s">
        <v>97</v>
      </c>
      <c r="AZ81" s="331" t="s">
        <v>121</v>
      </c>
      <c r="BA81" s="331" t="s">
        <v>974</v>
      </c>
      <c r="BB81" s="333">
        <v>45943</v>
      </c>
      <c r="BC81" s="331" t="s">
        <v>444</v>
      </c>
      <c r="BD81" s="331" t="s">
        <v>974</v>
      </c>
      <c r="BE81" s="333">
        <v>45945</v>
      </c>
      <c r="BF81" s="331" t="s">
        <v>975</v>
      </c>
      <c r="BG81" s="331" t="s">
        <v>97</v>
      </c>
      <c r="BH81" s="331" t="s">
        <v>976</v>
      </c>
      <c r="BI81" s="132" t="s">
        <v>98</v>
      </c>
      <c r="BJ81" s="132" t="s">
        <v>98</v>
      </c>
      <c r="BK81" s="132" t="s">
        <v>98</v>
      </c>
      <c r="BL81" s="667" t="s">
        <v>98</v>
      </c>
      <c r="BM81" s="113" t="s">
        <v>974</v>
      </c>
      <c r="BN81" s="29" t="s">
        <v>126</v>
      </c>
      <c r="BO81" s="658">
        <v>45943</v>
      </c>
      <c r="BP81" s="659">
        <v>0.44097222222222221</v>
      </c>
      <c r="BQ81" s="660" t="s">
        <v>977</v>
      </c>
      <c r="BR81" s="113" t="s">
        <v>974</v>
      </c>
      <c r="BS81" s="658">
        <v>45945</v>
      </c>
      <c r="BT81" s="659">
        <v>0.75347222222222221</v>
      </c>
      <c r="BU81" s="660" t="s">
        <v>904</v>
      </c>
      <c r="BV81" s="662">
        <v>545.27</v>
      </c>
      <c r="BW81" s="690">
        <v>1</v>
      </c>
      <c r="BX81" s="132">
        <v>1</v>
      </c>
      <c r="BY81" s="111"/>
      <c r="BZ81" s="483">
        <v>45943</v>
      </c>
      <c r="CA81" s="483">
        <v>45945</v>
      </c>
      <c r="CB81" s="483"/>
      <c r="CC81" s="111">
        <f>BW81+BX81+BY81</f>
        <v>2</v>
      </c>
      <c r="CD81" s="111" t="s">
        <v>88</v>
      </c>
      <c r="CE81" s="111" t="s">
        <v>88</v>
      </c>
      <c r="CF81" s="111" t="s">
        <v>88</v>
      </c>
      <c r="CG81" s="111" t="s">
        <v>88</v>
      </c>
      <c r="CH81" s="111" t="s">
        <v>88</v>
      </c>
    </row>
    <row r="82" spans="1:86" ht="21.5" hidden="1" customHeight="1">
      <c r="A82" s="989"/>
      <c r="B82" s="977"/>
      <c r="C82" s="977"/>
      <c r="D82" s="972"/>
      <c r="E82" s="990"/>
      <c r="F82" s="1054" t="s">
        <v>88</v>
      </c>
      <c r="G82" s="972" t="s">
        <v>88</v>
      </c>
      <c r="H82" s="972" t="s">
        <v>88</v>
      </c>
      <c r="I82" s="1055" t="s">
        <v>88</v>
      </c>
      <c r="J82" s="972" t="s">
        <v>88</v>
      </c>
      <c r="K82" s="972" t="s">
        <v>88</v>
      </c>
      <c r="L82" s="972" t="s">
        <v>88</v>
      </c>
      <c r="M82" s="972" t="s">
        <v>88</v>
      </c>
      <c r="N82" s="972" t="s">
        <v>88</v>
      </c>
      <c r="O82" s="1051" t="s">
        <v>88</v>
      </c>
      <c r="P82" s="972" t="s">
        <v>88</v>
      </c>
      <c r="Q82" s="972" t="s">
        <v>88</v>
      </c>
      <c r="R82" s="972" t="s">
        <v>88</v>
      </c>
      <c r="S82" s="972" t="s">
        <v>88</v>
      </c>
      <c r="T82" s="1056"/>
      <c r="U82" s="972" t="s">
        <v>88</v>
      </c>
      <c r="V82" s="1024" t="s">
        <v>88</v>
      </c>
      <c r="W82" s="972" t="s">
        <v>88</v>
      </c>
      <c r="X82" s="972" t="s">
        <v>88</v>
      </c>
      <c r="Y82" s="1050" t="s">
        <v>88</v>
      </c>
      <c r="Z82" s="972" t="s">
        <v>88</v>
      </c>
      <c r="AA82" s="972" t="s">
        <v>88</v>
      </c>
      <c r="AB82" s="1050" t="s">
        <v>88</v>
      </c>
      <c r="AC82" s="972" t="s">
        <v>88</v>
      </c>
      <c r="AD82" s="972" t="s">
        <v>88</v>
      </c>
      <c r="AE82" s="1050" t="s">
        <v>88</v>
      </c>
      <c r="AF82" s="972" t="s">
        <v>88</v>
      </c>
      <c r="AG82" s="1024" t="s">
        <v>88</v>
      </c>
      <c r="AH82" s="975" t="s">
        <v>88</v>
      </c>
      <c r="AI82" s="975" t="s">
        <v>88</v>
      </c>
      <c r="AJ82" s="1051" t="s">
        <v>88</v>
      </c>
      <c r="AK82" s="975" t="s">
        <v>88</v>
      </c>
      <c r="AL82" s="975" t="s">
        <v>88</v>
      </c>
      <c r="AM82" s="1051" t="s">
        <v>88</v>
      </c>
      <c r="AN82" s="975" t="s">
        <v>88</v>
      </c>
      <c r="AO82" s="975" t="s">
        <v>88</v>
      </c>
      <c r="AP82" s="1051" t="s">
        <v>88</v>
      </c>
      <c r="AQ82" s="972" t="s">
        <v>88</v>
      </c>
      <c r="AR82" s="972" t="s">
        <v>88</v>
      </c>
      <c r="AS82" s="980" t="s">
        <v>88</v>
      </c>
      <c r="AT82" s="923" t="s">
        <v>966</v>
      </c>
      <c r="AU82" s="923" t="s">
        <v>967</v>
      </c>
      <c r="AV82" s="924" t="s">
        <v>968</v>
      </c>
      <c r="AW82" s="920">
        <v>4915221565714</v>
      </c>
      <c r="AX82" s="920" t="s">
        <v>978</v>
      </c>
      <c r="AY82" s="923" t="s">
        <v>89</v>
      </c>
      <c r="AZ82" s="923" t="s">
        <v>88</v>
      </c>
      <c r="BA82" s="923" t="s">
        <v>88</v>
      </c>
      <c r="BB82" s="911">
        <v>45943</v>
      </c>
      <c r="BC82" s="906" t="s">
        <v>444</v>
      </c>
      <c r="BD82" s="906" t="s">
        <v>974</v>
      </c>
      <c r="BE82" s="911">
        <v>45945</v>
      </c>
      <c r="BF82" s="923" t="s">
        <v>88</v>
      </c>
      <c r="BG82" s="925" t="s">
        <v>97</v>
      </c>
      <c r="BH82" s="923" t="s">
        <v>88</v>
      </c>
      <c r="BI82" s="111" t="s">
        <v>88</v>
      </c>
      <c r="BJ82" s="111" t="s">
        <v>88</v>
      </c>
      <c r="BK82" s="111" t="s">
        <v>88</v>
      </c>
      <c r="BL82" s="219" t="s">
        <v>88</v>
      </c>
      <c r="BM82" s="747" t="s">
        <v>88</v>
      </c>
      <c r="BN82" s="747" t="s">
        <v>88</v>
      </c>
      <c r="BO82" s="747" t="s">
        <v>88</v>
      </c>
      <c r="BP82" s="747" t="s">
        <v>88</v>
      </c>
      <c r="BQ82" s="747" t="s">
        <v>88</v>
      </c>
      <c r="BR82" s="747" t="s">
        <v>88</v>
      </c>
      <c r="BS82" s="747" t="s">
        <v>88</v>
      </c>
      <c r="BT82" s="747" t="s">
        <v>88</v>
      </c>
      <c r="BU82" s="747" t="s">
        <v>88</v>
      </c>
      <c r="BV82" s="747" t="s">
        <v>88</v>
      </c>
      <c r="BW82" s="690">
        <v>1</v>
      </c>
      <c r="BX82" s="132">
        <v>1</v>
      </c>
      <c r="BY82" s="111"/>
      <c r="BZ82" s="483">
        <v>45943</v>
      </c>
      <c r="CA82" s="483">
        <v>45945</v>
      </c>
      <c r="CB82" s="111"/>
      <c r="CC82" s="111">
        <f>BW82+BX82+BY82</f>
        <v>2</v>
      </c>
      <c r="CD82" s="111" t="s">
        <v>88</v>
      </c>
      <c r="CE82" s="111" t="s">
        <v>88</v>
      </c>
      <c r="CF82" s="111" t="s">
        <v>88</v>
      </c>
      <c r="CG82" s="111" t="s">
        <v>88</v>
      </c>
      <c r="CH82" s="111" t="s">
        <v>88</v>
      </c>
    </row>
    <row r="83" spans="1:86" ht="21.5" hidden="1" customHeight="1">
      <c r="A83" s="989"/>
      <c r="B83" s="977"/>
      <c r="C83" s="977"/>
      <c r="D83" s="972"/>
      <c r="E83" s="990"/>
      <c r="F83" s="1054" t="s">
        <v>88</v>
      </c>
      <c r="G83" s="972" t="s">
        <v>88</v>
      </c>
      <c r="H83" s="972" t="s">
        <v>88</v>
      </c>
      <c r="I83" s="1055" t="s">
        <v>88</v>
      </c>
      <c r="J83" s="972" t="s">
        <v>88</v>
      </c>
      <c r="K83" s="972" t="s">
        <v>88</v>
      </c>
      <c r="L83" s="972" t="s">
        <v>88</v>
      </c>
      <c r="M83" s="972" t="s">
        <v>88</v>
      </c>
      <c r="N83" s="972" t="s">
        <v>88</v>
      </c>
      <c r="O83" s="1051" t="s">
        <v>88</v>
      </c>
      <c r="P83" s="972" t="s">
        <v>88</v>
      </c>
      <c r="Q83" s="972" t="s">
        <v>88</v>
      </c>
      <c r="R83" s="972" t="s">
        <v>88</v>
      </c>
      <c r="S83" s="972" t="s">
        <v>88</v>
      </c>
      <c r="T83" s="1056"/>
      <c r="U83" s="972" t="s">
        <v>88</v>
      </c>
      <c r="V83" s="1024" t="s">
        <v>88</v>
      </c>
      <c r="W83" s="972" t="s">
        <v>88</v>
      </c>
      <c r="X83" s="972" t="s">
        <v>88</v>
      </c>
      <c r="Y83" s="1050" t="s">
        <v>88</v>
      </c>
      <c r="Z83" s="972" t="s">
        <v>88</v>
      </c>
      <c r="AA83" s="972" t="s">
        <v>88</v>
      </c>
      <c r="AB83" s="1050" t="s">
        <v>88</v>
      </c>
      <c r="AC83" s="972" t="s">
        <v>88</v>
      </c>
      <c r="AD83" s="972" t="s">
        <v>88</v>
      </c>
      <c r="AE83" s="1050" t="s">
        <v>88</v>
      </c>
      <c r="AF83" s="972" t="s">
        <v>88</v>
      </c>
      <c r="AG83" s="1024" t="s">
        <v>88</v>
      </c>
      <c r="AH83" s="975" t="s">
        <v>88</v>
      </c>
      <c r="AI83" s="975" t="s">
        <v>88</v>
      </c>
      <c r="AJ83" s="1051" t="s">
        <v>88</v>
      </c>
      <c r="AK83" s="975" t="s">
        <v>88</v>
      </c>
      <c r="AL83" s="975" t="s">
        <v>88</v>
      </c>
      <c r="AM83" s="1051" t="s">
        <v>88</v>
      </c>
      <c r="AN83" s="975" t="s">
        <v>88</v>
      </c>
      <c r="AO83" s="975" t="s">
        <v>88</v>
      </c>
      <c r="AP83" s="1051" t="s">
        <v>88</v>
      </c>
      <c r="AQ83" s="972" t="s">
        <v>88</v>
      </c>
      <c r="AR83" s="972" t="s">
        <v>88</v>
      </c>
      <c r="AS83" s="980" t="s">
        <v>88</v>
      </c>
      <c r="AT83" s="331" t="s">
        <v>969</v>
      </c>
      <c r="AU83" s="331" t="s">
        <v>970</v>
      </c>
      <c r="AV83" s="343" t="s">
        <v>979</v>
      </c>
      <c r="AW83" s="340">
        <v>31621703863</v>
      </c>
      <c r="AX83" s="340" t="s">
        <v>803</v>
      </c>
      <c r="AY83" s="331" t="s">
        <v>97</v>
      </c>
      <c r="AZ83" s="340" t="s">
        <v>154</v>
      </c>
      <c r="BA83" s="340" t="s">
        <v>980</v>
      </c>
      <c r="BB83" s="333">
        <v>45943</v>
      </c>
      <c r="BC83" s="607">
        <v>0.375</v>
      </c>
      <c r="BD83" s="340" t="s">
        <v>384</v>
      </c>
      <c r="BE83" s="333">
        <v>45945</v>
      </c>
      <c r="BF83" s="340" t="s">
        <v>981</v>
      </c>
      <c r="BG83" s="347" t="s">
        <v>97</v>
      </c>
      <c r="BH83" s="331" t="s">
        <v>88</v>
      </c>
      <c r="BI83" s="111" t="s">
        <v>98</v>
      </c>
      <c r="BJ83" s="111" t="s">
        <v>88</v>
      </c>
      <c r="BK83" s="111" t="s">
        <v>88</v>
      </c>
      <c r="BL83" s="219" t="s">
        <v>88</v>
      </c>
      <c r="BM83" s="519" t="s">
        <v>980</v>
      </c>
      <c r="BN83" s="111" t="s">
        <v>425</v>
      </c>
      <c r="BO83" s="111" t="s">
        <v>88</v>
      </c>
      <c r="BP83" s="111" t="s">
        <v>88</v>
      </c>
      <c r="BQ83" s="111" t="s">
        <v>88</v>
      </c>
      <c r="BR83" s="519" t="s">
        <v>980</v>
      </c>
      <c r="BS83" s="111" t="s">
        <v>88</v>
      </c>
      <c r="BT83" s="111" t="s">
        <v>88</v>
      </c>
      <c r="BU83" s="111" t="s">
        <v>88</v>
      </c>
      <c r="BV83" s="111" t="s">
        <v>88</v>
      </c>
      <c r="BW83" s="773"/>
      <c r="BX83" s="737"/>
      <c r="BY83" s="111"/>
      <c r="BZ83" s="111" t="s">
        <v>88</v>
      </c>
      <c r="CA83" s="111" t="s">
        <v>88</v>
      </c>
      <c r="CB83" s="111"/>
      <c r="CC83" s="111" t="s">
        <v>88</v>
      </c>
      <c r="CD83" s="111" t="s">
        <v>88</v>
      </c>
      <c r="CE83" s="111" t="s">
        <v>88</v>
      </c>
      <c r="CF83" s="111" t="s">
        <v>88</v>
      </c>
      <c r="CG83" s="111" t="s">
        <v>88</v>
      </c>
      <c r="CH83" s="111" t="s">
        <v>88</v>
      </c>
    </row>
    <row r="84" spans="1:86" ht="56.5" hidden="1" customHeight="1">
      <c r="A84" s="238">
        <v>45944</v>
      </c>
      <c r="B84" s="237" t="s">
        <v>982</v>
      </c>
      <c r="C84" s="238">
        <v>45943</v>
      </c>
      <c r="D84" s="238">
        <v>45945</v>
      </c>
      <c r="E84" s="239">
        <v>2526</v>
      </c>
      <c r="F84" s="240" t="s">
        <v>983</v>
      </c>
      <c r="G84" s="237" t="s">
        <v>135</v>
      </c>
      <c r="H84" s="237" t="s">
        <v>87</v>
      </c>
      <c r="I84" s="241" t="s">
        <v>88</v>
      </c>
      <c r="J84" s="237" t="s">
        <v>89</v>
      </c>
      <c r="K84" s="237" t="s">
        <v>984</v>
      </c>
      <c r="L84" s="237" t="s">
        <v>318</v>
      </c>
      <c r="M84" s="237" t="s">
        <v>88</v>
      </c>
      <c r="N84" s="237" t="s">
        <v>985</v>
      </c>
      <c r="O84" s="237" t="s">
        <v>986</v>
      </c>
      <c r="P84" s="237" t="s">
        <v>987</v>
      </c>
      <c r="Q84" s="237" t="s">
        <v>570</v>
      </c>
      <c r="R84" s="237" t="s">
        <v>988</v>
      </c>
      <c r="S84" s="111" t="s">
        <v>88</v>
      </c>
      <c r="T84" s="111" t="s">
        <v>88</v>
      </c>
      <c r="U84" s="111" t="s">
        <v>88</v>
      </c>
      <c r="V84" s="243" t="s">
        <v>88</v>
      </c>
      <c r="W84" s="111" t="s">
        <v>88</v>
      </c>
      <c r="X84" s="111" t="s">
        <v>88</v>
      </c>
      <c r="Y84" s="111" t="s">
        <v>88</v>
      </c>
      <c r="Z84" s="111" t="s">
        <v>88</v>
      </c>
      <c r="AA84" s="111" t="s">
        <v>88</v>
      </c>
      <c r="AB84" s="111" t="s">
        <v>88</v>
      </c>
      <c r="AC84" s="111" t="s">
        <v>88</v>
      </c>
      <c r="AD84" s="111" t="s">
        <v>88</v>
      </c>
      <c r="AE84" s="111" t="s">
        <v>88</v>
      </c>
      <c r="AF84" s="111" t="s">
        <v>88</v>
      </c>
      <c r="AG84" s="244" t="s">
        <v>88</v>
      </c>
      <c r="AH84" s="111" t="s">
        <v>88</v>
      </c>
      <c r="AI84" s="111" t="s">
        <v>88</v>
      </c>
      <c r="AJ84" s="111" t="s">
        <v>88</v>
      </c>
      <c r="AK84" s="111" t="s">
        <v>88</v>
      </c>
      <c r="AL84" s="111" t="s">
        <v>88</v>
      </c>
      <c r="AM84" s="111" t="s">
        <v>88</v>
      </c>
      <c r="AN84" s="111" t="s">
        <v>88</v>
      </c>
      <c r="AO84" s="111" t="s">
        <v>88</v>
      </c>
      <c r="AP84" s="111" t="s">
        <v>88</v>
      </c>
      <c r="AQ84" s="111" t="s">
        <v>88</v>
      </c>
      <c r="AR84" s="111" t="s">
        <v>88</v>
      </c>
      <c r="AS84" s="111" t="s">
        <v>88</v>
      </c>
      <c r="AT84" s="456"/>
      <c r="AU84" s="456"/>
      <c r="AV84" s="456"/>
      <c r="AW84" s="938" t="s">
        <v>88</v>
      </c>
      <c r="AX84" s="456" t="s">
        <v>88</v>
      </c>
      <c r="AY84" s="456"/>
      <c r="AZ84" s="456"/>
      <c r="BA84" s="456"/>
      <c r="BB84" s="456"/>
      <c r="BC84" s="456"/>
      <c r="BD84" s="456"/>
      <c r="BE84" s="456"/>
      <c r="BF84" s="456"/>
      <c r="BG84" s="456"/>
      <c r="BH84" s="456" t="s">
        <v>88</v>
      </c>
      <c r="BI84" s="456" t="s">
        <v>88</v>
      </c>
      <c r="BJ84" s="456" t="s">
        <v>88</v>
      </c>
      <c r="BK84" s="456" t="s">
        <v>88</v>
      </c>
      <c r="BL84" s="456" t="s">
        <v>88</v>
      </c>
      <c r="BM84" s="939" t="s">
        <v>88</v>
      </c>
      <c r="BN84" s="943" t="s">
        <v>88</v>
      </c>
      <c r="BO84" s="943" t="s">
        <v>88</v>
      </c>
      <c r="BP84" s="943" t="s">
        <v>88</v>
      </c>
      <c r="BQ84" s="943" t="s">
        <v>88</v>
      </c>
      <c r="BR84" s="943" t="s">
        <v>88</v>
      </c>
      <c r="BS84" s="943" t="s">
        <v>88</v>
      </c>
      <c r="BT84" s="943" t="s">
        <v>88</v>
      </c>
      <c r="BU84" s="943" t="s">
        <v>88</v>
      </c>
      <c r="BV84" s="943" t="s">
        <v>88</v>
      </c>
      <c r="BW84" s="456"/>
      <c r="BX84" s="456"/>
      <c r="BY84" s="456"/>
      <c r="BZ84" s="456" t="s">
        <v>88</v>
      </c>
      <c r="CA84" s="456" t="s">
        <v>88</v>
      </c>
      <c r="CB84" s="456"/>
      <c r="CC84" s="456" t="s">
        <v>88</v>
      </c>
      <c r="CD84" s="456" t="s">
        <v>88</v>
      </c>
      <c r="CE84" s="456" t="s">
        <v>88</v>
      </c>
      <c r="CF84" s="456" t="s">
        <v>88</v>
      </c>
      <c r="CG84" s="456" t="s">
        <v>88</v>
      </c>
      <c r="CH84" s="456" t="s">
        <v>88</v>
      </c>
    </row>
    <row r="85" spans="1:86" ht="17.25" customHeight="1">
      <c r="A85" s="996">
        <v>45944</v>
      </c>
      <c r="B85" s="969" t="s">
        <v>357</v>
      </c>
      <c r="C85" s="975">
        <v>45943</v>
      </c>
      <c r="D85" s="975">
        <v>45945</v>
      </c>
      <c r="E85" s="974">
        <v>2535</v>
      </c>
      <c r="F85" s="971" t="s">
        <v>989</v>
      </c>
      <c r="G85" s="975" t="s">
        <v>86</v>
      </c>
      <c r="H85" s="975" t="s">
        <v>87</v>
      </c>
      <c r="I85" s="975" t="s">
        <v>88</v>
      </c>
      <c r="J85" s="975" t="s">
        <v>89</v>
      </c>
      <c r="K85" s="975" t="s">
        <v>602</v>
      </c>
      <c r="L85" s="975" t="s">
        <v>318</v>
      </c>
      <c r="M85" s="975" t="s">
        <v>88</v>
      </c>
      <c r="N85" s="975" t="s">
        <v>990</v>
      </c>
      <c r="O85" s="975" t="s">
        <v>991</v>
      </c>
      <c r="P85" s="975" t="s">
        <v>602</v>
      </c>
      <c r="Q85" s="975" t="s">
        <v>249</v>
      </c>
      <c r="R85" s="975" t="s">
        <v>88</v>
      </c>
      <c r="S85" s="975" t="s">
        <v>251</v>
      </c>
      <c r="T85" s="974" t="s">
        <v>110</v>
      </c>
      <c r="U85" s="969" t="s">
        <v>97</v>
      </c>
      <c r="V85" s="984">
        <v>1</v>
      </c>
      <c r="W85" s="969" t="s">
        <v>992</v>
      </c>
      <c r="X85" s="969" t="s">
        <v>993</v>
      </c>
      <c r="Y85" s="974" t="s">
        <v>994</v>
      </c>
      <c r="Z85" s="969" t="s">
        <v>995</v>
      </c>
      <c r="AA85" s="969" t="s">
        <v>995</v>
      </c>
      <c r="AB85" s="969" t="s">
        <v>995</v>
      </c>
      <c r="AC85" s="969" t="s">
        <v>995</v>
      </c>
      <c r="AD85" s="969" t="s">
        <v>995</v>
      </c>
      <c r="AE85" s="969" t="s">
        <v>995</v>
      </c>
      <c r="AF85" s="969" t="s">
        <v>97</v>
      </c>
      <c r="AG85" s="969">
        <v>3</v>
      </c>
      <c r="AH85" s="969" t="s">
        <v>996</v>
      </c>
      <c r="AI85" s="969" t="s">
        <v>997</v>
      </c>
      <c r="AJ85" s="983" t="s">
        <v>998</v>
      </c>
      <c r="AK85" s="969" t="s">
        <v>999</v>
      </c>
      <c r="AL85" s="969" t="s">
        <v>1000</v>
      </c>
      <c r="AM85" s="983" t="s">
        <v>1001</v>
      </c>
      <c r="AN85" s="969" t="s">
        <v>992</v>
      </c>
      <c r="AO85" s="969" t="s">
        <v>993</v>
      </c>
      <c r="AP85" s="256" t="s">
        <v>994</v>
      </c>
      <c r="AQ85" s="111" t="s">
        <v>1002</v>
      </c>
      <c r="AR85" s="111" t="s">
        <v>118</v>
      </c>
      <c r="AS85" s="619" t="s">
        <v>1003</v>
      </c>
      <c r="AT85" s="824" t="s">
        <v>992</v>
      </c>
      <c r="AU85" s="603" t="s">
        <v>993</v>
      </c>
      <c r="AV85" s="603" t="s">
        <v>994</v>
      </c>
      <c r="AW85" s="340" t="s">
        <v>1004</v>
      </c>
      <c r="AX85" s="340" t="s">
        <v>1005</v>
      </c>
      <c r="AY85" s="603" t="s">
        <v>1006</v>
      </c>
      <c r="AZ85" s="603" t="s">
        <v>88</v>
      </c>
      <c r="BA85" s="603" t="s">
        <v>88</v>
      </c>
      <c r="BB85" s="823">
        <v>45943</v>
      </c>
      <c r="BC85" s="603" t="s">
        <v>88</v>
      </c>
      <c r="BD85" s="603" t="s">
        <v>88</v>
      </c>
      <c r="BE85" s="823">
        <v>45945</v>
      </c>
      <c r="BF85" s="603" t="s">
        <v>88</v>
      </c>
      <c r="BG85" s="603" t="s">
        <v>97</v>
      </c>
      <c r="BH85" s="340" t="s">
        <v>1007</v>
      </c>
      <c r="BI85" s="132" t="s">
        <v>98</v>
      </c>
      <c r="BJ85" s="132" t="s">
        <v>98</v>
      </c>
      <c r="BK85" s="132" t="s">
        <v>98</v>
      </c>
      <c r="BL85" s="132" t="s">
        <v>98</v>
      </c>
      <c r="BM85" s="456" t="s">
        <v>88</v>
      </c>
      <c r="BN85" s="456" t="s">
        <v>88</v>
      </c>
      <c r="BO85" s="456" t="s">
        <v>88</v>
      </c>
      <c r="BP85" s="456" t="s">
        <v>88</v>
      </c>
      <c r="BQ85" s="456" t="s">
        <v>88</v>
      </c>
      <c r="BR85" s="456" t="s">
        <v>88</v>
      </c>
      <c r="BS85" s="456" t="s">
        <v>88</v>
      </c>
      <c r="BT85" s="456" t="s">
        <v>88</v>
      </c>
      <c r="BU85" s="456" t="s">
        <v>88</v>
      </c>
      <c r="BV85" s="456" t="s">
        <v>88</v>
      </c>
      <c r="BW85" s="690">
        <v>1</v>
      </c>
      <c r="BX85" s="132">
        <v>1</v>
      </c>
      <c r="BY85" s="111"/>
      <c r="BZ85" s="483">
        <v>45943</v>
      </c>
      <c r="CA85" s="483">
        <v>45945</v>
      </c>
      <c r="CB85" s="111"/>
      <c r="CC85" s="111" t="s">
        <v>88</v>
      </c>
      <c r="CD85" s="111" t="s">
        <v>88</v>
      </c>
      <c r="CE85" s="111" t="s">
        <v>88</v>
      </c>
      <c r="CF85" s="111" t="s">
        <v>88</v>
      </c>
      <c r="CG85" s="391" t="s">
        <v>1008</v>
      </c>
      <c r="CH85" s="111" t="s">
        <v>88</v>
      </c>
    </row>
    <row r="86" spans="1:86" ht="15" hidden="1" customHeight="1">
      <c r="A86" s="996"/>
      <c r="B86" s="969"/>
      <c r="C86" s="975"/>
      <c r="D86" s="975"/>
      <c r="E86" s="974"/>
      <c r="F86" s="971"/>
      <c r="G86" s="975"/>
      <c r="H86" s="975"/>
      <c r="I86" s="975"/>
      <c r="J86" s="975"/>
      <c r="K86" s="975"/>
      <c r="L86" s="975"/>
      <c r="M86" s="975"/>
      <c r="N86" s="975"/>
      <c r="O86" s="975"/>
      <c r="P86" s="975"/>
      <c r="Q86" s="975"/>
      <c r="R86" s="975"/>
      <c r="S86" s="975"/>
      <c r="T86" s="974"/>
      <c r="U86" s="969"/>
      <c r="V86" s="984"/>
      <c r="W86" s="969"/>
      <c r="X86" s="969"/>
      <c r="Y86" s="974"/>
      <c r="Z86" s="969"/>
      <c r="AA86" s="969"/>
      <c r="AB86" s="969"/>
      <c r="AC86" s="969"/>
      <c r="AD86" s="969"/>
      <c r="AE86" s="969"/>
      <c r="AF86" s="969"/>
      <c r="AG86" s="969"/>
      <c r="AH86" s="969"/>
      <c r="AI86" s="969"/>
      <c r="AJ86" s="983"/>
      <c r="AK86" s="969"/>
      <c r="AL86" s="969"/>
      <c r="AM86" s="983"/>
      <c r="AN86" s="969"/>
      <c r="AO86" s="969"/>
      <c r="AP86" s="256"/>
      <c r="AQ86" s="111"/>
      <c r="AR86" s="111"/>
      <c r="AS86" s="619" t="s">
        <v>1009</v>
      </c>
      <c r="AT86" s="603" t="s">
        <v>996</v>
      </c>
      <c r="AU86" s="603" t="s">
        <v>997</v>
      </c>
      <c r="AV86" s="343" t="s">
        <v>998</v>
      </c>
      <c r="AW86" s="340" t="s">
        <v>1010</v>
      </c>
      <c r="AX86" s="340" t="s">
        <v>1011</v>
      </c>
      <c r="AY86" s="603" t="s">
        <v>1006</v>
      </c>
      <c r="AZ86" s="603"/>
      <c r="BA86" s="603"/>
      <c r="BB86" s="823">
        <v>45943</v>
      </c>
      <c r="BC86" s="603"/>
      <c r="BD86" s="603"/>
      <c r="BE86" s="823">
        <v>45945</v>
      </c>
      <c r="BF86" s="603"/>
      <c r="BG86" s="603" t="s">
        <v>97</v>
      </c>
      <c r="BH86" s="340" t="s">
        <v>1012</v>
      </c>
      <c r="BI86" s="132" t="s">
        <v>98</v>
      </c>
      <c r="BJ86" s="132" t="s">
        <v>98</v>
      </c>
      <c r="BK86" s="132" t="s">
        <v>98</v>
      </c>
      <c r="BL86" s="132" t="s">
        <v>98</v>
      </c>
      <c r="BM86" s="456"/>
      <c r="BN86" s="456"/>
      <c r="BO86" s="456"/>
      <c r="BP86" s="456"/>
      <c r="BQ86" s="456"/>
      <c r="BR86" s="456"/>
      <c r="BS86" s="456"/>
      <c r="BT86" s="456"/>
      <c r="BU86" s="456"/>
      <c r="BV86" s="456"/>
      <c r="BW86" s="690">
        <v>1</v>
      </c>
      <c r="BX86" s="132">
        <v>1</v>
      </c>
      <c r="BY86" s="111"/>
      <c r="BZ86" s="483">
        <v>45943</v>
      </c>
      <c r="CA86" s="483">
        <v>45945</v>
      </c>
      <c r="CB86" s="111"/>
      <c r="CC86" s="111"/>
      <c r="CD86" s="111"/>
      <c r="CE86" s="111"/>
      <c r="CF86" s="111"/>
      <c r="CG86" s="391" t="s">
        <v>1008</v>
      </c>
      <c r="CH86" s="111"/>
    </row>
    <row r="87" spans="1:86" ht="29.5" hidden="1" customHeight="1">
      <c r="A87" s="996"/>
      <c r="B87" s="969"/>
      <c r="C87" s="975"/>
      <c r="D87" s="975"/>
      <c r="E87" s="974"/>
      <c r="F87" s="971"/>
      <c r="G87" s="975"/>
      <c r="H87" s="975"/>
      <c r="I87" s="975"/>
      <c r="J87" s="975"/>
      <c r="K87" s="975"/>
      <c r="L87" s="975"/>
      <c r="M87" s="975"/>
      <c r="N87" s="975"/>
      <c r="O87" s="975"/>
      <c r="P87" s="975"/>
      <c r="Q87" s="975"/>
      <c r="R87" s="975"/>
      <c r="S87" s="975"/>
      <c r="T87" s="974"/>
      <c r="U87" s="969"/>
      <c r="V87" s="984"/>
      <c r="W87" s="969"/>
      <c r="X87" s="969"/>
      <c r="Y87" s="974"/>
      <c r="Z87" s="969"/>
      <c r="AA87" s="969"/>
      <c r="AB87" s="969"/>
      <c r="AC87" s="969"/>
      <c r="AD87" s="969"/>
      <c r="AE87" s="969"/>
      <c r="AF87" s="969"/>
      <c r="AG87" s="969"/>
      <c r="AH87" s="969"/>
      <c r="AI87" s="969"/>
      <c r="AJ87" s="983"/>
      <c r="AK87" s="969"/>
      <c r="AL87" s="969"/>
      <c r="AM87" s="983"/>
      <c r="AN87" s="969"/>
      <c r="AO87" s="969"/>
      <c r="AP87" s="256"/>
      <c r="AQ87" s="111"/>
      <c r="AR87" s="111"/>
      <c r="AS87" s="619" t="s">
        <v>1009</v>
      </c>
      <c r="AT87" s="603" t="s">
        <v>999</v>
      </c>
      <c r="AU87" s="603" t="s">
        <v>1000</v>
      </c>
      <c r="AV87" s="343" t="s">
        <v>1001</v>
      </c>
      <c r="AW87" s="334" t="s">
        <v>1013</v>
      </c>
      <c r="AX87" s="334" t="s">
        <v>1014</v>
      </c>
      <c r="AY87" s="603" t="s">
        <v>1006</v>
      </c>
      <c r="AZ87" s="603"/>
      <c r="BA87" s="603"/>
      <c r="BB87" s="823">
        <v>45943</v>
      </c>
      <c r="BC87" s="603"/>
      <c r="BD87" s="603"/>
      <c r="BE87" s="823">
        <v>45945</v>
      </c>
      <c r="BF87" s="603"/>
      <c r="BG87" s="603" t="s">
        <v>97</v>
      </c>
      <c r="BH87" s="340" t="s">
        <v>1015</v>
      </c>
      <c r="BI87" s="132" t="s">
        <v>98</v>
      </c>
      <c r="BJ87" s="132" t="s">
        <v>98</v>
      </c>
      <c r="BK87" s="132" t="s">
        <v>98</v>
      </c>
      <c r="BL87" s="132" t="s">
        <v>98</v>
      </c>
      <c r="BM87" s="456"/>
      <c r="BN87" s="456"/>
      <c r="BO87" s="456"/>
      <c r="BP87" s="456"/>
      <c r="BQ87" s="456"/>
      <c r="BR87" s="456"/>
      <c r="BS87" s="456"/>
      <c r="BT87" s="456"/>
      <c r="BU87" s="456"/>
      <c r="BV87" s="456"/>
      <c r="BW87" s="690">
        <v>1</v>
      </c>
      <c r="BX87" s="132">
        <v>1</v>
      </c>
      <c r="BY87" s="111"/>
      <c r="BZ87" s="483">
        <v>45943</v>
      </c>
      <c r="CA87" s="483">
        <v>45945</v>
      </c>
      <c r="CB87" s="111"/>
      <c r="CC87" s="111"/>
      <c r="CD87" s="111"/>
      <c r="CE87" s="111"/>
      <c r="CF87" s="518" t="s">
        <v>1016</v>
      </c>
      <c r="CG87" s="391" t="s">
        <v>1017</v>
      </c>
      <c r="CH87" s="111"/>
    </row>
    <row r="88" spans="1:86" ht="28" hidden="1" customHeight="1">
      <c r="A88" s="238">
        <v>45945</v>
      </c>
      <c r="B88" s="237" t="s">
        <v>206</v>
      </c>
      <c r="C88" s="238">
        <v>45945</v>
      </c>
      <c r="D88" s="238">
        <v>45946</v>
      </c>
      <c r="E88" s="239">
        <v>2543</v>
      </c>
      <c r="F88" s="240" t="s">
        <v>1018</v>
      </c>
      <c r="G88" s="237" t="s">
        <v>135</v>
      </c>
      <c r="H88" s="237" t="s">
        <v>87</v>
      </c>
      <c r="I88" s="241" t="s">
        <v>88</v>
      </c>
      <c r="J88" s="237" t="s">
        <v>89</v>
      </c>
      <c r="K88" s="237" t="s">
        <v>1019</v>
      </c>
      <c r="L88" s="237" t="s">
        <v>555</v>
      </c>
      <c r="M88" s="237" t="s">
        <v>88</v>
      </c>
      <c r="N88" s="237" t="s">
        <v>1020</v>
      </c>
      <c r="O88" s="237" t="s">
        <v>1021</v>
      </c>
      <c r="P88" s="237" t="s">
        <v>1022</v>
      </c>
      <c r="Q88" s="237" t="s">
        <v>570</v>
      </c>
      <c r="R88" s="237" t="s">
        <v>1023</v>
      </c>
      <c r="S88" s="111" t="s">
        <v>88</v>
      </c>
      <c r="T88" s="111" t="s">
        <v>88</v>
      </c>
      <c r="U88" s="111" t="s">
        <v>88</v>
      </c>
      <c r="V88" s="243" t="s">
        <v>88</v>
      </c>
      <c r="W88" s="111" t="s">
        <v>88</v>
      </c>
      <c r="X88" s="111" t="s">
        <v>88</v>
      </c>
      <c r="Y88" s="111" t="s">
        <v>88</v>
      </c>
      <c r="Z88" s="111" t="s">
        <v>88</v>
      </c>
      <c r="AA88" s="111" t="s">
        <v>88</v>
      </c>
      <c r="AB88" s="111" t="s">
        <v>88</v>
      </c>
      <c r="AC88" s="111" t="s">
        <v>88</v>
      </c>
      <c r="AD88" s="111" t="s">
        <v>88</v>
      </c>
      <c r="AE88" s="111" t="s">
        <v>88</v>
      </c>
      <c r="AF88" s="111" t="s">
        <v>88</v>
      </c>
      <c r="AG88" s="244" t="s">
        <v>88</v>
      </c>
      <c r="AH88" s="111" t="s">
        <v>88</v>
      </c>
      <c r="AI88" s="111" t="s">
        <v>88</v>
      </c>
      <c r="AJ88" s="111" t="s">
        <v>88</v>
      </c>
      <c r="AK88" s="111" t="s">
        <v>88</v>
      </c>
      <c r="AL88" s="111" t="s">
        <v>88</v>
      </c>
      <c r="AM88" s="111" t="s">
        <v>88</v>
      </c>
      <c r="AN88" s="111" t="s">
        <v>88</v>
      </c>
      <c r="AO88" s="111" t="s">
        <v>88</v>
      </c>
      <c r="AP88" s="111" t="s">
        <v>88</v>
      </c>
      <c r="AQ88" s="111" t="s">
        <v>88</v>
      </c>
      <c r="AR88" s="111" t="s">
        <v>88</v>
      </c>
      <c r="AS88" s="111" t="s">
        <v>88</v>
      </c>
      <c r="AT88" s="456"/>
      <c r="AU88" s="456"/>
      <c r="AV88" s="456"/>
      <c r="AW88" s="938" t="s">
        <v>88</v>
      </c>
      <c r="AX88" s="456" t="s">
        <v>88</v>
      </c>
      <c r="AY88" s="456"/>
      <c r="AZ88" s="456"/>
      <c r="BA88" s="456"/>
      <c r="BB88" s="456"/>
      <c r="BC88" s="456"/>
      <c r="BD88" s="456"/>
      <c r="BE88" s="456"/>
      <c r="BF88" s="456"/>
      <c r="BG88" s="456"/>
      <c r="BH88" s="456" t="s">
        <v>88</v>
      </c>
      <c r="BI88" s="456" t="s">
        <v>88</v>
      </c>
      <c r="BJ88" s="456" t="s">
        <v>88</v>
      </c>
      <c r="BK88" s="456" t="s">
        <v>88</v>
      </c>
      <c r="BL88" s="456" t="s">
        <v>88</v>
      </c>
      <c r="BM88" s="939" t="s">
        <v>88</v>
      </c>
      <c r="BN88" s="943" t="s">
        <v>88</v>
      </c>
      <c r="BO88" s="943" t="s">
        <v>88</v>
      </c>
      <c r="BP88" s="943" t="s">
        <v>88</v>
      </c>
      <c r="BQ88" s="943" t="s">
        <v>88</v>
      </c>
      <c r="BR88" s="943" t="s">
        <v>88</v>
      </c>
      <c r="BS88" s="943" t="s">
        <v>88</v>
      </c>
      <c r="BT88" s="943" t="s">
        <v>88</v>
      </c>
      <c r="BU88" s="943" t="s">
        <v>88</v>
      </c>
      <c r="BV88" s="943" t="s">
        <v>88</v>
      </c>
      <c r="BW88" s="456"/>
      <c r="BX88" s="456"/>
      <c r="BY88" s="456"/>
      <c r="BZ88" s="456" t="s">
        <v>88</v>
      </c>
      <c r="CA88" s="456" t="s">
        <v>88</v>
      </c>
      <c r="CB88" s="456"/>
      <c r="CC88" s="456" t="s">
        <v>88</v>
      </c>
      <c r="CD88" s="456" t="s">
        <v>88</v>
      </c>
      <c r="CE88" s="456" t="s">
        <v>88</v>
      </c>
      <c r="CF88" s="456" t="s">
        <v>88</v>
      </c>
      <c r="CG88" s="456" t="s">
        <v>88</v>
      </c>
      <c r="CH88" s="456" t="s">
        <v>88</v>
      </c>
    </row>
    <row r="89" spans="1:86" ht="21.5" customHeight="1">
      <c r="A89" s="988">
        <v>45944</v>
      </c>
      <c r="B89" s="977" t="s">
        <v>982</v>
      </c>
      <c r="C89" s="976">
        <v>45943</v>
      </c>
      <c r="D89" s="976">
        <v>45945</v>
      </c>
      <c r="E89" s="978">
        <v>2559</v>
      </c>
      <c r="F89" s="971" t="s">
        <v>1024</v>
      </c>
      <c r="G89" s="969" t="s">
        <v>167</v>
      </c>
      <c r="H89" s="969" t="s">
        <v>87</v>
      </c>
      <c r="I89" s="984">
        <v>24372559</v>
      </c>
      <c r="J89" s="969" t="s">
        <v>97</v>
      </c>
      <c r="K89" s="969" t="s">
        <v>1025</v>
      </c>
      <c r="L89" s="969" t="s">
        <v>91</v>
      </c>
      <c r="M89" s="969" t="s">
        <v>88</v>
      </c>
      <c r="N89" s="969" t="s">
        <v>1026</v>
      </c>
      <c r="O89" s="969" t="s">
        <v>1027</v>
      </c>
      <c r="P89" s="969" t="s">
        <v>1028</v>
      </c>
      <c r="Q89" s="969" t="s">
        <v>249</v>
      </c>
      <c r="R89" s="969" t="s">
        <v>1029</v>
      </c>
      <c r="S89" s="969" t="s">
        <v>110</v>
      </c>
      <c r="T89" s="974" t="s">
        <v>110</v>
      </c>
      <c r="U89" s="977" t="s">
        <v>97</v>
      </c>
      <c r="V89" s="973">
        <v>2</v>
      </c>
      <c r="W89" s="969" t="s">
        <v>1030</v>
      </c>
      <c r="X89" s="969" t="s">
        <v>1031</v>
      </c>
      <c r="Y89" s="1010" t="s">
        <v>1032</v>
      </c>
      <c r="Z89" s="969" t="s">
        <v>1033</v>
      </c>
      <c r="AA89" s="1009" t="s">
        <v>1034</v>
      </c>
      <c r="AB89" s="1010" t="s">
        <v>1035</v>
      </c>
      <c r="AC89" s="969" t="s">
        <v>88</v>
      </c>
      <c r="AD89" s="969" t="s">
        <v>88</v>
      </c>
      <c r="AE89" s="969" t="s">
        <v>88</v>
      </c>
      <c r="AF89" s="969" t="s">
        <v>97</v>
      </c>
      <c r="AG89" s="965">
        <v>2</v>
      </c>
      <c r="AH89" s="969" t="s">
        <v>1030</v>
      </c>
      <c r="AI89" s="969" t="s">
        <v>1031</v>
      </c>
      <c r="AJ89" s="1014" t="s">
        <v>1032</v>
      </c>
      <c r="AK89" s="969" t="s">
        <v>1033</v>
      </c>
      <c r="AL89" s="1009" t="s">
        <v>1034</v>
      </c>
      <c r="AM89" s="1014" t="s">
        <v>1035</v>
      </c>
      <c r="AN89" s="964" t="s">
        <v>88</v>
      </c>
      <c r="AO89" s="964" t="s">
        <v>88</v>
      </c>
      <c r="AP89" s="964" t="s">
        <v>88</v>
      </c>
      <c r="AQ89" s="969" t="s">
        <v>376</v>
      </c>
      <c r="AR89" s="964" t="s">
        <v>88</v>
      </c>
      <c r="AS89" s="964" t="s">
        <v>1036</v>
      </c>
      <c r="AT89" s="331" t="s">
        <v>1030</v>
      </c>
      <c r="AU89" s="331" t="s">
        <v>1031</v>
      </c>
      <c r="AV89" s="331" t="s">
        <v>1032</v>
      </c>
      <c r="AW89" s="336" t="s">
        <v>1037</v>
      </c>
      <c r="AX89" s="337" t="s">
        <v>1038</v>
      </c>
      <c r="AY89" s="331" t="s">
        <v>97</v>
      </c>
      <c r="AZ89" s="337" t="s">
        <v>154</v>
      </c>
      <c r="BA89" s="337" t="s">
        <v>422</v>
      </c>
      <c r="BB89" s="333">
        <v>45943</v>
      </c>
      <c r="BC89" s="337" t="s">
        <v>1039</v>
      </c>
      <c r="BD89" s="337" t="s">
        <v>422</v>
      </c>
      <c r="BE89" s="333">
        <v>45945</v>
      </c>
      <c r="BF89" s="337" t="s">
        <v>804</v>
      </c>
      <c r="BG89" s="331" t="s">
        <v>97</v>
      </c>
      <c r="BH89" s="337"/>
      <c r="BI89" s="132" t="s">
        <v>98</v>
      </c>
      <c r="BJ89" s="132" t="s">
        <v>98</v>
      </c>
      <c r="BK89" s="132" t="s">
        <v>98</v>
      </c>
      <c r="BL89" s="132" t="s">
        <v>98</v>
      </c>
      <c r="BM89" s="113" t="s">
        <v>746</v>
      </c>
      <c r="BN89" s="111" t="s">
        <v>425</v>
      </c>
      <c r="BO89" s="658">
        <v>45943</v>
      </c>
      <c r="BP89" s="692">
        <v>0.51249999999999996</v>
      </c>
      <c r="BQ89" s="693" t="s">
        <v>1040</v>
      </c>
      <c r="BR89" s="694" t="s">
        <v>746</v>
      </c>
      <c r="BS89" s="695">
        <v>45945</v>
      </c>
      <c r="BT89" s="696">
        <v>0.42569444444444443</v>
      </c>
      <c r="BU89" s="693" t="s">
        <v>1041</v>
      </c>
      <c r="BV89" s="661">
        <v>318</v>
      </c>
      <c r="BW89" s="690">
        <v>1</v>
      </c>
      <c r="BX89" s="132">
        <v>1</v>
      </c>
      <c r="BY89" s="111"/>
      <c r="BZ89" s="483">
        <v>45943</v>
      </c>
      <c r="CA89" s="483">
        <v>45945</v>
      </c>
      <c r="CB89" s="111"/>
      <c r="CC89" s="111">
        <f>BW89+BX89+BY89</f>
        <v>2</v>
      </c>
      <c r="CD89" s="111" t="s">
        <v>88</v>
      </c>
      <c r="CE89" s="111" t="s">
        <v>88</v>
      </c>
      <c r="CF89" s="111" t="s">
        <v>88</v>
      </c>
      <c r="CG89" s="111" t="s">
        <v>88</v>
      </c>
      <c r="CH89" s="111" t="s">
        <v>88</v>
      </c>
    </row>
    <row r="90" spans="1:86" ht="21.5" hidden="1" customHeight="1">
      <c r="A90" s="989"/>
      <c r="B90" s="977"/>
      <c r="C90" s="977"/>
      <c r="D90" s="977"/>
      <c r="E90" s="978"/>
      <c r="F90" s="971"/>
      <c r="G90" s="969"/>
      <c r="H90" s="969"/>
      <c r="I90" s="984"/>
      <c r="J90" s="969"/>
      <c r="K90" s="969"/>
      <c r="L90" s="969"/>
      <c r="M90" s="969"/>
      <c r="N90" s="969"/>
      <c r="O90" s="969"/>
      <c r="P90" s="969"/>
      <c r="Q90" s="969"/>
      <c r="R90" s="969"/>
      <c r="S90" s="969"/>
      <c r="T90" s="974"/>
      <c r="U90" s="977"/>
      <c r="V90" s="973"/>
      <c r="W90" s="969"/>
      <c r="X90" s="969"/>
      <c r="Y90" s="1010"/>
      <c r="Z90" s="969"/>
      <c r="AA90" s="1009"/>
      <c r="AB90" s="1010"/>
      <c r="AC90" s="969"/>
      <c r="AD90" s="969"/>
      <c r="AE90" s="969"/>
      <c r="AF90" s="969"/>
      <c r="AG90" s="965"/>
      <c r="AH90" s="969"/>
      <c r="AI90" s="969"/>
      <c r="AJ90" s="1014"/>
      <c r="AK90" s="969"/>
      <c r="AL90" s="1009"/>
      <c r="AM90" s="1014"/>
      <c r="AN90" s="964"/>
      <c r="AO90" s="964"/>
      <c r="AP90" s="964"/>
      <c r="AQ90" s="969"/>
      <c r="AR90" s="964"/>
      <c r="AS90" s="964"/>
      <c r="AT90" s="460" t="s">
        <v>1033</v>
      </c>
      <c r="AU90" s="460" t="s">
        <v>1034</v>
      </c>
      <c r="AV90" s="460" t="s">
        <v>1035</v>
      </c>
      <c r="AW90" s="225">
        <v>326973274022</v>
      </c>
      <c r="AX90" s="910" t="s">
        <v>1042</v>
      </c>
      <c r="AY90" s="111" t="s">
        <v>89</v>
      </c>
      <c r="AZ90" s="111" t="s">
        <v>88</v>
      </c>
      <c r="BA90" s="445" t="s">
        <v>88</v>
      </c>
      <c r="BB90" s="933">
        <v>45943</v>
      </c>
      <c r="BC90" s="445" t="s">
        <v>88</v>
      </c>
      <c r="BD90" s="445" t="s">
        <v>88</v>
      </c>
      <c r="BE90" s="933">
        <v>45945</v>
      </c>
      <c r="BF90" s="445" t="s">
        <v>88</v>
      </c>
      <c r="BG90" s="111" t="s">
        <v>97</v>
      </c>
      <c r="BH90" s="111" t="s">
        <v>88</v>
      </c>
      <c r="BI90" s="111" t="s">
        <v>88</v>
      </c>
      <c r="BJ90" s="111" t="s">
        <v>88</v>
      </c>
      <c r="BK90" s="111" t="s">
        <v>88</v>
      </c>
      <c r="BL90" s="219" t="s">
        <v>88</v>
      </c>
      <c r="BM90" s="111" t="s">
        <v>88</v>
      </c>
      <c r="BN90" s="111" t="s">
        <v>88</v>
      </c>
      <c r="BO90" s="111" t="s">
        <v>88</v>
      </c>
      <c r="BP90" s="111" t="s">
        <v>88</v>
      </c>
      <c r="BQ90" s="111" t="s">
        <v>88</v>
      </c>
      <c r="BR90" s="111" t="s">
        <v>88</v>
      </c>
      <c r="BS90" s="111" t="s">
        <v>88</v>
      </c>
      <c r="BT90" s="111" t="s">
        <v>88</v>
      </c>
      <c r="BU90" s="111" t="s">
        <v>88</v>
      </c>
      <c r="BV90" s="111" t="s">
        <v>88</v>
      </c>
      <c r="BW90" s="773"/>
      <c r="BX90" s="737"/>
      <c r="BY90" s="111"/>
      <c r="BZ90" s="111" t="s">
        <v>88</v>
      </c>
      <c r="CA90" s="111" t="s">
        <v>88</v>
      </c>
      <c r="CB90" s="111"/>
      <c r="CC90" s="111" t="s">
        <v>88</v>
      </c>
      <c r="CD90" s="111" t="s">
        <v>88</v>
      </c>
      <c r="CE90" s="111" t="s">
        <v>88</v>
      </c>
      <c r="CF90" s="111" t="s">
        <v>88</v>
      </c>
      <c r="CG90" s="111" t="s">
        <v>88</v>
      </c>
      <c r="CH90" s="111" t="s">
        <v>88</v>
      </c>
    </row>
    <row r="91" spans="1:86" ht="21.5" customHeight="1">
      <c r="A91" s="988">
        <v>45944</v>
      </c>
      <c r="B91" s="977" t="s">
        <v>779</v>
      </c>
      <c r="C91" s="976">
        <v>45943</v>
      </c>
      <c r="D91" s="976">
        <v>45945</v>
      </c>
      <c r="E91" s="990">
        <v>2560</v>
      </c>
      <c r="F91" s="981" t="s">
        <v>1043</v>
      </c>
      <c r="G91" s="979" t="s">
        <v>167</v>
      </c>
      <c r="H91" s="979" t="s">
        <v>102</v>
      </c>
      <c r="I91" s="985">
        <v>25602654</v>
      </c>
      <c r="J91" s="979" t="s">
        <v>97</v>
      </c>
      <c r="K91" s="979" t="s">
        <v>1044</v>
      </c>
      <c r="L91" s="979" t="s">
        <v>428</v>
      </c>
      <c r="M91" s="979" t="s">
        <v>88</v>
      </c>
      <c r="N91" s="979" t="s">
        <v>1045</v>
      </c>
      <c r="O91" s="979" t="s">
        <v>1046</v>
      </c>
      <c r="P91" s="979" t="s">
        <v>1047</v>
      </c>
      <c r="Q91" s="979" t="s">
        <v>1048</v>
      </c>
      <c r="R91" s="979" t="s">
        <v>1049</v>
      </c>
      <c r="S91" s="979" t="s">
        <v>110</v>
      </c>
      <c r="T91" s="1021" t="s">
        <v>110</v>
      </c>
      <c r="U91" s="979" t="s">
        <v>97</v>
      </c>
      <c r="V91" s="1024">
        <v>3</v>
      </c>
      <c r="W91" s="979" t="s">
        <v>1050</v>
      </c>
      <c r="X91" s="979" t="s">
        <v>1051</v>
      </c>
      <c r="Y91" s="1057" t="s">
        <v>1052</v>
      </c>
      <c r="Z91" s="979" t="s">
        <v>1053</v>
      </c>
      <c r="AA91" s="979" t="s">
        <v>1054</v>
      </c>
      <c r="AB91" s="1057" t="s">
        <v>1055</v>
      </c>
      <c r="AC91" s="1052" t="s">
        <v>1056</v>
      </c>
      <c r="AD91" s="1052" t="s">
        <v>1057</v>
      </c>
      <c r="AE91" s="1056" t="s">
        <v>1058</v>
      </c>
      <c r="AF91" s="979" t="s">
        <v>97</v>
      </c>
      <c r="AG91" s="1024">
        <v>3</v>
      </c>
      <c r="AH91" s="979" t="s">
        <v>1050</v>
      </c>
      <c r="AI91" s="979" t="s">
        <v>1051</v>
      </c>
      <c r="AJ91" s="979" t="s">
        <v>1052</v>
      </c>
      <c r="AK91" s="979" t="s">
        <v>1053</v>
      </c>
      <c r="AL91" s="979" t="s">
        <v>1054</v>
      </c>
      <c r="AM91" s="979" t="s">
        <v>1055</v>
      </c>
      <c r="AN91" s="979" t="s">
        <v>1056</v>
      </c>
      <c r="AO91" s="979" t="s">
        <v>1057</v>
      </c>
      <c r="AP91" s="979" t="s">
        <v>1058</v>
      </c>
      <c r="AQ91" s="979" t="s">
        <v>376</v>
      </c>
      <c r="AR91" s="979" t="s">
        <v>118</v>
      </c>
      <c r="AS91" s="979" t="s">
        <v>257</v>
      </c>
      <c r="AT91" s="331" t="s">
        <v>1050</v>
      </c>
      <c r="AU91" s="331" t="s">
        <v>1051</v>
      </c>
      <c r="AV91" s="331" t="s">
        <v>1052</v>
      </c>
      <c r="AW91" s="340" t="s">
        <v>1059</v>
      </c>
      <c r="AX91" s="331" t="s">
        <v>1060</v>
      </c>
      <c r="AY91" s="331" t="s">
        <v>97</v>
      </c>
      <c r="AZ91" s="337" t="s">
        <v>121</v>
      </c>
      <c r="BA91" s="337" t="s">
        <v>647</v>
      </c>
      <c r="BB91" s="333">
        <v>45943</v>
      </c>
      <c r="BC91" s="337" t="s">
        <v>1061</v>
      </c>
      <c r="BD91" s="337" t="s">
        <v>647</v>
      </c>
      <c r="BE91" s="333">
        <v>45945</v>
      </c>
      <c r="BF91" s="337" t="s">
        <v>1062</v>
      </c>
      <c r="BG91" s="331" t="s">
        <v>97</v>
      </c>
      <c r="BH91" s="331" t="s">
        <v>88</v>
      </c>
      <c r="BI91" s="132" t="s">
        <v>98</v>
      </c>
      <c r="BJ91" s="111" t="s">
        <v>88</v>
      </c>
      <c r="BK91" s="111" t="s">
        <v>88</v>
      </c>
      <c r="BL91" s="219" t="s">
        <v>88</v>
      </c>
      <c r="BM91" s="111" t="s">
        <v>647</v>
      </c>
      <c r="BN91" s="29" t="s">
        <v>126</v>
      </c>
      <c r="BO91" s="111" t="s">
        <v>88</v>
      </c>
      <c r="BP91" s="111" t="s">
        <v>88</v>
      </c>
      <c r="BQ91" s="111" t="s">
        <v>88</v>
      </c>
      <c r="BR91" s="111" t="s">
        <v>647</v>
      </c>
      <c r="BS91" s="111" t="s">
        <v>88</v>
      </c>
      <c r="BT91" s="111" t="s">
        <v>88</v>
      </c>
      <c r="BU91" s="111" t="s">
        <v>88</v>
      </c>
      <c r="BV91" s="111" t="s">
        <v>88</v>
      </c>
      <c r="BW91" s="773"/>
      <c r="BX91" s="737"/>
      <c r="BY91" s="111"/>
      <c r="BZ91" s="111" t="s">
        <v>88</v>
      </c>
      <c r="CA91" s="111" t="s">
        <v>88</v>
      </c>
      <c r="CB91" s="111"/>
      <c r="CC91" s="111">
        <f>BW91+BX91+BY91</f>
        <v>0</v>
      </c>
      <c r="CD91" s="111" t="s">
        <v>88</v>
      </c>
      <c r="CE91" s="111" t="s">
        <v>88</v>
      </c>
      <c r="CF91" s="111" t="s">
        <v>88</v>
      </c>
      <c r="CG91" s="111" t="s">
        <v>88</v>
      </c>
      <c r="CH91" s="111" t="s">
        <v>88</v>
      </c>
    </row>
    <row r="92" spans="1:86" ht="21.5" hidden="1" customHeight="1">
      <c r="A92" s="989"/>
      <c r="B92" s="977"/>
      <c r="C92" s="977"/>
      <c r="D92" s="977"/>
      <c r="E92" s="990"/>
      <c r="F92" s="982" t="s">
        <v>88</v>
      </c>
      <c r="G92" s="980" t="s">
        <v>88</v>
      </c>
      <c r="H92" s="980" t="s">
        <v>88</v>
      </c>
      <c r="I92" s="985" t="s">
        <v>88</v>
      </c>
      <c r="J92" s="980" t="s">
        <v>88</v>
      </c>
      <c r="K92" s="980" t="s">
        <v>88</v>
      </c>
      <c r="L92" s="980" t="s">
        <v>88</v>
      </c>
      <c r="M92" s="980" t="s">
        <v>88</v>
      </c>
      <c r="N92" s="980" t="s">
        <v>88</v>
      </c>
      <c r="O92" s="980" t="s">
        <v>88</v>
      </c>
      <c r="P92" s="980" t="s">
        <v>88</v>
      </c>
      <c r="Q92" s="980" t="s">
        <v>88</v>
      </c>
      <c r="R92" s="980" t="s">
        <v>88</v>
      </c>
      <c r="S92" s="980" t="s">
        <v>88</v>
      </c>
      <c r="T92" s="1021"/>
      <c r="U92" s="980" t="s">
        <v>88</v>
      </c>
      <c r="V92" s="1024" t="s">
        <v>88</v>
      </c>
      <c r="W92" s="980" t="s">
        <v>88</v>
      </c>
      <c r="X92" s="980" t="s">
        <v>88</v>
      </c>
      <c r="Y92" s="1058" t="s">
        <v>88</v>
      </c>
      <c r="Z92" s="980" t="s">
        <v>88</v>
      </c>
      <c r="AA92" s="980" t="s">
        <v>88</v>
      </c>
      <c r="AB92" s="1058" t="s">
        <v>88</v>
      </c>
      <c r="AC92" s="1052"/>
      <c r="AD92" s="1052" t="s">
        <v>88</v>
      </c>
      <c r="AE92" s="1056" t="s">
        <v>88</v>
      </c>
      <c r="AF92" s="980" t="s">
        <v>88</v>
      </c>
      <c r="AG92" s="1024" t="s">
        <v>88</v>
      </c>
      <c r="AH92" s="980" t="s">
        <v>88</v>
      </c>
      <c r="AI92" s="980" t="s">
        <v>88</v>
      </c>
      <c r="AJ92" s="980" t="s">
        <v>88</v>
      </c>
      <c r="AK92" s="980" t="s">
        <v>88</v>
      </c>
      <c r="AL92" s="980" t="s">
        <v>88</v>
      </c>
      <c r="AM92" s="980" t="s">
        <v>88</v>
      </c>
      <c r="AN92" s="980" t="s">
        <v>88</v>
      </c>
      <c r="AO92" s="980" t="s">
        <v>88</v>
      </c>
      <c r="AP92" s="980" t="s">
        <v>88</v>
      </c>
      <c r="AQ92" s="980" t="s">
        <v>88</v>
      </c>
      <c r="AR92" s="980" t="s">
        <v>88</v>
      </c>
      <c r="AS92" s="980" t="s">
        <v>88</v>
      </c>
      <c r="AT92" s="331" t="s">
        <v>1053</v>
      </c>
      <c r="AU92" s="331" t="s">
        <v>1054</v>
      </c>
      <c r="AV92" s="331" t="s">
        <v>1055</v>
      </c>
      <c r="AW92" s="332">
        <v>37062043662</v>
      </c>
      <c r="AX92" s="331" t="s">
        <v>803</v>
      </c>
      <c r="AY92" s="331" t="s">
        <v>97</v>
      </c>
      <c r="AZ92" s="331" t="s">
        <v>121</v>
      </c>
      <c r="BA92" s="331" t="s">
        <v>1063</v>
      </c>
      <c r="BB92" s="333">
        <v>45943</v>
      </c>
      <c r="BC92" s="331" t="s">
        <v>445</v>
      </c>
      <c r="BD92" s="331" t="s">
        <v>1063</v>
      </c>
      <c r="BE92" s="333">
        <v>45945</v>
      </c>
      <c r="BF92" s="331" t="s">
        <v>1064</v>
      </c>
      <c r="BG92" s="331" t="s">
        <v>97</v>
      </c>
      <c r="BH92" s="331" t="s">
        <v>1065</v>
      </c>
      <c r="BI92" s="132" t="s">
        <v>98</v>
      </c>
      <c r="BJ92" s="111" t="s">
        <v>88</v>
      </c>
      <c r="BK92" s="111" t="s">
        <v>88</v>
      </c>
      <c r="BL92" s="219" t="s">
        <v>88</v>
      </c>
      <c r="BM92" s="111" t="s">
        <v>88</v>
      </c>
      <c r="BN92" s="29" t="s">
        <v>126</v>
      </c>
      <c r="BO92" s="111" t="s">
        <v>88</v>
      </c>
      <c r="BP92" s="111" t="s">
        <v>88</v>
      </c>
      <c r="BQ92" s="111" t="s">
        <v>88</v>
      </c>
      <c r="BR92" s="111" t="s">
        <v>88</v>
      </c>
      <c r="BS92" s="111" t="s">
        <v>88</v>
      </c>
      <c r="BT92" s="111" t="s">
        <v>88</v>
      </c>
      <c r="BU92" s="111" t="s">
        <v>88</v>
      </c>
      <c r="BV92" s="111" t="s">
        <v>88</v>
      </c>
      <c r="BW92" s="773"/>
      <c r="BX92" s="737"/>
      <c r="BY92" s="111"/>
      <c r="BZ92" s="111" t="s">
        <v>88</v>
      </c>
      <c r="CA92" s="111" t="s">
        <v>88</v>
      </c>
      <c r="CB92" s="111"/>
      <c r="CC92" s="111">
        <f>BW92+BX92+BY92</f>
        <v>0</v>
      </c>
      <c r="CD92" s="111" t="s">
        <v>88</v>
      </c>
      <c r="CE92" s="111" t="s">
        <v>88</v>
      </c>
      <c r="CF92" s="111" t="s">
        <v>88</v>
      </c>
      <c r="CG92" s="111" t="s">
        <v>88</v>
      </c>
      <c r="CH92" s="111" t="s">
        <v>88</v>
      </c>
    </row>
    <row r="93" spans="1:86" ht="21.5" hidden="1" customHeight="1">
      <c r="A93" s="989"/>
      <c r="B93" s="977"/>
      <c r="C93" s="977"/>
      <c r="D93" s="977"/>
      <c r="E93" s="990"/>
      <c r="F93" s="982" t="s">
        <v>88</v>
      </c>
      <c r="G93" s="980" t="s">
        <v>88</v>
      </c>
      <c r="H93" s="980" t="s">
        <v>88</v>
      </c>
      <c r="I93" s="985" t="s">
        <v>88</v>
      </c>
      <c r="J93" s="980" t="s">
        <v>88</v>
      </c>
      <c r="K93" s="980" t="s">
        <v>88</v>
      </c>
      <c r="L93" s="980" t="s">
        <v>88</v>
      </c>
      <c r="M93" s="980" t="s">
        <v>88</v>
      </c>
      <c r="N93" s="980" t="s">
        <v>88</v>
      </c>
      <c r="O93" s="980" t="s">
        <v>88</v>
      </c>
      <c r="P93" s="980" t="s">
        <v>88</v>
      </c>
      <c r="Q93" s="980" t="s">
        <v>88</v>
      </c>
      <c r="R93" s="980" t="s">
        <v>88</v>
      </c>
      <c r="S93" s="980" t="s">
        <v>88</v>
      </c>
      <c r="T93" s="1021"/>
      <c r="U93" s="980" t="s">
        <v>88</v>
      </c>
      <c r="V93" s="1024" t="s">
        <v>88</v>
      </c>
      <c r="W93" s="980" t="s">
        <v>88</v>
      </c>
      <c r="X93" s="980" t="s">
        <v>88</v>
      </c>
      <c r="Y93" s="1058" t="s">
        <v>88</v>
      </c>
      <c r="Z93" s="980" t="s">
        <v>88</v>
      </c>
      <c r="AA93" s="980" t="s">
        <v>88</v>
      </c>
      <c r="AB93" s="1058" t="s">
        <v>88</v>
      </c>
      <c r="AC93" s="1052"/>
      <c r="AD93" s="1052" t="s">
        <v>88</v>
      </c>
      <c r="AE93" s="1056" t="s">
        <v>88</v>
      </c>
      <c r="AF93" s="980" t="s">
        <v>88</v>
      </c>
      <c r="AG93" s="1024" t="s">
        <v>88</v>
      </c>
      <c r="AH93" s="980" t="s">
        <v>88</v>
      </c>
      <c r="AI93" s="980" t="s">
        <v>88</v>
      </c>
      <c r="AJ93" s="980" t="s">
        <v>88</v>
      </c>
      <c r="AK93" s="980" t="s">
        <v>88</v>
      </c>
      <c r="AL93" s="980" t="s">
        <v>88</v>
      </c>
      <c r="AM93" s="980" t="s">
        <v>88</v>
      </c>
      <c r="AN93" s="980" t="s">
        <v>88</v>
      </c>
      <c r="AO93" s="980" t="s">
        <v>88</v>
      </c>
      <c r="AP93" s="980" t="s">
        <v>88</v>
      </c>
      <c r="AQ93" s="980" t="s">
        <v>88</v>
      </c>
      <c r="AR93" s="980" t="s">
        <v>88</v>
      </c>
      <c r="AS93" s="980" t="s">
        <v>88</v>
      </c>
      <c r="AT93" s="331" t="s">
        <v>1056</v>
      </c>
      <c r="AU93" s="331" t="s">
        <v>1057</v>
      </c>
      <c r="AV93" s="331" t="s">
        <v>1058</v>
      </c>
      <c r="AW93" s="340" t="s">
        <v>1066</v>
      </c>
      <c r="AX93" s="331" t="s">
        <v>803</v>
      </c>
      <c r="AY93" s="331" t="s">
        <v>97</v>
      </c>
      <c r="AZ93" s="331" t="s">
        <v>121</v>
      </c>
      <c r="BA93" s="331" t="s">
        <v>1067</v>
      </c>
      <c r="BB93" s="333">
        <v>45943</v>
      </c>
      <c r="BC93" s="331" t="s">
        <v>1068</v>
      </c>
      <c r="BD93" s="331" t="s">
        <v>1069</v>
      </c>
      <c r="BE93" s="333">
        <v>45945</v>
      </c>
      <c r="BF93" s="331" t="s">
        <v>1070</v>
      </c>
      <c r="BG93" s="331" t="s">
        <v>97</v>
      </c>
      <c r="BH93" s="331" t="s">
        <v>1071</v>
      </c>
      <c r="BI93" s="132" t="s">
        <v>98</v>
      </c>
      <c r="BJ93" s="132" t="s">
        <v>98</v>
      </c>
      <c r="BK93" s="132" t="s">
        <v>98</v>
      </c>
      <c r="BL93" s="667" t="s">
        <v>98</v>
      </c>
      <c r="BM93" s="111" t="s">
        <v>1067</v>
      </c>
      <c r="BN93" s="29" t="s">
        <v>126</v>
      </c>
      <c r="BO93" s="658">
        <v>45943</v>
      </c>
      <c r="BP93" s="659">
        <v>0.47916666666666669</v>
      </c>
      <c r="BQ93" s="660" t="s">
        <v>1072</v>
      </c>
      <c r="BR93" s="111" t="s">
        <v>1069</v>
      </c>
      <c r="BS93" s="658">
        <v>45945</v>
      </c>
      <c r="BT93" s="659">
        <v>0.47222222222222221</v>
      </c>
      <c r="BU93" s="660" t="s">
        <v>1073</v>
      </c>
      <c r="BV93" s="661">
        <v>517.1</v>
      </c>
      <c r="BW93" s="690">
        <v>1</v>
      </c>
      <c r="BX93" s="132">
        <v>1</v>
      </c>
      <c r="BY93" s="111"/>
      <c r="BZ93" s="483">
        <v>45943</v>
      </c>
      <c r="CA93" s="483">
        <v>45945</v>
      </c>
      <c r="CB93" s="483"/>
      <c r="CC93" s="111">
        <f>BW93+BX93+BY93</f>
        <v>2</v>
      </c>
      <c r="CD93" s="111" t="s">
        <v>88</v>
      </c>
      <c r="CE93" s="111" t="s">
        <v>88</v>
      </c>
      <c r="CF93" s="111" t="s">
        <v>88</v>
      </c>
      <c r="CG93" s="111" t="s">
        <v>88</v>
      </c>
      <c r="CH93" s="111" t="s">
        <v>88</v>
      </c>
    </row>
    <row r="94" spans="1:86" ht="21.5" customHeight="1">
      <c r="A94" s="988">
        <v>45944</v>
      </c>
      <c r="B94" s="977" t="s">
        <v>100</v>
      </c>
      <c r="C94" s="976">
        <v>45943</v>
      </c>
      <c r="D94" s="976">
        <v>45945</v>
      </c>
      <c r="E94" s="990">
        <v>2582</v>
      </c>
      <c r="F94" s="981" t="s">
        <v>1074</v>
      </c>
      <c r="G94" s="979" t="s">
        <v>86</v>
      </c>
      <c r="H94" s="979" t="s">
        <v>102</v>
      </c>
      <c r="I94" s="985" t="s">
        <v>88</v>
      </c>
      <c r="J94" s="979" t="s">
        <v>89</v>
      </c>
      <c r="K94" s="979" t="s">
        <v>1075</v>
      </c>
      <c r="L94" s="979" t="s">
        <v>189</v>
      </c>
      <c r="M94" s="979" t="s">
        <v>88</v>
      </c>
      <c r="N94" s="979" t="s">
        <v>1076</v>
      </c>
      <c r="O94" s="979" t="s">
        <v>1077</v>
      </c>
      <c r="P94" s="979" t="s">
        <v>1078</v>
      </c>
      <c r="Q94" s="979" t="s">
        <v>1079</v>
      </c>
      <c r="R94" s="979" t="s">
        <v>1080</v>
      </c>
      <c r="S94" s="979" t="s">
        <v>110</v>
      </c>
      <c r="T94" s="1056" t="s">
        <v>98</v>
      </c>
      <c r="U94" s="979" t="s">
        <v>97</v>
      </c>
      <c r="V94" s="1024">
        <v>2</v>
      </c>
      <c r="W94" s="979" t="s">
        <v>1081</v>
      </c>
      <c r="X94" s="979" t="s">
        <v>1082</v>
      </c>
      <c r="Y94" s="1041" t="s">
        <v>1083</v>
      </c>
      <c r="Z94" s="979" t="s">
        <v>1084</v>
      </c>
      <c r="AA94" s="979" t="s">
        <v>1085</v>
      </c>
      <c r="AB94" s="1041" t="s">
        <v>1086</v>
      </c>
      <c r="AC94" s="979" t="s">
        <v>995</v>
      </c>
      <c r="AD94" s="979" t="s">
        <v>995</v>
      </c>
      <c r="AE94" s="979" t="s">
        <v>995</v>
      </c>
      <c r="AF94" s="979" t="s">
        <v>97</v>
      </c>
      <c r="AG94" s="1024">
        <v>2</v>
      </c>
      <c r="AH94" s="979" t="s">
        <v>1081</v>
      </c>
      <c r="AI94" s="979" t="s">
        <v>1082</v>
      </c>
      <c r="AJ94" s="1059" t="s">
        <v>1083</v>
      </c>
      <c r="AK94" s="979" t="s">
        <v>1084</v>
      </c>
      <c r="AL94" s="979" t="s">
        <v>1085</v>
      </c>
      <c r="AM94" s="1059" t="s">
        <v>1086</v>
      </c>
      <c r="AN94" s="979" t="s">
        <v>995</v>
      </c>
      <c r="AO94" s="979" t="s">
        <v>995</v>
      </c>
      <c r="AP94" s="979" t="s">
        <v>995</v>
      </c>
      <c r="AQ94" s="979" t="s">
        <v>613</v>
      </c>
      <c r="AR94" s="979" t="s">
        <v>118</v>
      </c>
      <c r="AS94" s="979" t="s">
        <v>119</v>
      </c>
      <c r="AT94" s="331" t="s">
        <v>1081</v>
      </c>
      <c r="AU94" s="331" t="s">
        <v>1082</v>
      </c>
      <c r="AV94" s="343" t="s">
        <v>1083</v>
      </c>
      <c r="AW94" s="332" t="s">
        <v>1087</v>
      </c>
      <c r="AX94" s="331" t="s">
        <v>1088</v>
      </c>
      <c r="AY94" s="331" t="s">
        <v>97</v>
      </c>
      <c r="AZ94" s="349" t="s">
        <v>154</v>
      </c>
      <c r="BA94" s="349" t="s">
        <v>1089</v>
      </c>
      <c r="BB94" s="333">
        <v>45942</v>
      </c>
      <c r="BC94" s="379">
        <v>0.62777777777777777</v>
      </c>
      <c r="BD94" s="349" t="s">
        <v>1089</v>
      </c>
      <c r="BE94" s="333">
        <v>45945</v>
      </c>
      <c r="BF94" s="379">
        <v>0.36944444444444446</v>
      </c>
      <c r="BG94" s="331" t="s">
        <v>97</v>
      </c>
      <c r="BH94" s="331"/>
      <c r="BI94" s="132" t="s">
        <v>98</v>
      </c>
      <c r="BJ94" s="132" t="s">
        <v>98</v>
      </c>
      <c r="BK94" s="132" t="s">
        <v>98</v>
      </c>
      <c r="BL94" s="132" t="s">
        <v>98</v>
      </c>
      <c r="BM94" s="656" t="s">
        <v>1089</v>
      </c>
      <c r="BN94" s="111" t="s">
        <v>425</v>
      </c>
      <c r="BO94" s="111" t="s">
        <v>88</v>
      </c>
      <c r="BP94" s="111" t="s">
        <v>88</v>
      </c>
      <c r="BQ94" s="111" t="s">
        <v>88</v>
      </c>
      <c r="BR94" s="656" t="s">
        <v>1089</v>
      </c>
      <c r="BS94" s="111" t="s">
        <v>88</v>
      </c>
      <c r="BT94" s="111" t="s">
        <v>88</v>
      </c>
      <c r="BU94" s="111" t="s">
        <v>88</v>
      </c>
      <c r="BV94" s="111" t="s">
        <v>88</v>
      </c>
      <c r="BW94" s="690">
        <v>1</v>
      </c>
      <c r="BX94" s="132">
        <v>1</v>
      </c>
      <c r="BY94" s="111"/>
      <c r="BZ94" s="483">
        <v>45943</v>
      </c>
      <c r="CA94" s="483">
        <v>45945</v>
      </c>
      <c r="CB94" s="111"/>
      <c r="CC94" s="111">
        <f>BW94+BX94+BY94</f>
        <v>2</v>
      </c>
      <c r="CD94" s="111" t="s">
        <v>88</v>
      </c>
      <c r="CE94" s="111" t="s">
        <v>88</v>
      </c>
      <c r="CF94" s="391" t="s">
        <v>1090</v>
      </c>
      <c r="CG94" s="111" t="s">
        <v>1091</v>
      </c>
      <c r="CH94" s="111" t="s">
        <v>88</v>
      </c>
    </row>
    <row r="95" spans="1:86" ht="21.5" hidden="1" customHeight="1">
      <c r="A95" s="989"/>
      <c r="B95" s="977"/>
      <c r="C95" s="977"/>
      <c r="D95" s="977"/>
      <c r="E95" s="990"/>
      <c r="F95" s="982" t="s">
        <v>88</v>
      </c>
      <c r="G95" s="980" t="s">
        <v>88</v>
      </c>
      <c r="H95" s="980" t="s">
        <v>88</v>
      </c>
      <c r="I95" s="985" t="s">
        <v>88</v>
      </c>
      <c r="J95" s="980" t="s">
        <v>88</v>
      </c>
      <c r="K95" s="980" t="s">
        <v>88</v>
      </c>
      <c r="L95" s="980" t="s">
        <v>88</v>
      </c>
      <c r="M95" s="980" t="s">
        <v>88</v>
      </c>
      <c r="N95" s="980" t="s">
        <v>88</v>
      </c>
      <c r="O95" s="980" t="s">
        <v>88</v>
      </c>
      <c r="P95" s="980" t="s">
        <v>88</v>
      </c>
      <c r="Q95" s="980" t="s">
        <v>88</v>
      </c>
      <c r="R95" s="980" t="s">
        <v>88</v>
      </c>
      <c r="S95" s="980" t="s">
        <v>88</v>
      </c>
      <c r="T95" s="1056"/>
      <c r="U95" s="980" t="s">
        <v>88</v>
      </c>
      <c r="V95" s="1024" t="s">
        <v>88</v>
      </c>
      <c r="W95" s="980" t="s">
        <v>88</v>
      </c>
      <c r="X95" s="980" t="s">
        <v>88</v>
      </c>
      <c r="Y95" s="1042" t="s">
        <v>88</v>
      </c>
      <c r="Z95" s="980" t="s">
        <v>88</v>
      </c>
      <c r="AA95" s="980" t="s">
        <v>88</v>
      </c>
      <c r="AB95" s="1042" t="s">
        <v>88</v>
      </c>
      <c r="AC95" s="980" t="s">
        <v>88</v>
      </c>
      <c r="AD95" s="980" t="s">
        <v>88</v>
      </c>
      <c r="AE95" s="980" t="s">
        <v>88</v>
      </c>
      <c r="AF95" s="980" t="s">
        <v>88</v>
      </c>
      <c r="AG95" s="1024" t="s">
        <v>88</v>
      </c>
      <c r="AH95" s="980" t="s">
        <v>88</v>
      </c>
      <c r="AI95" s="980" t="s">
        <v>88</v>
      </c>
      <c r="AJ95" s="1060" t="s">
        <v>88</v>
      </c>
      <c r="AK95" s="980" t="s">
        <v>88</v>
      </c>
      <c r="AL95" s="980" t="s">
        <v>88</v>
      </c>
      <c r="AM95" s="1060" t="s">
        <v>88</v>
      </c>
      <c r="AN95" s="980" t="s">
        <v>88</v>
      </c>
      <c r="AO95" s="980" t="s">
        <v>88</v>
      </c>
      <c r="AP95" s="980" t="s">
        <v>88</v>
      </c>
      <c r="AQ95" s="980" t="s">
        <v>88</v>
      </c>
      <c r="AR95" s="980" t="s">
        <v>88</v>
      </c>
      <c r="AS95" s="980" t="s">
        <v>88</v>
      </c>
      <c r="AT95" s="331" t="s">
        <v>1084</v>
      </c>
      <c r="AU95" s="331" t="s">
        <v>1085</v>
      </c>
      <c r="AV95" s="343" t="s">
        <v>1086</v>
      </c>
      <c r="AW95" s="332">
        <v>491791358734</v>
      </c>
      <c r="AX95" s="331" t="s">
        <v>1088</v>
      </c>
      <c r="AY95" s="331" t="s">
        <v>97</v>
      </c>
      <c r="AZ95" s="349" t="s">
        <v>154</v>
      </c>
      <c r="BA95" s="349" t="s">
        <v>1092</v>
      </c>
      <c r="BB95" s="333">
        <v>45943</v>
      </c>
      <c r="BC95" s="349" t="s">
        <v>1093</v>
      </c>
      <c r="BD95" s="349" t="s">
        <v>1092</v>
      </c>
      <c r="BE95" s="333">
        <v>45948</v>
      </c>
      <c r="BF95" s="349" t="s">
        <v>1094</v>
      </c>
      <c r="BG95" s="331" t="s">
        <v>97</v>
      </c>
      <c r="BH95" s="349" t="s">
        <v>1095</v>
      </c>
      <c r="BI95" s="111" t="s">
        <v>98</v>
      </c>
      <c r="BJ95" s="111" t="s">
        <v>98</v>
      </c>
      <c r="BK95" s="111" t="s">
        <v>98</v>
      </c>
      <c r="BL95" s="219" t="s">
        <v>98</v>
      </c>
      <c r="BM95" s="656" t="s">
        <v>1092</v>
      </c>
      <c r="BN95" s="111" t="s">
        <v>425</v>
      </c>
      <c r="BO95" s="663">
        <v>45943</v>
      </c>
      <c r="BP95" s="664">
        <v>0.5805555555555556</v>
      </c>
      <c r="BQ95" s="111" t="s">
        <v>88</v>
      </c>
      <c r="BR95" s="656" t="s">
        <v>995</v>
      </c>
      <c r="BS95" s="656" t="s">
        <v>995</v>
      </c>
      <c r="BT95" s="656" t="s">
        <v>995</v>
      </c>
      <c r="BU95" s="656" t="s">
        <v>995</v>
      </c>
      <c r="BV95" s="666">
        <v>377</v>
      </c>
      <c r="BW95" s="690">
        <v>1</v>
      </c>
      <c r="BX95" s="132">
        <v>1</v>
      </c>
      <c r="BY95" s="111"/>
      <c r="BZ95" s="483">
        <v>45943</v>
      </c>
      <c r="CA95" s="483">
        <v>45945</v>
      </c>
      <c r="CB95" s="111"/>
      <c r="CC95" s="111">
        <v>2</v>
      </c>
      <c r="CD95" s="111" t="s">
        <v>88</v>
      </c>
      <c r="CE95" s="111" t="s">
        <v>88</v>
      </c>
      <c r="CF95" s="391" t="s">
        <v>1096</v>
      </c>
      <c r="CG95" s="111" t="s">
        <v>1091</v>
      </c>
      <c r="CH95" s="111" t="s">
        <v>88</v>
      </c>
    </row>
    <row r="96" spans="1:86" ht="21.5" customHeight="1">
      <c r="A96" s="988">
        <v>45944</v>
      </c>
      <c r="B96" s="977" t="s">
        <v>982</v>
      </c>
      <c r="C96" s="976">
        <v>45943</v>
      </c>
      <c r="D96" s="972">
        <v>45945</v>
      </c>
      <c r="E96" s="990">
        <v>2585</v>
      </c>
      <c r="F96" s="981" t="s">
        <v>1097</v>
      </c>
      <c r="G96" s="979" t="s">
        <v>167</v>
      </c>
      <c r="H96" s="979" t="s">
        <v>87</v>
      </c>
      <c r="I96" s="985" t="s">
        <v>88</v>
      </c>
      <c r="J96" s="979" t="s">
        <v>89</v>
      </c>
      <c r="K96" s="979" t="s">
        <v>1098</v>
      </c>
      <c r="L96" s="979" t="s">
        <v>428</v>
      </c>
      <c r="M96" s="979" t="s">
        <v>88</v>
      </c>
      <c r="N96" s="979" t="s">
        <v>1099</v>
      </c>
      <c r="O96" s="979" t="s">
        <v>1100</v>
      </c>
      <c r="P96" s="979" t="s">
        <v>1101</v>
      </c>
      <c r="Q96" s="979" t="s">
        <v>1102</v>
      </c>
      <c r="R96" s="979" t="s">
        <v>1103</v>
      </c>
      <c r="S96" s="979" t="s">
        <v>110</v>
      </c>
      <c r="T96" s="1021" t="s">
        <v>98</v>
      </c>
      <c r="U96" s="979" t="s">
        <v>97</v>
      </c>
      <c r="V96" s="1024">
        <v>3</v>
      </c>
      <c r="W96" s="979" t="s">
        <v>914</v>
      </c>
      <c r="X96" s="979" t="s">
        <v>1104</v>
      </c>
      <c r="Y96" s="1021" t="s">
        <v>1105</v>
      </c>
      <c r="Z96" s="979" t="s">
        <v>1106</v>
      </c>
      <c r="AA96" s="979" t="s">
        <v>1107</v>
      </c>
      <c r="AB96" s="1021" t="s">
        <v>1108</v>
      </c>
      <c r="AC96" s="1052" t="s">
        <v>1109</v>
      </c>
      <c r="AD96" s="1052" t="s">
        <v>1110</v>
      </c>
      <c r="AE96" s="1021" t="s">
        <v>1111</v>
      </c>
      <c r="AF96" s="972" t="s">
        <v>97</v>
      </c>
      <c r="AG96" s="1024">
        <v>3</v>
      </c>
      <c r="AH96" s="972" t="s">
        <v>914</v>
      </c>
      <c r="AI96" s="972" t="s">
        <v>1104</v>
      </c>
      <c r="AJ96" s="972" t="s">
        <v>1105</v>
      </c>
      <c r="AK96" s="972" t="s">
        <v>1106</v>
      </c>
      <c r="AL96" s="972" t="s">
        <v>1107</v>
      </c>
      <c r="AM96" s="972" t="s">
        <v>1108</v>
      </c>
      <c r="AN96" s="972" t="s">
        <v>1109</v>
      </c>
      <c r="AO96" s="972" t="s">
        <v>1110</v>
      </c>
      <c r="AP96" s="972" t="s">
        <v>1111</v>
      </c>
      <c r="AQ96" s="972" t="s">
        <v>613</v>
      </c>
      <c r="AR96" s="972" t="s">
        <v>88</v>
      </c>
      <c r="AS96" s="972" t="s">
        <v>88</v>
      </c>
      <c r="AT96" s="331" t="s">
        <v>914</v>
      </c>
      <c r="AU96" s="331" t="s">
        <v>1104</v>
      </c>
      <c r="AV96" s="331" t="s">
        <v>1105</v>
      </c>
      <c r="AW96" s="340" t="s">
        <v>1112</v>
      </c>
      <c r="AX96" s="331" t="s">
        <v>1060</v>
      </c>
      <c r="AY96" s="331" t="s">
        <v>97</v>
      </c>
      <c r="AZ96" s="331" t="s">
        <v>121</v>
      </c>
      <c r="BA96" s="331" t="s">
        <v>1113</v>
      </c>
      <c r="BB96" s="333">
        <v>45942</v>
      </c>
      <c r="BC96" s="601">
        <v>0.3125</v>
      </c>
      <c r="BD96" s="331" t="s">
        <v>1113</v>
      </c>
      <c r="BE96" s="333">
        <v>45946</v>
      </c>
      <c r="BF96" s="601">
        <v>0</v>
      </c>
      <c r="BG96" s="331" t="s">
        <v>97</v>
      </c>
      <c r="BH96" s="344" t="s">
        <v>1114</v>
      </c>
      <c r="BI96" s="111" t="s">
        <v>98</v>
      </c>
      <c r="BJ96" s="111" t="s">
        <v>98</v>
      </c>
      <c r="BK96" s="111" t="s">
        <v>98</v>
      </c>
      <c r="BL96" s="219" t="s">
        <v>98</v>
      </c>
      <c r="BM96" s="519" t="s">
        <v>1113</v>
      </c>
      <c r="BN96" s="29" t="s">
        <v>126</v>
      </c>
      <c r="BO96" s="663">
        <v>45943</v>
      </c>
      <c r="BP96" s="664">
        <v>0.63888888888888884</v>
      </c>
      <c r="BQ96" s="665" t="s">
        <v>1115</v>
      </c>
      <c r="BR96" s="519" t="s">
        <v>1113</v>
      </c>
      <c r="BS96" s="663">
        <v>45945</v>
      </c>
      <c r="BT96" s="664">
        <v>0.78819444444444442</v>
      </c>
      <c r="BU96" s="665" t="s">
        <v>1116</v>
      </c>
      <c r="BV96" s="666">
        <v>455.9</v>
      </c>
      <c r="BW96" s="690">
        <v>1</v>
      </c>
      <c r="BX96" s="132">
        <v>1</v>
      </c>
      <c r="BY96" s="111"/>
      <c r="BZ96" s="483">
        <v>45943</v>
      </c>
      <c r="CA96" s="483">
        <v>45945</v>
      </c>
      <c r="CB96" s="483"/>
      <c r="CC96" s="111">
        <f t="shared" ref="CC96:CC97" si="0">BW96+BX96+BY96</f>
        <v>2</v>
      </c>
      <c r="CD96" s="111" t="s">
        <v>88</v>
      </c>
      <c r="CE96" s="111" t="s">
        <v>88</v>
      </c>
      <c r="CF96" s="519" t="s">
        <v>1117</v>
      </c>
      <c r="CG96" s="111" t="s">
        <v>1091</v>
      </c>
      <c r="CH96" s="111" t="s">
        <v>88</v>
      </c>
    </row>
    <row r="97" spans="1:86" ht="21.5" hidden="1" customHeight="1">
      <c r="A97" s="989"/>
      <c r="B97" s="977"/>
      <c r="C97" s="977"/>
      <c r="D97" s="972"/>
      <c r="E97" s="990"/>
      <c r="F97" s="982" t="s">
        <v>88</v>
      </c>
      <c r="G97" s="980" t="s">
        <v>88</v>
      </c>
      <c r="H97" s="980" t="s">
        <v>88</v>
      </c>
      <c r="I97" s="985" t="s">
        <v>88</v>
      </c>
      <c r="J97" s="980" t="s">
        <v>88</v>
      </c>
      <c r="K97" s="980" t="s">
        <v>88</v>
      </c>
      <c r="L97" s="980" t="s">
        <v>88</v>
      </c>
      <c r="M97" s="980" t="s">
        <v>88</v>
      </c>
      <c r="N97" s="980" t="s">
        <v>88</v>
      </c>
      <c r="O97" s="980" t="s">
        <v>88</v>
      </c>
      <c r="P97" s="980" t="s">
        <v>88</v>
      </c>
      <c r="Q97" s="980" t="s">
        <v>88</v>
      </c>
      <c r="R97" s="980" t="s">
        <v>88</v>
      </c>
      <c r="S97" s="980" t="s">
        <v>88</v>
      </c>
      <c r="T97" s="1021"/>
      <c r="U97" s="980" t="s">
        <v>88</v>
      </c>
      <c r="V97" s="1024" t="s">
        <v>88</v>
      </c>
      <c r="W97" s="980" t="s">
        <v>88</v>
      </c>
      <c r="X97" s="980" t="s">
        <v>88</v>
      </c>
      <c r="Y97" s="1021"/>
      <c r="Z97" s="980" t="s">
        <v>88</v>
      </c>
      <c r="AA97" s="980" t="s">
        <v>88</v>
      </c>
      <c r="AB97" s="1021" t="s">
        <v>88</v>
      </c>
      <c r="AC97" s="1052" t="s">
        <v>88</v>
      </c>
      <c r="AD97" s="1052" t="s">
        <v>88</v>
      </c>
      <c r="AE97" s="1021" t="s">
        <v>88</v>
      </c>
      <c r="AF97" s="972" t="s">
        <v>88</v>
      </c>
      <c r="AG97" s="1024" t="s">
        <v>88</v>
      </c>
      <c r="AH97" s="972" t="s">
        <v>88</v>
      </c>
      <c r="AI97" s="972" t="s">
        <v>88</v>
      </c>
      <c r="AJ97" s="972" t="s">
        <v>88</v>
      </c>
      <c r="AK97" s="972" t="s">
        <v>88</v>
      </c>
      <c r="AL97" s="972" t="s">
        <v>88</v>
      </c>
      <c r="AM97" s="972" t="s">
        <v>88</v>
      </c>
      <c r="AN97" s="972" t="s">
        <v>88</v>
      </c>
      <c r="AO97" s="972" t="s">
        <v>88</v>
      </c>
      <c r="AP97" s="972" t="s">
        <v>88</v>
      </c>
      <c r="AQ97" s="972" t="s">
        <v>88</v>
      </c>
      <c r="AR97" s="972" t="s">
        <v>88</v>
      </c>
      <c r="AS97" s="972" t="s">
        <v>88</v>
      </c>
      <c r="AT97" s="331" t="s">
        <v>1106</v>
      </c>
      <c r="AU97" s="331" t="s">
        <v>1107</v>
      </c>
      <c r="AV97" s="331" t="s">
        <v>1108</v>
      </c>
      <c r="AW97" s="332">
        <v>306939453432</v>
      </c>
      <c r="AX97" s="331" t="s">
        <v>1118</v>
      </c>
      <c r="AY97" s="331" t="s">
        <v>97</v>
      </c>
      <c r="AZ97" s="331" t="s">
        <v>121</v>
      </c>
      <c r="BA97" s="331" t="s">
        <v>1119</v>
      </c>
      <c r="BB97" s="333">
        <v>45943</v>
      </c>
      <c r="BC97" s="342">
        <v>0.33333333333333331</v>
      </c>
      <c r="BD97" s="331" t="s">
        <v>1119</v>
      </c>
      <c r="BE97" s="333">
        <v>45945</v>
      </c>
      <c r="BF97" s="342">
        <v>0.46875</v>
      </c>
      <c r="BG97" s="331" t="s">
        <v>97</v>
      </c>
      <c r="BH97" s="331" t="s">
        <v>1120</v>
      </c>
      <c r="BI97" s="132" t="s">
        <v>98</v>
      </c>
      <c r="BJ97" s="132" t="s">
        <v>98</v>
      </c>
      <c r="BK97" s="132" t="s">
        <v>98</v>
      </c>
      <c r="BL97" s="667" t="s">
        <v>98</v>
      </c>
      <c r="BM97" s="111" t="s">
        <v>1119</v>
      </c>
      <c r="BN97" s="29" t="s">
        <v>126</v>
      </c>
      <c r="BO97" s="658">
        <v>45943</v>
      </c>
      <c r="BP97" s="659">
        <v>0.33333333333333331</v>
      </c>
      <c r="BQ97" s="660" t="s">
        <v>1121</v>
      </c>
      <c r="BR97" s="111" t="s">
        <v>1119</v>
      </c>
      <c r="BS97" s="658">
        <v>45945</v>
      </c>
      <c r="BT97" s="659">
        <v>0.62152777777777779</v>
      </c>
      <c r="BU97" s="660" t="s">
        <v>1122</v>
      </c>
      <c r="BV97" s="929">
        <v>480.95</v>
      </c>
      <c r="BW97" s="690">
        <v>1</v>
      </c>
      <c r="BX97" s="132">
        <v>1</v>
      </c>
      <c r="BY97" s="111"/>
      <c r="BZ97" s="483">
        <v>45943</v>
      </c>
      <c r="CA97" s="483">
        <v>45945</v>
      </c>
      <c r="CB97" s="483"/>
      <c r="CC97" s="111">
        <f t="shared" si="0"/>
        <v>2</v>
      </c>
      <c r="CD97" s="111" t="s">
        <v>88</v>
      </c>
      <c r="CE97" s="111" t="s">
        <v>88</v>
      </c>
      <c r="CF97" s="111" t="s">
        <v>88</v>
      </c>
      <c r="CG97" s="111" t="s">
        <v>88</v>
      </c>
      <c r="CH97" s="111" t="s">
        <v>88</v>
      </c>
    </row>
    <row r="98" spans="1:86" ht="21.5" hidden="1" customHeight="1">
      <c r="A98" s="989"/>
      <c r="B98" s="977"/>
      <c r="C98" s="977"/>
      <c r="D98" s="972"/>
      <c r="E98" s="990"/>
      <c r="F98" s="982" t="s">
        <v>88</v>
      </c>
      <c r="G98" s="980" t="s">
        <v>88</v>
      </c>
      <c r="H98" s="980" t="s">
        <v>88</v>
      </c>
      <c r="I98" s="985" t="s">
        <v>88</v>
      </c>
      <c r="J98" s="980" t="s">
        <v>88</v>
      </c>
      <c r="K98" s="980" t="s">
        <v>88</v>
      </c>
      <c r="L98" s="980" t="s">
        <v>88</v>
      </c>
      <c r="M98" s="980" t="s">
        <v>88</v>
      </c>
      <c r="N98" s="980" t="s">
        <v>88</v>
      </c>
      <c r="O98" s="980" t="s">
        <v>88</v>
      </c>
      <c r="P98" s="980" t="s">
        <v>88</v>
      </c>
      <c r="Q98" s="980" t="s">
        <v>88</v>
      </c>
      <c r="R98" s="980" t="s">
        <v>88</v>
      </c>
      <c r="S98" s="980" t="s">
        <v>88</v>
      </c>
      <c r="T98" s="1021"/>
      <c r="U98" s="980" t="s">
        <v>88</v>
      </c>
      <c r="V98" s="1024" t="s">
        <v>88</v>
      </c>
      <c r="W98" s="980" t="s">
        <v>88</v>
      </c>
      <c r="X98" s="980" t="s">
        <v>88</v>
      </c>
      <c r="Y98" s="1021"/>
      <c r="Z98" s="980" t="s">
        <v>88</v>
      </c>
      <c r="AA98" s="980" t="s">
        <v>88</v>
      </c>
      <c r="AB98" s="1021" t="s">
        <v>88</v>
      </c>
      <c r="AC98" s="1052" t="s">
        <v>88</v>
      </c>
      <c r="AD98" s="1052" t="s">
        <v>88</v>
      </c>
      <c r="AE98" s="1021" t="s">
        <v>88</v>
      </c>
      <c r="AF98" s="972" t="s">
        <v>88</v>
      </c>
      <c r="AG98" s="1024" t="s">
        <v>88</v>
      </c>
      <c r="AH98" s="972" t="s">
        <v>88</v>
      </c>
      <c r="AI98" s="972" t="s">
        <v>88</v>
      </c>
      <c r="AJ98" s="972" t="s">
        <v>88</v>
      </c>
      <c r="AK98" s="972" t="s">
        <v>88</v>
      </c>
      <c r="AL98" s="972" t="s">
        <v>88</v>
      </c>
      <c r="AM98" s="972" t="s">
        <v>88</v>
      </c>
      <c r="AN98" s="972" t="s">
        <v>88</v>
      </c>
      <c r="AO98" s="972" t="s">
        <v>88</v>
      </c>
      <c r="AP98" s="972" t="s">
        <v>88</v>
      </c>
      <c r="AQ98" s="972" t="s">
        <v>88</v>
      </c>
      <c r="AR98" s="972" t="s">
        <v>88</v>
      </c>
      <c r="AS98" s="972" t="s">
        <v>88</v>
      </c>
      <c r="AT98" s="331" t="s">
        <v>1109</v>
      </c>
      <c r="AU98" s="331" t="s">
        <v>1110</v>
      </c>
      <c r="AV98" s="331" t="s">
        <v>1111</v>
      </c>
      <c r="AW98" s="336">
        <v>393403340077</v>
      </c>
      <c r="AX98" s="337" t="s">
        <v>1123</v>
      </c>
      <c r="AY98" s="331" t="s">
        <v>97</v>
      </c>
      <c r="AZ98" s="337" t="s">
        <v>121</v>
      </c>
      <c r="BA98" s="337" t="s">
        <v>1124</v>
      </c>
      <c r="BB98" s="333">
        <v>45943</v>
      </c>
      <c r="BC98" s="337" t="s">
        <v>1125</v>
      </c>
      <c r="BD98" s="337" t="s">
        <v>1124</v>
      </c>
      <c r="BE98" s="333">
        <v>45945</v>
      </c>
      <c r="BF98" s="337" t="s">
        <v>499</v>
      </c>
      <c r="BG98" s="331" t="s">
        <v>97</v>
      </c>
      <c r="BH98" s="337" t="s">
        <v>1126</v>
      </c>
      <c r="BI98" s="132" t="s">
        <v>98</v>
      </c>
      <c r="BJ98" s="132" t="s">
        <v>98</v>
      </c>
      <c r="BK98" s="132" t="s">
        <v>98</v>
      </c>
      <c r="BL98" s="667" t="s">
        <v>98</v>
      </c>
      <c r="BM98" s="657" t="s">
        <v>1124</v>
      </c>
      <c r="BN98" s="29" t="s">
        <v>126</v>
      </c>
      <c r="BO98" s="658">
        <v>45943</v>
      </c>
      <c r="BP98" s="659">
        <v>0.4236111111111111</v>
      </c>
      <c r="BQ98" s="660" t="s">
        <v>1127</v>
      </c>
      <c r="BR98" s="657" t="s">
        <v>1124</v>
      </c>
      <c r="BS98" s="658">
        <v>45945</v>
      </c>
      <c r="BT98" s="659">
        <v>0.62152777777777779</v>
      </c>
      <c r="BU98" s="660" t="s">
        <v>1128</v>
      </c>
      <c r="BV98" s="662">
        <v>487.67</v>
      </c>
      <c r="BW98" s="690">
        <v>1</v>
      </c>
      <c r="BX98" s="132">
        <v>1</v>
      </c>
      <c r="BY98" s="111"/>
      <c r="BZ98" s="483">
        <v>45943</v>
      </c>
      <c r="CA98" s="483">
        <v>45945</v>
      </c>
      <c r="CB98" s="483"/>
      <c r="CC98" s="111">
        <f>BW98+BX98+BY98</f>
        <v>2</v>
      </c>
      <c r="CD98" s="111" t="s">
        <v>88</v>
      </c>
      <c r="CE98" s="111" t="s">
        <v>88</v>
      </c>
      <c r="CF98" s="111" t="s">
        <v>88</v>
      </c>
      <c r="CG98" s="111" t="s">
        <v>88</v>
      </c>
      <c r="CH98" s="111" t="s">
        <v>88</v>
      </c>
    </row>
    <row r="99" spans="1:86" ht="56" hidden="1" customHeight="1">
      <c r="A99" s="238">
        <v>45944</v>
      </c>
      <c r="B99" s="237" t="s">
        <v>165</v>
      </c>
      <c r="C99" s="238">
        <v>45943</v>
      </c>
      <c r="D99" s="238">
        <v>45945</v>
      </c>
      <c r="E99" s="239">
        <v>2593</v>
      </c>
      <c r="F99" s="240" t="s">
        <v>1129</v>
      </c>
      <c r="G99" s="237" t="s">
        <v>167</v>
      </c>
      <c r="H99" s="237" t="s">
        <v>102</v>
      </c>
      <c r="I99" s="241">
        <v>25932614</v>
      </c>
      <c r="J99" s="237" t="s">
        <v>97</v>
      </c>
      <c r="K99" s="237" t="s">
        <v>1130</v>
      </c>
      <c r="L99" s="237" t="s">
        <v>189</v>
      </c>
      <c r="M99" s="237" t="s">
        <v>88</v>
      </c>
      <c r="N99" s="237" t="s">
        <v>1131</v>
      </c>
      <c r="O99" s="253" t="s">
        <v>1132</v>
      </c>
      <c r="P99" s="237" t="s">
        <v>1133</v>
      </c>
      <c r="Q99" s="237" t="s">
        <v>827</v>
      </c>
      <c r="R99" s="237" t="s">
        <v>1134</v>
      </c>
      <c r="S99" s="111" t="s">
        <v>88</v>
      </c>
      <c r="T99" s="111" t="s">
        <v>88</v>
      </c>
      <c r="U99" s="111" t="s">
        <v>88</v>
      </c>
      <c r="V99" s="243" t="s">
        <v>88</v>
      </c>
      <c r="W99" s="111" t="s">
        <v>88</v>
      </c>
      <c r="X99" s="111" t="s">
        <v>88</v>
      </c>
      <c r="Y99" s="111" t="s">
        <v>88</v>
      </c>
      <c r="Z99" s="111" t="s">
        <v>88</v>
      </c>
      <c r="AA99" s="111" t="s">
        <v>88</v>
      </c>
      <c r="AB99" s="111" t="s">
        <v>88</v>
      </c>
      <c r="AC99" s="111" t="s">
        <v>88</v>
      </c>
      <c r="AD99" s="111" t="s">
        <v>88</v>
      </c>
      <c r="AE99" s="111" t="s">
        <v>88</v>
      </c>
      <c r="AF99" s="111" t="s">
        <v>88</v>
      </c>
      <c r="AG99" s="244" t="s">
        <v>88</v>
      </c>
      <c r="AH99" s="111" t="s">
        <v>88</v>
      </c>
      <c r="AI99" s="111" t="s">
        <v>88</v>
      </c>
      <c r="AJ99" s="111" t="s">
        <v>88</v>
      </c>
      <c r="AK99" s="111" t="s">
        <v>88</v>
      </c>
      <c r="AL99" s="111" t="s">
        <v>88</v>
      </c>
      <c r="AM99" s="111" t="s">
        <v>88</v>
      </c>
      <c r="AN99" s="111" t="s">
        <v>88</v>
      </c>
      <c r="AO99" s="111" t="s">
        <v>88</v>
      </c>
      <c r="AP99" s="111" t="s">
        <v>88</v>
      </c>
      <c r="AQ99" s="111" t="s">
        <v>88</v>
      </c>
      <c r="AR99" s="111" t="s">
        <v>88</v>
      </c>
      <c r="AS99" s="111" t="s">
        <v>88</v>
      </c>
      <c r="AT99" s="456"/>
      <c r="AU99" s="456"/>
      <c r="AV99" s="456"/>
      <c r="AW99" s="938" t="s">
        <v>88</v>
      </c>
      <c r="AX99" s="456" t="s">
        <v>88</v>
      </c>
      <c r="AY99" s="456"/>
      <c r="AZ99" s="456"/>
      <c r="BA99" s="456"/>
      <c r="BB99" s="456"/>
      <c r="BC99" s="456"/>
      <c r="BD99" s="456"/>
      <c r="BE99" s="456"/>
      <c r="BF99" s="456"/>
      <c r="BG99" s="456"/>
      <c r="BH99" s="456" t="s">
        <v>88</v>
      </c>
      <c r="BI99" s="456" t="s">
        <v>88</v>
      </c>
      <c r="BJ99" s="456" t="s">
        <v>88</v>
      </c>
      <c r="BK99" s="456" t="s">
        <v>88</v>
      </c>
      <c r="BL99" s="456" t="s">
        <v>88</v>
      </c>
      <c r="BM99" s="939" t="s">
        <v>88</v>
      </c>
      <c r="BN99" s="943" t="s">
        <v>88</v>
      </c>
      <c r="BO99" s="943" t="s">
        <v>88</v>
      </c>
      <c r="BP99" s="943" t="s">
        <v>88</v>
      </c>
      <c r="BQ99" s="943" t="s">
        <v>88</v>
      </c>
      <c r="BR99" s="943" t="s">
        <v>88</v>
      </c>
      <c r="BS99" s="943" t="s">
        <v>88</v>
      </c>
      <c r="BT99" s="943" t="s">
        <v>88</v>
      </c>
      <c r="BU99" s="943" t="s">
        <v>88</v>
      </c>
      <c r="BV99" s="943" t="s">
        <v>88</v>
      </c>
      <c r="BW99" s="456"/>
      <c r="BX99" s="456"/>
      <c r="BY99" s="456"/>
      <c r="BZ99" s="456" t="s">
        <v>88</v>
      </c>
      <c r="CA99" s="456" t="s">
        <v>88</v>
      </c>
      <c r="CB99" s="456"/>
      <c r="CC99" s="456" t="s">
        <v>88</v>
      </c>
      <c r="CD99" s="456" t="s">
        <v>88</v>
      </c>
      <c r="CE99" s="456" t="s">
        <v>88</v>
      </c>
      <c r="CF99" s="456" t="s">
        <v>88</v>
      </c>
      <c r="CG99" s="456" t="s">
        <v>88</v>
      </c>
      <c r="CH99" s="456" t="s">
        <v>88</v>
      </c>
    </row>
    <row r="100" spans="1:86" ht="21.5" customHeight="1">
      <c r="A100" s="988">
        <v>45944</v>
      </c>
      <c r="B100" s="977" t="s">
        <v>186</v>
      </c>
      <c r="C100" s="976">
        <v>45943</v>
      </c>
      <c r="D100" s="976">
        <v>45945</v>
      </c>
      <c r="E100" s="990">
        <v>2602</v>
      </c>
      <c r="F100" s="981" t="s">
        <v>1135</v>
      </c>
      <c r="G100" s="979" t="s">
        <v>86</v>
      </c>
      <c r="H100" s="979" t="s">
        <v>102</v>
      </c>
      <c r="I100" s="985" t="s">
        <v>88</v>
      </c>
      <c r="J100" s="979" t="s">
        <v>89</v>
      </c>
      <c r="K100" s="979" t="s">
        <v>1136</v>
      </c>
      <c r="L100" s="979" t="s">
        <v>555</v>
      </c>
      <c r="M100" s="979" t="s">
        <v>88</v>
      </c>
      <c r="N100" s="979" t="s">
        <v>1137</v>
      </c>
      <c r="O100" s="979" t="s">
        <v>1138</v>
      </c>
      <c r="P100" s="979" t="s">
        <v>1139</v>
      </c>
      <c r="Q100" s="979" t="s">
        <v>791</v>
      </c>
      <c r="R100" s="979" t="s">
        <v>1140</v>
      </c>
      <c r="S100" s="979" t="s">
        <v>110</v>
      </c>
      <c r="T100" s="1066" t="s">
        <v>1141</v>
      </c>
      <c r="U100" s="979" t="s">
        <v>97</v>
      </c>
      <c r="V100" s="1024">
        <v>2</v>
      </c>
      <c r="W100" s="973" t="s">
        <v>1142</v>
      </c>
      <c r="X100" s="973" t="s">
        <v>1143</v>
      </c>
      <c r="Y100" s="1061" t="s">
        <v>1144</v>
      </c>
      <c r="Z100" s="964" t="s">
        <v>1145</v>
      </c>
      <c r="AA100" s="964" t="s">
        <v>1146</v>
      </c>
      <c r="AB100" s="1062" t="s">
        <v>1147</v>
      </c>
      <c r="AC100" s="964"/>
      <c r="AD100" s="1039"/>
      <c r="AE100" s="1039"/>
      <c r="AF100" s="979" t="s">
        <v>97</v>
      </c>
      <c r="AG100" s="1024">
        <v>2</v>
      </c>
      <c r="AH100" s="973" t="s">
        <v>1142</v>
      </c>
      <c r="AI100" s="973" t="s">
        <v>1143</v>
      </c>
      <c r="AJ100" s="973" t="s">
        <v>1144</v>
      </c>
      <c r="AK100" s="964" t="s">
        <v>1145</v>
      </c>
      <c r="AL100" s="964" t="s">
        <v>1146</v>
      </c>
      <c r="AM100" s="1062" t="s">
        <v>1147</v>
      </c>
      <c r="AN100" s="1068"/>
      <c r="AO100" s="1068"/>
      <c r="AP100" s="1068"/>
      <c r="AQ100" s="979" t="s">
        <v>376</v>
      </c>
      <c r="AR100" s="979" t="s">
        <v>88</v>
      </c>
      <c r="AS100" s="979" t="s">
        <v>88</v>
      </c>
      <c r="AT100" s="111" t="s">
        <v>1145</v>
      </c>
      <c r="AU100" s="111" t="s">
        <v>1146</v>
      </c>
      <c r="AV100" s="269" t="s">
        <v>1147</v>
      </c>
      <c r="AW100" s="466">
        <v>4366488256132</v>
      </c>
      <c r="AX100" t="s">
        <v>1148</v>
      </c>
      <c r="AY100" s="111" t="s">
        <v>97</v>
      </c>
      <c r="AZ100" t="s">
        <v>121</v>
      </c>
      <c r="BA100" t="s">
        <v>1149</v>
      </c>
      <c r="BB100" s="468">
        <v>45943</v>
      </c>
      <c r="BC100" s="467">
        <v>0.625</v>
      </c>
      <c r="BD100" t="s">
        <v>384</v>
      </c>
      <c r="BE100" s="469">
        <v>45945</v>
      </c>
      <c r="BF100" s="467">
        <v>0.70833333333333337</v>
      </c>
      <c r="BG100" s="111" t="s">
        <v>97</v>
      </c>
      <c r="BH100" s="679" t="s">
        <v>1150</v>
      </c>
      <c r="BI100" s="111" t="s">
        <v>88</v>
      </c>
      <c r="BJ100" s="111" t="s">
        <v>88</v>
      </c>
      <c r="BK100" s="111" t="s">
        <v>88</v>
      </c>
      <c r="BL100" s="219" t="s">
        <v>88</v>
      </c>
      <c r="BM100" s="111" t="s">
        <v>88</v>
      </c>
      <c r="BN100" s="111" t="s">
        <v>88</v>
      </c>
      <c r="BO100" s="111" t="s">
        <v>88</v>
      </c>
      <c r="BP100" s="111" t="s">
        <v>88</v>
      </c>
      <c r="BQ100" s="111" t="s">
        <v>88</v>
      </c>
      <c r="BR100" s="111" t="s">
        <v>88</v>
      </c>
      <c r="BS100" s="111" t="s">
        <v>88</v>
      </c>
      <c r="BT100" s="111" t="s">
        <v>88</v>
      </c>
      <c r="BU100" s="111" t="s">
        <v>88</v>
      </c>
      <c r="BV100" s="111" t="s">
        <v>88</v>
      </c>
      <c r="BW100" s="773"/>
      <c r="BX100" s="737"/>
      <c r="BY100" s="111"/>
      <c r="BZ100" s="111" t="s">
        <v>88</v>
      </c>
      <c r="CA100" s="111" t="s">
        <v>88</v>
      </c>
      <c r="CB100" s="111"/>
      <c r="CC100" s="111" t="s">
        <v>88</v>
      </c>
      <c r="CD100" s="111" t="s">
        <v>88</v>
      </c>
      <c r="CE100" s="111" t="s">
        <v>88</v>
      </c>
      <c r="CF100" s="482" t="s">
        <v>1151</v>
      </c>
      <c r="CG100" s="111" t="s">
        <v>1152</v>
      </c>
      <c r="CH100" s="111" t="s">
        <v>88</v>
      </c>
    </row>
    <row r="101" spans="1:86" ht="21.5" hidden="1" customHeight="1">
      <c r="A101" s="989"/>
      <c r="B101" s="977"/>
      <c r="C101" s="977"/>
      <c r="D101" s="977"/>
      <c r="E101" s="990"/>
      <c r="F101" s="982" t="s">
        <v>88</v>
      </c>
      <c r="G101" s="980" t="s">
        <v>88</v>
      </c>
      <c r="H101" s="980" t="s">
        <v>88</v>
      </c>
      <c r="I101" s="985" t="s">
        <v>88</v>
      </c>
      <c r="J101" s="980" t="s">
        <v>88</v>
      </c>
      <c r="K101" s="980" t="s">
        <v>88</v>
      </c>
      <c r="L101" s="980" t="s">
        <v>88</v>
      </c>
      <c r="M101" s="980" t="s">
        <v>88</v>
      </c>
      <c r="N101" s="980" t="s">
        <v>88</v>
      </c>
      <c r="O101" s="980" t="s">
        <v>88</v>
      </c>
      <c r="P101" s="980" t="s">
        <v>88</v>
      </c>
      <c r="Q101" s="980" t="s">
        <v>88</v>
      </c>
      <c r="R101" s="980" t="s">
        <v>88</v>
      </c>
      <c r="S101" s="980" t="s">
        <v>88</v>
      </c>
      <c r="T101" s="1067"/>
      <c r="U101" s="980" t="s">
        <v>88</v>
      </c>
      <c r="V101" s="1024" t="s">
        <v>88</v>
      </c>
      <c r="W101" s="973" t="s">
        <v>88</v>
      </c>
      <c r="X101" s="973" t="s">
        <v>88</v>
      </c>
      <c r="Y101" s="1061" t="s">
        <v>88</v>
      </c>
      <c r="Z101" s="964"/>
      <c r="AA101" s="964"/>
      <c r="AB101" s="964"/>
      <c r="AC101" s="964"/>
      <c r="AD101" s="1039"/>
      <c r="AE101" s="1039"/>
      <c r="AF101" s="980" t="s">
        <v>88</v>
      </c>
      <c r="AG101" s="1024" t="s">
        <v>88</v>
      </c>
      <c r="AH101" s="973" t="s">
        <v>88</v>
      </c>
      <c r="AI101" s="973" t="s">
        <v>88</v>
      </c>
      <c r="AJ101" s="973" t="s">
        <v>88</v>
      </c>
      <c r="AK101" s="964"/>
      <c r="AL101" s="964"/>
      <c r="AM101" s="964"/>
      <c r="AN101" s="1068"/>
      <c r="AO101" s="1068"/>
      <c r="AP101" s="1068"/>
      <c r="AQ101" s="980" t="s">
        <v>88</v>
      </c>
      <c r="AR101" s="980" t="s">
        <v>88</v>
      </c>
      <c r="AS101" s="980" t="s">
        <v>88</v>
      </c>
      <c r="AT101" s="331" t="s">
        <v>1142</v>
      </c>
      <c r="AU101" s="331" t="s">
        <v>1143</v>
      </c>
      <c r="AV101" s="331" t="s">
        <v>1144</v>
      </c>
      <c r="AW101" s="336">
        <v>40729916887</v>
      </c>
      <c r="AX101" s="337" t="s">
        <v>1153</v>
      </c>
      <c r="AY101" s="331" t="s">
        <v>97</v>
      </c>
      <c r="AZ101" s="337" t="s">
        <v>121</v>
      </c>
      <c r="BA101" s="337" t="s">
        <v>1154</v>
      </c>
      <c r="BB101" s="333">
        <v>45943</v>
      </c>
      <c r="BC101" s="337" t="s">
        <v>1155</v>
      </c>
      <c r="BD101" s="337" t="s">
        <v>1154</v>
      </c>
      <c r="BE101" s="333">
        <v>45945</v>
      </c>
      <c r="BF101" s="337" t="s">
        <v>1156</v>
      </c>
      <c r="BG101" s="331" t="s">
        <v>97</v>
      </c>
      <c r="BH101" s="337"/>
      <c r="BI101" s="132" t="s">
        <v>98</v>
      </c>
      <c r="BJ101" s="132" t="s">
        <v>98</v>
      </c>
      <c r="BK101" s="132" t="s">
        <v>98</v>
      </c>
      <c r="BL101" s="667" t="s">
        <v>98</v>
      </c>
      <c r="BM101" s="657" t="s">
        <v>1154</v>
      </c>
      <c r="BN101" s="29" t="s">
        <v>126</v>
      </c>
      <c r="BO101" s="663">
        <v>45943</v>
      </c>
      <c r="BP101" s="664">
        <v>0.58680555555555558</v>
      </c>
      <c r="BQ101" s="665" t="s">
        <v>1157</v>
      </c>
      <c r="BR101" s="657" t="s">
        <v>1154</v>
      </c>
      <c r="BS101" s="663">
        <v>45945</v>
      </c>
      <c r="BT101" s="664">
        <v>0.53125</v>
      </c>
      <c r="BU101" s="665" t="s">
        <v>1158</v>
      </c>
      <c r="BV101" s="666">
        <v>525.48</v>
      </c>
      <c r="BW101" s="690">
        <v>1</v>
      </c>
      <c r="BX101" s="132">
        <v>1</v>
      </c>
      <c r="BY101" s="111"/>
      <c r="BZ101" s="483">
        <v>45943</v>
      </c>
      <c r="CA101" s="483">
        <v>45945</v>
      </c>
      <c r="CB101" s="483"/>
      <c r="CC101" s="111">
        <f>BW101+BX101+BY101</f>
        <v>2</v>
      </c>
      <c r="CD101" s="111" t="s">
        <v>88</v>
      </c>
      <c r="CE101" s="111" t="s">
        <v>88</v>
      </c>
      <c r="CF101" s="111" t="s">
        <v>88</v>
      </c>
      <c r="CG101" s="111" t="s">
        <v>88</v>
      </c>
      <c r="CH101" s="111" t="s">
        <v>88</v>
      </c>
    </row>
    <row r="102" spans="1:86" ht="32" customHeight="1">
      <c r="A102" s="238">
        <v>45944</v>
      </c>
      <c r="B102" s="237" t="s">
        <v>357</v>
      </c>
      <c r="C102" s="238">
        <v>45943</v>
      </c>
      <c r="D102" s="238">
        <v>45945</v>
      </c>
      <c r="E102" s="251">
        <v>2608</v>
      </c>
      <c r="F102" s="240" t="s">
        <v>1159</v>
      </c>
      <c r="G102" s="237" t="s">
        <v>135</v>
      </c>
      <c r="H102" s="237" t="s">
        <v>87</v>
      </c>
      <c r="I102" s="241" t="s">
        <v>88</v>
      </c>
      <c r="J102" s="237" t="s">
        <v>89</v>
      </c>
      <c r="K102" s="237" t="s">
        <v>1130</v>
      </c>
      <c r="L102" s="237" t="s">
        <v>189</v>
      </c>
      <c r="M102" s="237" t="s">
        <v>88</v>
      </c>
      <c r="N102" s="237" t="s">
        <v>1160</v>
      </c>
      <c r="O102" s="237" t="s">
        <v>1161</v>
      </c>
      <c r="P102" s="237" t="s">
        <v>1133</v>
      </c>
      <c r="Q102" s="237" t="s">
        <v>249</v>
      </c>
      <c r="R102" s="237" t="s">
        <v>1162</v>
      </c>
      <c r="S102" s="111" t="s">
        <v>251</v>
      </c>
      <c r="T102" s="117" t="s">
        <v>561</v>
      </c>
      <c r="U102" s="111" t="s">
        <v>562</v>
      </c>
      <c r="V102" s="243" t="s">
        <v>88</v>
      </c>
      <c r="W102" s="111" t="s">
        <v>88</v>
      </c>
      <c r="X102" s="111" t="s">
        <v>88</v>
      </c>
      <c r="Y102" s="111" t="s">
        <v>88</v>
      </c>
      <c r="Z102" s="111" t="s">
        <v>88</v>
      </c>
      <c r="AA102" s="111" t="s">
        <v>88</v>
      </c>
      <c r="AB102" s="111" t="s">
        <v>88</v>
      </c>
      <c r="AC102" s="111" t="s">
        <v>88</v>
      </c>
      <c r="AD102" s="111" t="s">
        <v>88</v>
      </c>
      <c r="AE102" s="111" t="s">
        <v>88</v>
      </c>
      <c r="AF102" s="111" t="s">
        <v>563</v>
      </c>
      <c r="AG102" s="244" t="s">
        <v>88</v>
      </c>
      <c r="AH102" s="111" t="s">
        <v>88</v>
      </c>
      <c r="AI102" s="111" t="s">
        <v>88</v>
      </c>
      <c r="AJ102" s="111" t="s">
        <v>88</v>
      </c>
      <c r="AK102" s="111" t="s">
        <v>88</v>
      </c>
      <c r="AL102" s="111" t="s">
        <v>88</v>
      </c>
      <c r="AM102" s="111" t="s">
        <v>88</v>
      </c>
      <c r="AN102" s="111" t="s">
        <v>88</v>
      </c>
      <c r="AO102" s="111" t="s">
        <v>88</v>
      </c>
      <c r="AP102" s="111" t="s">
        <v>88</v>
      </c>
      <c r="AQ102" s="111" t="s">
        <v>613</v>
      </c>
      <c r="AR102" s="111" t="s">
        <v>88</v>
      </c>
      <c r="AS102" s="111" t="s">
        <v>88</v>
      </c>
      <c r="AT102" s="456"/>
      <c r="AU102" s="456"/>
      <c r="AV102" s="456"/>
      <c r="AW102" s="938" t="s">
        <v>88</v>
      </c>
      <c r="AX102" s="456" t="s">
        <v>88</v>
      </c>
      <c r="AY102" s="456"/>
      <c r="AZ102" s="456"/>
      <c r="BA102" s="456"/>
      <c r="BB102" s="456"/>
      <c r="BC102" s="456"/>
      <c r="BD102" s="456"/>
      <c r="BE102" s="456"/>
      <c r="BF102" s="456"/>
      <c r="BG102" s="456"/>
      <c r="BH102" s="456" t="s">
        <v>88</v>
      </c>
      <c r="BI102" s="456" t="s">
        <v>88</v>
      </c>
      <c r="BJ102" s="456" t="s">
        <v>88</v>
      </c>
      <c r="BK102" s="456" t="s">
        <v>88</v>
      </c>
      <c r="BL102" s="456" t="s">
        <v>88</v>
      </c>
      <c r="BM102" s="939" t="s">
        <v>88</v>
      </c>
      <c r="BN102" s="943" t="s">
        <v>88</v>
      </c>
      <c r="BO102" s="943" t="s">
        <v>88</v>
      </c>
      <c r="BP102" s="943" t="s">
        <v>88</v>
      </c>
      <c r="BQ102" s="943" t="s">
        <v>88</v>
      </c>
      <c r="BR102" s="943" t="s">
        <v>88</v>
      </c>
      <c r="BS102" s="943" t="s">
        <v>88</v>
      </c>
      <c r="BT102" s="943" t="s">
        <v>88</v>
      </c>
      <c r="BU102" s="943" t="s">
        <v>88</v>
      </c>
      <c r="BV102" s="943" t="s">
        <v>88</v>
      </c>
      <c r="BW102" s="456"/>
      <c r="BX102" s="456"/>
      <c r="BY102" s="456"/>
      <c r="BZ102" s="456" t="s">
        <v>88</v>
      </c>
      <c r="CA102" s="456" t="s">
        <v>88</v>
      </c>
      <c r="CB102" s="456"/>
      <c r="CC102" s="456" t="s">
        <v>88</v>
      </c>
      <c r="CD102" s="456" t="s">
        <v>88</v>
      </c>
      <c r="CE102" s="456" t="s">
        <v>88</v>
      </c>
      <c r="CF102" s="456" t="s">
        <v>88</v>
      </c>
      <c r="CG102" s="456" t="s">
        <v>88</v>
      </c>
      <c r="CH102" s="456" t="s">
        <v>88</v>
      </c>
    </row>
    <row r="103" spans="1:86" ht="21.5" customHeight="1">
      <c r="A103" s="988">
        <v>45944</v>
      </c>
      <c r="B103" s="977" t="s">
        <v>186</v>
      </c>
      <c r="C103" s="976">
        <v>45943</v>
      </c>
      <c r="D103" s="976">
        <v>45945</v>
      </c>
      <c r="E103" s="990">
        <v>2616</v>
      </c>
      <c r="F103" s="981" t="s">
        <v>1163</v>
      </c>
      <c r="G103" s="979" t="s">
        <v>135</v>
      </c>
      <c r="H103" s="979" t="s">
        <v>102</v>
      </c>
      <c r="I103" s="979" t="s">
        <v>88</v>
      </c>
      <c r="J103" s="979" t="s">
        <v>89</v>
      </c>
      <c r="K103" s="979" t="s">
        <v>1164</v>
      </c>
      <c r="L103" s="979" t="s">
        <v>1165</v>
      </c>
      <c r="M103" s="979" t="s">
        <v>88</v>
      </c>
      <c r="N103" s="979" t="s">
        <v>1166</v>
      </c>
      <c r="O103" s="979" t="s">
        <v>1167</v>
      </c>
      <c r="P103" s="979" t="s">
        <v>1168</v>
      </c>
      <c r="Q103" s="979" t="s">
        <v>1169</v>
      </c>
      <c r="R103" s="979" t="s">
        <v>88</v>
      </c>
      <c r="S103" s="979" t="s">
        <v>110</v>
      </c>
      <c r="T103" s="1069" t="s">
        <v>1170</v>
      </c>
      <c r="U103" s="979" t="s">
        <v>97</v>
      </c>
      <c r="V103" s="1024">
        <v>3</v>
      </c>
      <c r="W103" s="1063" t="s">
        <v>663</v>
      </c>
      <c r="X103" s="1063" t="s">
        <v>663</v>
      </c>
      <c r="Y103" s="1063" t="s">
        <v>663</v>
      </c>
      <c r="Z103" s="1065" t="s">
        <v>1171</v>
      </c>
      <c r="AA103" s="1027" t="s">
        <v>1172</v>
      </c>
      <c r="AB103" s="1041" t="s">
        <v>1173</v>
      </c>
      <c r="AC103" s="1065" t="s">
        <v>1174</v>
      </c>
      <c r="AD103" s="1027" t="s">
        <v>1175</v>
      </c>
      <c r="AE103" s="1041" t="s">
        <v>1176</v>
      </c>
      <c r="AF103" s="979" t="s">
        <v>97</v>
      </c>
      <c r="AG103" s="1024">
        <v>3</v>
      </c>
      <c r="AH103" s="1063" t="s">
        <v>663</v>
      </c>
      <c r="AI103" s="1063" t="s">
        <v>663</v>
      </c>
      <c r="AJ103" s="1063" t="s">
        <v>663</v>
      </c>
      <c r="AK103" s="1065" t="s">
        <v>1171</v>
      </c>
      <c r="AL103" s="1027" t="s">
        <v>1172</v>
      </c>
      <c r="AM103" s="1015" t="s">
        <v>1173</v>
      </c>
      <c r="AN103" s="1065" t="s">
        <v>1174</v>
      </c>
      <c r="AO103" s="1027" t="s">
        <v>1175</v>
      </c>
      <c r="AP103" s="1015" t="s">
        <v>1176</v>
      </c>
      <c r="AQ103" s="979" t="s">
        <v>376</v>
      </c>
      <c r="AR103" s="979" t="s">
        <v>88</v>
      </c>
      <c r="AS103" s="979" t="s">
        <v>1177</v>
      </c>
      <c r="AT103" s="446" t="s">
        <v>663</v>
      </c>
      <c r="AU103" s="446" t="s">
        <v>663</v>
      </c>
      <c r="AV103" s="446" t="s">
        <v>663</v>
      </c>
      <c r="AW103" s="952" t="s">
        <v>88</v>
      </c>
      <c r="AX103" s="446" t="s">
        <v>88</v>
      </c>
      <c r="AY103" s="446" t="s">
        <v>97</v>
      </c>
      <c r="AZ103" s="446" t="s">
        <v>88</v>
      </c>
      <c r="BA103" s="446" t="s">
        <v>88</v>
      </c>
      <c r="BB103" s="446" t="s">
        <v>88</v>
      </c>
      <c r="BC103" s="446" t="s">
        <v>88</v>
      </c>
      <c r="BD103" s="446" t="s">
        <v>88</v>
      </c>
      <c r="BE103" s="446" t="s">
        <v>88</v>
      </c>
      <c r="BF103" s="446" t="s">
        <v>88</v>
      </c>
      <c r="BG103" s="446" t="s">
        <v>97</v>
      </c>
      <c r="BH103" s="446" t="s">
        <v>88</v>
      </c>
      <c r="BI103" s="446" t="s">
        <v>88</v>
      </c>
      <c r="BJ103" s="446" t="s">
        <v>88</v>
      </c>
      <c r="BK103" s="446" t="s">
        <v>88</v>
      </c>
      <c r="BL103" s="446" t="s">
        <v>88</v>
      </c>
      <c r="BM103" s="959" t="s">
        <v>88</v>
      </c>
      <c r="BN103" s="959" t="s">
        <v>88</v>
      </c>
      <c r="BO103" s="959" t="s">
        <v>88</v>
      </c>
      <c r="BP103" s="959" t="s">
        <v>88</v>
      </c>
      <c r="BQ103" s="959" t="s">
        <v>88</v>
      </c>
      <c r="BR103" s="959" t="s">
        <v>88</v>
      </c>
      <c r="BS103" s="959" t="s">
        <v>88</v>
      </c>
      <c r="BT103" s="959" t="s">
        <v>88</v>
      </c>
      <c r="BU103" s="959" t="s">
        <v>88</v>
      </c>
      <c r="BV103" s="959" t="s">
        <v>88</v>
      </c>
      <c r="BW103" s="446"/>
      <c r="BX103" s="446"/>
      <c r="BY103" s="446"/>
      <c r="BZ103" s="446" t="s">
        <v>88</v>
      </c>
      <c r="CA103" s="446" t="s">
        <v>88</v>
      </c>
      <c r="CB103" s="446"/>
      <c r="CC103" s="446" t="s">
        <v>88</v>
      </c>
      <c r="CD103" s="446" t="s">
        <v>88</v>
      </c>
      <c r="CE103" s="446" t="s">
        <v>88</v>
      </c>
      <c r="CF103" s="446" t="s">
        <v>88</v>
      </c>
      <c r="CG103" s="446" t="s">
        <v>88</v>
      </c>
      <c r="CH103" s="446" t="s">
        <v>88</v>
      </c>
    </row>
    <row r="104" spans="1:86" ht="21.5" hidden="1" customHeight="1">
      <c r="A104" s="989"/>
      <c r="B104" s="977"/>
      <c r="C104" s="977"/>
      <c r="D104" s="977"/>
      <c r="E104" s="990"/>
      <c r="F104" s="982" t="s">
        <v>88</v>
      </c>
      <c r="G104" s="980" t="s">
        <v>88</v>
      </c>
      <c r="H104" s="980" t="s">
        <v>88</v>
      </c>
      <c r="I104" s="980" t="s">
        <v>88</v>
      </c>
      <c r="J104" s="980" t="s">
        <v>88</v>
      </c>
      <c r="K104" s="980" t="s">
        <v>88</v>
      </c>
      <c r="L104" s="980" t="s">
        <v>88</v>
      </c>
      <c r="M104" s="980" t="s">
        <v>88</v>
      </c>
      <c r="N104" s="980" t="s">
        <v>88</v>
      </c>
      <c r="O104" s="980" t="s">
        <v>88</v>
      </c>
      <c r="P104" s="980" t="s">
        <v>88</v>
      </c>
      <c r="Q104" s="980" t="s">
        <v>88</v>
      </c>
      <c r="R104" s="980" t="s">
        <v>88</v>
      </c>
      <c r="S104" s="980" t="s">
        <v>88</v>
      </c>
      <c r="T104" s="1069"/>
      <c r="U104" s="980" t="s">
        <v>88</v>
      </c>
      <c r="V104" s="1024" t="s">
        <v>88</v>
      </c>
      <c r="W104" s="1064"/>
      <c r="X104" s="1064"/>
      <c r="Y104" s="1064"/>
      <c r="Z104" s="980" t="s">
        <v>88</v>
      </c>
      <c r="AA104" s="980" t="s">
        <v>88</v>
      </c>
      <c r="AB104" s="1042" t="s">
        <v>88</v>
      </c>
      <c r="AC104" s="980" t="s">
        <v>88</v>
      </c>
      <c r="AD104" s="980" t="s">
        <v>88</v>
      </c>
      <c r="AE104" s="1042" t="s">
        <v>88</v>
      </c>
      <c r="AF104" s="980" t="s">
        <v>88</v>
      </c>
      <c r="AG104" s="1024" t="s">
        <v>88</v>
      </c>
      <c r="AH104" s="1064"/>
      <c r="AI104" s="1064"/>
      <c r="AJ104" s="1064"/>
      <c r="AK104" s="980" t="s">
        <v>88</v>
      </c>
      <c r="AL104" s="980" t="s">
        <v>88</v>
      </c>
      <c r="AM104" s="1040" t="s">
        <v>88</v>
      </c>
      <c r="AN104" s="980" t="s">
        <v>88</v>
      </c>
      <c r="AO104" s="980" t="s">
        <v>88</v>
      </c>
      <c r="AP104" s="1040" t="s">
        <v>88</v>
      </c>
      <c r="AQ104" s="980" t="s">
        <v>88</v>
      </c>
      <c r="AR104" s="980" t="s">
        <v>88</v>
      </c>
      <c r="AS104" s="980" t="s">
        <v>88</v>
      </c>
      <c r="AT104" s="461" t="s">
        <v>1178</v>
      </c>
      <c r="AU104" s="461" t="s">
        <v>1172</v>
      </c>
      <c r="AV104" s="462" t="s">
        <v>1173</v>
      </c>
      <c r="AW104" s="332" t="s">
        <v>1179</v>
      </c>
      <c r="AX104" s="331" t="s">
        <v>1180</v>
      </c>
      <c r="AY104" s="331" t="s">
        <v>97</v>
      </c>
      <c r="AZ104" s="434" t="s">
        <v>121</v>
      </c>
      <c r="BA104" s="434" t="s">
        <v>514</v>
      </c>
      <c r="BB104" s="435">
        <v>45943</v>
      </c>
      <c r="BC104" s="606">
        <v>0.58333333333333337</v>
      </c>
      <c r="BD104" s="434" t="s">
        <v>514</v>
      </c>
      <c r="BE104" s="435">
        <v>45945</v>
      </c>
      <c r="BF104" s="606">
        <v>0.41666666666666669</v>
      </c>
      <c r="BG104" s="331" t="s">
        <v>97</v>
      </c>
      <c r="BH104" s="331" t="s">
        <v>88</v>
      </c>
      <c r="BI104" s="132" t="s">
        <v>98</v>
      </c>
      <c r="BJ104" s="132" t="s">
        <v>98</v>
      </c>
      <c r="BK104" s="132" t="s">
        <v>98</v>
      </c>
      <c r="BL104" s="667" t="s">
        <v>98</v>
      </c>
      <c r="BM104" s="111" t="s">
        <v>514</v>
      </c>
      <c r="BN104" s="29" t="s">
        <v>126</v>
      </c>
      <c r="BO104" s="658">
        <v>45943</v>
      </c>
      <c r="BP104" s="692">
        <v>0.77777777777777779</v>
      </c>
      <c r="BQ104" s="697" t="s">
        <v>1181</v>
      </c>
      <c r="BR104" s="111" t="s">
        <v>514</v>
      </c>
      <c r="BS104" s="658">
        <v>45945</v>
      </c>
      <c r="BT104" s="692">
        <v>0.43055555555555558</v>
      </c>
      <c r="BU104" s="111" t="s">
        <v>1182</v>
      </c>
      <c r="BV104" s="666">
        <v>483.07</v>
      </c>
      <c r="BW104" s="690">
        <v>1</v>
      </c>
      <c r="BX104" s="132">
        <v>1</v>
      </c>
      <c r="BY104" s="111"/>
      <c r="BZ104" s="483">
        <v>45943</v>
      </c>
      <c r="CA104" s="483">
        <v>45945</v>
      </c>
      <c r="CB104" s="111"/>
      <c r="CC104" s="111">
        <v>2</v>
      </c>
      <c r="CD104" s="111" t="s">
        <v>88</v>
      </c>
      <c r="CE104" s="111" t="s">
        <v>88</v>
      </c>
      <c r="CF104" s="111" t="s">
        <v>88</v>
      </c>
      <c r="CG104" s="111" t="s">
        <v>88</v>
      </c>
      <c r="CH104" s="111" t="s">
        <v>88</v>
      </c>
    </row>
    <row r="105" spans="1:86" ht="21.5" hidden="1" customHeight="1">
      <c r="A105" s="989"/>
      <c r="B105" s="977"/>
      <c r="C105" s="977"/>
      <c r="D105" s="977"/>
      <c r="E105" s="990"/>
      <c r="F105" s="982" t="s">
        <v>88</v>
      </c>
      <c r="G105" s="980" t="s">
        <v>88</v>
      </c>
      <c r="H105" s="980" t="s">
        <v>88</v>
      </c>
      <c r="I105" s="980" t="s">
        <v>88</v>
      </c>
      <c r="J105" s="980" t="s">
        <v>88</v>
      </c>
      <c r="K105" s="980" t="s">
        <v>88</v>
      </c>
      <c r="L105" s="980" t="s">
        <v>88</v>
      </c>
      <c r="M105" s="980" t="s">
        <v>88</v>
      </c>
      <c r="N105" s="980" t="s">
        <v>88</v>
      </c>
      <c r="O105" s="980" t="s">
        <v>88</v>
      </c>
      <c r="P105" s="980" t="s">
        <v>88</v>
      </c>
      <c r="Q105" s="980" t="s">
        <v>88</v>
      </c>
      <c r="R105" s="980" t="s">
        <v>88</v>
      </c>
      <c r="S105" s="980" t="s">
        <v>88</v>
      </c>
      <c r="T105" s="1069"/>
      <c r="U105" s="980" t="s">
        <v>88</v>
      </c>
      <c r="V105" s="1024" t="s">
        <v>88</v>
      </c>
      <c r="W105" s="1064"/>
      <c r="X105" s="1064"/>
      <c r="Y105" s="1064"/>
      <c r="Z105" s="980" t="s">
        <v>88</v>
      </c>
      <c r="AA105" s="980" t="s">
        <v>88</v>
      </c>
      <c r="AB105" s="1042" t="s">
        <v>88</v>
      </c>
      <c r="AC105" s="980" t="s">
        <v>88</v>
      </c>
      <c r="AD105" s="980" t="s">
        <v>88</v>
      </c>
      <c r="AE105" s="1042" t="s">
        <v>88</v>
      </c>
      <c r="AF105" s="980" t="s">
        <v>88</v>
      </c>
      <c r="AG105" s="1024" t="s">
        <v>88</v>
      </c>
      <c r="AH105" s="1064"/>
      <c r="AI105" s="1064"/>
      <c r="AJ105" s="1064"/>
      <c r="AK105" s="980" t="s">
        <v>88</v>
      </c>
      <c r="AL105" s="980" t="s">
        <v>88</v>
      </c>
      <c r="AM105" s="1040" t="s">
        <v>88</v>
      </c>
      <c r="AN105" s="980" t="s">
        <v>88</v>
      </c>
      <c r="AO105" s="980" t="s">
        <v>88</v>
      </c>
      <c r="AP105" s="1040" t="s">
        <v>88</v>
      </c>
      <c r="AQ105" s="980" t="s">
        <v>88</v>
      </c>
      <c r="AR105" s="980" t="s">
        <v>88</v>
      </c>
      <c r="AS105" s="980" t="s">
        <v>88</v>
      </c>
      <c r="AT105" s="380" t="s">
        <v>1183</v>
      </c>
      <c r="AU105" s="380" t="s">
        <v>1175</v>
      </c>
      <c r="AV105" s="349" t="s">
        <v>1176</v>
      </c>
      <c r="AW105" s="349">
        <v>37068786862</v>
      </c>
      <c r="AX105" s="349" t="s">
        <v>1184</v>
      </c>
      <c r="AY105" s="346" t="s">
        <v>97</v>
      </c>
      <c r="AZ105" s="381" t="s">
        <v>121</v>
      </c>
      <c r="BA105" s="381" t="s">
        <v>1185</v>
      </c>
      <c r="BB105" s="382">
        <v>45943</v>
      </c>
      <c r="BC105" s="383">
        <v>0.77777777777777779</v>
      </c>
      <c r="BD105" s="381" t="s">
        <v>1186</v>
      </c>
      <c r="BE105" s="382">
        <v>45945</v>
      </c>
      <c r="BF105" s="381" t="s">
        <v>1187</v>
      </c>
      <c r="BG105" s="347" t="s">
        <v>97</v>
      </c>
      <c r="BH105" s="331" t="s">
        <v>88</v>
      </c>
      <c r="BI105" s="132" t="s">
        <v>98</v>
      </c>
      <c r="BJ105" s="111" t="s">
        <v>88</v>
      </c>
      <c r="BK105" s="111" t="s">
        <v>88</v>
      </c>
      <c r="BL105" s="219" t="s">
        <v>88</v>
      </c>
      <c r="BM105" s="111" t="s">
        <v>514</v>
      </c>
      <c r="BN105" s="29" t="s">
        <v>126</v>
      </c>
      <c r="BO105" s="111" t="s">
        <v>88</v>
      </c>
      <c r="BP105" s="111" t="s">
        <v>88</v>
      </c>
      <c r="BQ105" s="111" t="s">
        <v>88</v>
      </c>
      <c r="BR105" s="111" t="s">
        <v>514</v>
      </c>
      <c r="BS105" s="111" t="s">
        <v>88</v>
      </c>
      <c r="BT105" s="111" t="s">
        <v>88</v>
      </c>
      <c r="BU105" s="111" t="s">
        <v>88</v>
      </c>
      <c r="BV105" s="111" t="s">
        <v>88</v>
      </c>
      <c r="BW105" s="773"/>
      <c r="BX105" s="737"/>
      <c r="BY105" s="111"/>
      <c r="BZ105" s="111" t="s">
        <v>88</v>
      </c>
      <c r="CA105" s="111" t="s">
        <v>88</v>
      </c>
      <c r="CB105" s="111"/>
      <c r="CC105" s="111">
        <f>BW105+BX105+BY105</f>
        <v>0</v>
      </c>
      <c r="CD105" s="111" t="s">
        <v>88</v>
      </c>
      <c r="CE105" s="111" t="s">
        <v>88</v>
      </c>
      <c r="CF105" s="111" t="s">
        <v>88</v>
      </c>
      <c r="CG105" s="111" t="s">
        <v>88</v>
      </c>
      <c r="CH105" s="111" t="s">
        <v>88</v>
      </c>
    </row>
    <row r="106" spans="1:86" ht="21.5" customHeight="1">
      <c r="A106" s="988">
        <v>45944</v>
      </c>
      <c r="B106" s="977" t="s">
        <v>456</v>
      </c>
      <c r="C106" s="976">
        <v>45943</v>
      </c>
      <c r="D106" s="976">
        <v>45945</v>
      </c>
      <c r="E106" s="990">
        <v>2642</v>
      </c>
      <c r="F106" s="981" t="s">
        <v>1188</v>
      </c>
      <c r="G106" s="979" t="s">
        <v>135</v>
      </c>
      <c r="H106" s="979" t="s">
        <v>87</v>
      </c>
      <c r="I106" s="979" t="s">
        <v>88</v>
      </c>
      <c r="J106" s="979" t="s">
        <v>89</v>
      </c>
      <c r="K106" s="979" t="s">
        <v>1189</v>
      </c>
      <c r="L106" s="979" t="s">
        <v>428</v>
      </c>
      <c r="M106" s="979" t="s">
        <v>88</v>
      </c>
      <c r="N106" s="979" t="s">
        <v>1190</v>
      </c>
      <c r="O106" s="979" t="s">
        <v>1191</v>
      </c>
      <c r="P106" s="979" t="s">
        <v>591</v>
      </c>
      <c r="Q106" s="979" t="s">
        <v>660</v>
      </c>
      <c r="R106" s="979" t="s">
        <v>1192</v>
      </c>
      <c r="S106" s="979" t="s">
        <v>110</v>
      </c>
      <c r="T106" s="1056" t="s">
        <v>98</v>
      </c>
      <c r="U106" s="979" t="s">
        <v>97</v>
      </c>
      <c r="V106" s="1024">
        <v>3</v>
      </c>
      <c r="W106" s="979" t="s">
        <v>1193</v>
      </c>
      <c r="X106" s="979" t="s">
        <v>1194</v>
      </c>
      <c r="Y106" s="1041" t="s">
        <v>1195</v>
      </c>
      <c r="Z106" s="979" t="s">
        <v>1196</v>
      </c>
      <c r="AA106" s="979" t="s">
        <v>1197</v>
      </c>
      <c r="AB106" s="1041" t="s">
        <v>1198</v>
      </c>
      <c r="AC106" s="1072" t="s">
        <v>1199</v>
      </c>
      <c r="AD106" s="1072" t="s">
        <v>1200</v>
      </c>
      <c r="AE106" s="1041" t="s">
        <v>1201</v>
      </c>
      <c r="AF106" s="979" t="s">
        <v>97</v>
      </c>
      <c r="AG106" s="1024">
        <v>3</v>
      </c>
      <c r="AH106" s="976" t="s">
        <v>1193</v>
      </c>
      <c r="AI106" s="976" t="s">
        <v>1194</v>
      </c>
      <c r="AJ106" s="1015" t="s">
        <v>1195</v>
      </c>
      <c r="AK106" s="976" t="s">
        <v>1196</v>
      </c>
      <c r="AL106" s="976" t="s">
        <v>1197</v>
      </c>
      <c r="AM106" s="1015" t="s">
        <v>1198</v>
      </c>
      <c r="AN106" s="1070" t="s">
        <v>1199</v>
      </c>
      <c r="AO106" s="1070" t="s">
        <v>1200</v>
      </c>
      <c r="AP106" s="1075" t="s">
        <v>1201</v>
      </c>
      <c r="AQ106" s="979" t="s">
        <v>1202</v>
      </c>
      <c r="AR106" s="979" t="s">
        <v>88</v>
      </c>
      <c r="AS106" s="979" t="s">
        <v>1203</v>
      </c>
      <c r="AT106" s="331" t="s">
        <v>1193</v>
      </c>
      <c r="AU106" s="331" t="s">
        <v>1194</v>
      </c>
      <c r="AV106" s="331" t="s">
        <v>1195</v>
      </c>
      <c r="AW106" s="332">
        <v>393387995863</v>
      </c>
      <c r="AX106" s="331" t="s">
        <v>1204</v>
      </c>
      <c r="AY106" s="346" t="s">
        <v>97</v>
      </c>
      <c r="AZ106" s="381" t="s">
        <v>121</v>
      </c>
      <c r="BA106" s="381" t="s">
        <v>1205</v>
      </c>
      <c r="BB106" s="382">
        <v>45943</v>
      </c>
      <c r="BC106" s="381" t="s">
        <v>1206</v>
      </c>
      <c r="BD106" s="381" t="s">
        <v>1205</v>
      </c>
      <c r="BE106" s="382">
        <v>45945</v>
      </c>
      <c r="BF106" s="381" t="s">
        <v>1207</v>
      </c>
      <c r="BG106" s="347" t="s">
        <v>97</v>
      </c>
      <c r="BH106" s="331" t="s">
        <v>88</v>
      </c>
      <c r="BI106" s="132" t="s">
        <v>98</v>
      </c>
      <c r="BJ106" s="132" t="s">
        <v>98</v>
      </c>
      <c r="BK106" s="132" t="s">
        <v>98</v>
      </c>
      <c r="BL106" s="667" t="s">
        <v>98</v>
      </c>
      <c r="BM106" s="113" t="s">
        <v>1205</v>
      </c>
      <c r="BN106" s="29" t="s">
        <v>126</v>
      </c>
      <c r="BO106" s="658">
        <v>45943</v>
      </c>
      <c r="BP106" s="659">
        <v>0.65625</v>
      </c>
      <c r="BQ106" s="660" t="s">
        <v>1208</v>
      </c>
      <c r="BR106" s="113" t="s">
        <v>1205</v>
      </c>
      <c r="BS106" s="658">
        <v>45945</v>
      </c>
      <c r="BT106" s="659">
        <v>0.86805555555555558</v>
      </c>
      <c r="BU106" s="660" t="s">
        <v>1209</v>
      </c>
      <c r="BV106" s="661">
        <v>464.04</v>
      </c>
      <c r="BW106" s="690">
        <v>1</v>
      </c>
      <c r="BX106" s="132">
        <v>1</v>
      </c>
      <c r="BY106" s="111"/>
      <c r="BZ106" s="483">
        <v>45943</v>
      </c>
      <c r="CA106" s="483">
        <v>45945</v>
      </c>
      <c r="CB106" s="483"/>
      <c r="CC106" s="111">
        <f>BW106+BX106+BY106</f>
        <v>2</v>
      </c>
      <c r="CD106" s="111" t="s">
        <v>88</v>
      </c>
      <c r="CE106" s="111" t="s">
        <v>88</v>
      </c>
      <c r="CF106" s="111" t="s">
        <v>88</v>
      </c>
      <c r="CG106" s="111" t="s">
        <v>88</v>
      </c>
      <c r="CH106" s="111" t="s">
        <v>88</v>
      </c>
    </row>
    <row r="107" spans="1:86" ht="21.5" hidden="1" customHeight="1">
      <c r="A107" s="989"/>
      <c r="B107" s="977"/>
      <c r="C107" s="977"/>
      <c r="D107" s="977"/>
      <c r="E107" s="990"/>
      <c r="F107" s="982" t="s">
        <v>88</v>
      </c>
      <c r="G107" s="980" t="s">
        <v>88</v>
      </c>
      <c r="H107" s="980" t="s">
        <v>88</v>
      </c>
      <c r="I107" s="980" t="s">
        <v>88</v>
      </c>
      <c r="J107" s="980" t="s">
        <v>88</v>
      </c>
      <c r="K107" s="980" t="s">
        <v>88</v>
      </c>
      <c r="L107" s="980" t="s">
        <v>88</v>
      </c>
      <c r="M107" s="980" t="s">
        <v>88</v>
      </c>
      <c r="N107" s="980" t="s">
        <v>88</v>
      </c>
      <c r="O107" s="980" t="s">
        <v>88</v>
      </c>
      <c r="P107" s="980" t="s">
        <v>88</v>
      </c>
      <c r="Q107" s="980" t="s">
        <v>88</v>
      </c>
      <c r="R107" s="980" t="s">
        <v>88</v>
      </c>
      <c r="S107" s="980" t="s">
        <v>88</v>
      </c>
      <c r="T107" s="1056" t="s">
        <v>88</v>
      </c>
      <c r="U107" s="980" t="s">
        <v>88</v>
      </c>
      <c r="V107" s="1024" t="s">
        <v>88</v>
      </c>
      <c r="W107" s="980" t="s">
        <v>88</v>
      </c>
      <c r="X107" s="980" t="s">
        <v>88</v>
      </c>
      <c r="Y107" s="1058" t="s">
        <v>88</v>
      </c>
      <c r="Z107" s="980" t="s">
        <v>88</v>
      </c>
      <c r="AA107" s="980" t="s">
        <v>88</v>
      </c>
      <c r="AB107" s="1058" t="s">
        <v>88</v>
      </c>
      <c r="AC107" s="1073" t="s">
        <v>88</v>
      </c>
      <c r="AD107" s="1073" t="s">
        <v>88</v>
      </c>
      <c r="AE107" s="1042" t="s">
        <v>88</v>
      </c>
      <c r="AF107" s="980" t="s">
        <v>88</v>
      </c>
      <c r="AG107" s="1024" t="s">
        <v>88</v>
      </c>
      <c r="AH107" s="977" t="s">
        <v>88</v>
      </c>
      <c r="AI107" s="977" t="s">
        <v>88</v>
      </c>
      <c r="AJ107" s="977" t="s">
        <v>88</v>
      </c>
      <c r="AK107" s="977" t="s">
        <v>88</v>
      </c>
      <c r="AL107" s="977" t="s">
        <v>88</v>
      </c>
      <c r="AM107" s="977" t="s">
        <v>88</v>
      </c>
      <c r="AN107" s="1071" t="s">
        <v>88</v>
      </c>
      <c r="AO107" s="1071" t="s">
        <v>88</v>
      </c>
      <c r="AP107" s="1076" t="s">
        <v>88</v>
      </c>
      <c r="AQ107" s="980" t="s">
        <v>88</v>
      </c>
      <c r="AR107" s="980" t="s">
        <v>88</v>
      </c>
      <c r="AS107" s="980" t="s">
        <v>88</v>
      </c>
      <c r="AT107" s="331" t="s">
        <v>1196</v>
      </c>
      <c r="AU107" s="331" t="s">
        <v>1197</v>
      </c>
      <c r="AV107" s="331" t="s">
        <v>1198</v>
      </c>
      <c r="AW107" s="332">
        <v>393483316421</v>
      </c>
      <c r="AX107" s="331" t="s">
        <v>1210</v>
      </c>
      <c r="AY107" s="331" t="s">
        <v>97</v>
      </c>
      <c r="AZ107" s="434" t="s">
        <v>121</v>
      </c>
      <c r="BA107" s="434" t="s">
        <v>1211</v>
      </c>
      <c r="BB107" s="435">
        <v>45943</v>
      </c>
      <c r="BC107" s="434" t="s">
        <v>1212</v>
      </c>
      <c r="BD107" s="434" t="s">
        <v>1211</v>
      </c>
      <c r="BE107" s="435">
        <v>45945</v>
      </c>
      <c r="BF107" s="434" t="s">
        <v>1213</v>
      </c>
      <c r="BG107" s="331" t="s">
        <v>97</v>
      </c>
      <c r="BH107" s="331" t="s">
        <v>88</v>
      </c>
      <c r="BI107" s="132" t="s">
        <v>98</v>
      </c>
      <c r="BJ107" s="132" t="s">
        <v>98</v>
      </c>
      <c r="BK107" s="132" t="s">
        <v>98</v>
      </c>
      <c r="BL107" s="667" t="s">
        <v>98</v>
      </c>
      <c r="BM107" s="113" t="s">
        <v>1211</v>
      </c>
      <c r="BN107" s="29" t="s">
        <v>126</v>
      </c>
      <c r="BO107" s="658">
        <v>45943</v>
      </c>
      <c r="BP107" s="659">
        <v>0.2638888888888889</v>
      </c>
      <c r="BQ107" s="660" t="s">
        <v>1214</v>
      </c>
      <c r="BR107" s="113" t="s">
        <v>1211</v>
      </c>
      <c r="BS107" s="658">
        <v>45945</v>
      </c>
      <c r="BT107" s="659">
        <v>0.78819444444444442</v>
      </c>
      <c r="BU107" s="660" t="s">
        <v>1215</v>
      </c>
      <c r="BV107" s="661">
        <v>426.31</v>
      </c>
      <c r="BW107" s="690">
        <v>1</v>
      </c>
      <c r="BX107" s="132">
        <v>1</v>
      </c>
      <c r="BY107" s="111"/>
      <c r="BZ107" s="483">
        <v>45943</v>
      </c>
      <c r="CA107" s="483">
        <v>45945</v>
      </c>
      <c r="CB107" s="483"/>
      <c r="CC107" s="111">
        <f>BW107+BX107+BY107</f>
        <v>2</v>
      </c>
      <c r="CD107" s="111" t="s">
        <v>88</v>
      </c>
      <c r="CE107" s="111" t="s">
        <v>88</v>
      </c>
      <c r="CF107" s="111" t="s">
        <v>88</v>
      </c>
      <c r="CG107" s="111" t="s">
        <v>88</v>
      </c>
      <c r="CH107" s="111" t="s">
        <v>88</v>
      </c>
    </row>
    <row r="108" spans="1:86" ht="21.5" hidden="1" customHeight="1">
      <c r="A108" s="989"/>
      <c r="B108" s="977"/>
      <c r="C108" s="977"/>
      <c r="D108" s="977"/>
      <c r="E108" s="990"/>
      <c r="F108" s="982" t="s">
        <v>88</v>
      </c>
      <c r="G108" s="980" t="s">
        <v>88</v>
      </c>
      <c r="H108" s="980" t="s">
        <v>88</v>
      </c>
      <c r="I108" s="980" t="s">
        <v>88</v>
      </c>
      <c r="J108" s="980" t="s">
        <v>88</v>
      </c>
      <c r="K108" s="980" t="s">
        <v>88</v>
      </c>
      <c r="L108" s="980" t="s">
        <v>88</v>
      </c>
      <c r="M108" s="980" t="s">
        <v>88</v>
      </c>
      <c r="N108" s="980" t="s">
        <v>88</v>
      </c>
      <c r="O108" s="980" t="s">
        <v>88</v>
      </c>
      <c r="P108" s="980" t="s">
        <v>88</v>
      </c>
      <c r="Q108" s="980" t="s">
        <v>88</v>
      </c>
      <c r="R108" s="980" t="s">
        <v>88</v>
      </c>
      <c r="S108" s="980" t="s">
        <v>88</v>
      </c>
      <c r="T108" s="1056" t="s">
        <v>88</v>
      </c>
      <c r="U108" s="980" t="s">
        <v>88</v>
      </c>
      <c r="V108" s="1024" t="s">
        <v>88</v>
      </c>
      <c r="W108" s="980" t="s">
        <v>88</v>
      </c>
      <c r="X108" s="980" t="s">
        <v>88</v>
      </c>
      <c r="Y108" s="1058" t="s">
        <v>88</v>
      </c>
      <c r="Z108" s="980" t="s">
        <v>88</v>
      </c>
      <c r="AA108" s="980" t="s">
        <v>88</v>
      </c>
      <c r="AB108" s="1058" t="s">
        <v>88</v>
      </c>
      <c r="AC108" s="1073" t="s">
        <v>88</v>
      </c>
      <c r="AD108" s="1073" t="s">
        <v>88</v>
      </c>
      <c r="AE108" s="1042" t="s">
        <v>88</v>
      </c>
      <c r="AF108" s="980" t="s">
        <v>88</v>
      </c>
      <c r="AG108" s="1024" t="s">
        <v>88</v>
      </c>
      <c r="AH108" s="977" t="s">
        <v>88</v>
      </c>
      <c r="AI108" s="977" t="s">
        <v>88</v>
      </c>
      <c r="AJ108" s="977" t="s">
        <v>88</v>
      </c>
      <c r="AK108" s="977" t="s">
        <v>88</v>
      </c>
      <c r="AL108" s="977" t="s">
        <v>88</v>
      </c>
      <c r="AM108" s="977" t="s">
        <v>88</v>
      </c>
      <c r="AN108" s="1071" t="s">
        <v>88</v>
      </c>
      <c r="AO108" s="1071" t="s">
        <v>88</v>
      </c>
      <c r="AP108" s="1076" t="s">
        <v>88</v>
      </c>
      <c r="AQ108" s="980" t="s">
        <v>88</v>
      </c>
      <c r="AR108" s="980" t="s">
        <v>88</v>
      </c>
      <c r="AS108" s="980" t="s">
        <v>88</v>
      </c>
      <c r="AT108" s="460" t="s">
        <v>1216</v>
      </c>
      <c r="AU108" s="460" t="s">
        <v>1217</v>
      </c>
      <c r="AV108" s="462" t="s">
        <v>1201</v>
      </c>
      <c r="AW108" s="914">
        <v>393881982138</v>
      </c>
      <c r="AX108" s="906" t="s">
        <v>1218</v>
      </c>
      <c r="AY108" s="906" t="s">
        <v>97</v>
      </c>
      <c r="AZ108" s="909" t="s">
        <v>121</v>
      </c>
      <c r="BA108" s="909" t="s">
        <v>647</v>
      </c>
      <c r="BB108" s="915">
        <v>45943</v>
      </c>
      <c r="BC108" s="909">
        <v>10.1</v>
      </c>
      <c r="BD108" s="909" t="s">
        <v>647</v>
      </c>
      <c r="BE108" s="915">
        <v>45945</v>
      </c>
      <c r="BF108" s="909">
        <v>18.55</v>
      </c>
      <c r="BG108" s="906" t="s">
        <v>97</v>
      </c>
      <c r="BH108" s="909" t="s">
        <v>1219</v>
      </c>
      <c r="BI108" s="111" t="s">
        <v>88</v>
      </c>
      <c r="BJ108" s="111" t="s">
        <v>88</v>
      </c>
      <c r="BK108" s="111" t="s">
        <v>88</v>
      </c>
      <c r="BL108" s="219" t="s">
        <v>88</v>
      </c>
      <c r="BM108" s="111" t="s">
        <v>88</v>
      </c>
      <c r="BN108" s="111" t="s">
        <v>88</v>
      </c>
      <c r="BO108" s="111" t="s">
        <v>88</v>
      </c>
      <c r="BP108" s="111" t="s">
        <v>88</v>
      </c>
      <c r="BQ108" s="111" t="s">
        <v>88</v>
      </c>
      <c r="BR108" s="111" t="s">
        <v>88</v>
      </c>
      <c r="BS108" s="111" t="s">
        <v>88</v>
      </c>
      <c r="BT108" s="111" t="s">
        <v>88</v>
      </c>
      <c r="BU108" s="111" t="s">
        <v>88</v>
      </c>
      <c r="BV108" s="111" t="s">
        <v>88</v>
      </c>
      <c r="BW108" s="773"/>
      <c r="BX108" s="737"/>
      <c r="BY108" s="111"/>
      <c r="BZ108" s="111" t="s">
        <v>88</v>
      </c>
      <c r="CA108" s="111" t="s">
        <v>88</v>
      </c>
      <c r="CB108" s="111"/>
      <c r="CC108" s="111" t="s">
        <v>88</v>
      </c>
      <c r="CD108" s="111" t="s">
        <v>88</v>
      </c>
      <c r="CE108" s="111" t="s">
        <v>88</v>
      </c>
      <c r="CF108" s="111" t="s">
        <v>88</v>
      </c>
      <c r="CG108" s="111" t="s">
        <v>88</v>
      </c>
      <c r="CH108" s="111" t="s">
        <v>88</v>
      </c>
    </row>
    <row r="109" spans="1:86" ht="21.5" customHeight="1">
      <c r="A109" s="988">
        <v>45945</v>
      </c>
      <c r="B109" s="977" t="s">
        <v>456</v>
      </c>
      <c r="C109" s="976">
        <v>45943</v>
      </c>
      <c r="D109" s="976">
        <v>45945</v>
      </c>
      <c r="E109" s="990">
        <v>2643</v>
      </c>
      <c r="F109" s="981" t="s">
        <v>1220</v>
      </c>
      <c r="G109" s="979" t="s">
        <v>86</v>
      </c>
      <c r="H109" s="979" t="s">
        <v>87</v>
      </c>
      <c r="I109" s="979" t="s">
        <v>88</v>
      </c>
      <c r="J109" s="979" t="s">
        <v>89</v>
      </c>
      <c r="K109" s="979" t="s">
        <v>1221</v>
      </c>
      <c r="L109" s="979" t="s">
        <v>428</v>
      </c>
      <c r="M109" s="979" t="s">
        <v>88</v>
      </c>
      <c r="N109" s="979" t="s">
        <v>1222</v>
      </c>
      <c r="O109" s="979" t="s">
        <v>1223</v>
      </c>
      <c r="P109" s="979" t="s">
        <v>591</v>
      </c>
      <c r="Q109" s="979" t="s">
        <v>660</v>
      </c>
      <c r="R109" s="979" t="s">
        <v>1224</v>
      </c>
      <c r="S109" s="979" t="s">
        <v>110</v>
      </c>
      <c r="T109" s="1077" t="s">
        <v>662</v>
      </c>
      <c r="U109" s="979" t="s">
        <v>97</v>
      </c>
      <c r="V109" s="1024">
        <v>3</v>
      </c>
      <c r="W109" s="979" t="s">
        <v>663</v>
      </c>
      <c r="X109" s="979" t="s">
        <v>663</v>
      </c>
      <c r="Y109" s="979" t="s">
        <v>663</v>
      </c>
      <c r="Z109" s="979" t="s">
        <v>663</v>
      </c>
      <c r="AA109" s="979" t="s">
        <v>663</v>
      </c>
      <c r="AB109" s="979" t="s">
        <v>663</v>
      </c>
      <c r="AC109" s="979" t="s">
        <v>663</v>
      </c>
      <c r="AD109" s="979" t="s">
        <v>663</v>
      </c>
      <c r="AE109" s="979" t="s">
        <v>663</v>
      </c>
      <c r="AF109" s="979" t="s">
        <v>97</v>
      </c>
      <c r="AG109" s="1024">
        <v>3</v>
      </c>
      <c r="AH109" s="1074" t="s">
        <v>663</v>
      </c>
      <c r="AI109" s="1074" t="s">
        <v>663</v>
      </c>
      <c r="AJ109" s="1074" t="s">
        <v>663</v>
      </c>
      <c r="AK109" s="1074" t="s">
        <v>663</v>
      </c>
      <c r="AL109" s="1074" t="s">
        <v>663</v>
      </c>
      <c r="AM109" s="1074" t="s">
        <v>663</v>
      </c>
      <c r="AN109" s="1074" t="s">
        <v>663</v>
      </c>
      <c r="AO109" s="1074" t="s">
        <v>663</v>
      </c>
      <c r="AP109" s="1074" t="s">
        <v>663</v>
      </c>
      <c r="AQ109" s="979" t="s">
        <v>1225</v>
      </c>
      <c r="AR109" s="979" t="s">
        <v>88</v>
      </c>
      <c r="AS109" s="979" t="s">
        <v>1226</v>
      </c>
      <c r="AT109" s="429" t="s">
        <v>1227</v>
      </c>
      <c r="AU109" s="429" t="s">
        <v>1228</v>
      </c>
      <c r="AV109" s="429" t="s">
        <v>663</v>
      </c>
      <c r="AW109" s="194" t="s">
        <v>88</v>
      </c>
      <c r="AX109" s="111" t="s">
        <v>88</v>
      </c>
      <c r="AY109" s="111" t="s">
        <v>97</v>
      </c>
      <c r="AZ109" s="111" t="s">
        <v>88</v>
      </c>
      <c r="BA109" s="111" t="s">
        <v>88</v>
      </c>
      <c r="BB109" s="111" t="s">
        <v>88</v>
      </c>
      <c r="BC109" s="111" t="s">
        <v>88</v>
      </c>
      <c r="BD109" s="111" t="s">
        <v>88</v>
      </c>
      <c r="BE109" s="111" t="s">
        <v>88</v>
      </c>
      <c r="BF109" s="111" t="s">
        <v>88</v>
      </c>
      <c r="BG109" s="111" t="s">
        <v>89</v>
      </c>
      <c r="BH109" s="111" t="s">
        <v>88</v>
      </c>
      <c r="BI109" s="111" t="s">
        <v>88</v>
      </c>
      <c r="BJ109" s="111" t="s">
        <v>88</v>
      </c>
      <c r="BK109" s="111" t="s">
        <v>88</v>
      </c>
      <c r="BL109" s="111" t="s">
        <v>88</v>
      </c>
      <c r="BM109" s="222" t="s">
        <v>88</v>
      </c>
      <c r="BN109" s="222" t="s">
        <v>88</v>
      </c>
      <c r="BO109" s="222" t="s">
        <v>88</v>
      </c>
      <c r="BP109" s="222" t="s">
        <v>88</v>
      </c>
      <c r="BQ109" s="222" t="s">
        <v>88</v>
      </c>
      <c r="BR109" s="222" t="s">
        <v>88</v>
      </c>
      <c r="BS109" s="222" t="s">
        <v>88</v>
      </c>
      <c r="BT109" s="222" t="s">
        <v>88</v>
      </c>
      <c r="BU109" s="222" t="s">
        <v>88</v>
      </c>
      <c r="BV109" s="222" t="s">
        <v>88</v>
      </c>
      <c r="BW109" s="619">
        <v>0</v>
      </c>
      <c r="BX109" s="619">
        <v>0</v>
      </c>
      <c r="BY109" s="111"/>
      <c r="BZ109" s="111" t="s">
        <v>88</v>
      </c>
      <c r="CA109" s="111" t="s">
        <v>88</v>
      </c>
      <c r="CB109" s="111"/>
      <c r="CC109" s="111" t="s">
        <v>88</v>
      </c>
      <c r="CD109" s="111" t="s">
        <v>88</v>
      </c>
      <c r="CE109" s="111" t="s">
        <v>88</v>
      </c>
      <c r="CF109" s="111" t="s">
        <v>88</v>
      </c>
      <c r="CG109" s="111" t="s">
        <v>88</v>
      </c>
      <c r="CH109" s="111" t="s">
        <v>88</v>
      </c>
    </row>
    <row r="110" spans="1:86" ht="21.5" hidden="1" customHeight="1">
      <c r="A110" s="989"/>
      <c r="B110" s="977"/>
      <c r="C110" s="977"/>
      <c r="D110" s="977"/>
      <c r="E110" s="990"/>
      <c r="F110" s="982" t="s">
        <v>88</v>
      </c>
      <c r="G110" s="980" t="s">
        <v>88</v>
      </c>
      <c r="H110" s="980" t="s">
        <v>88</v>
      </c>
      <c r="I110" s="980" t="s">
        <v>88</v>
      </c>
      <c r="J110" s="980" t="s">
        <v>88</v>
      </c>
      <c r="K110" s="980" t="s">
        <v>88</v>
      </c>
      <c r="L110" s="980" t="s">
        <v>88</v>
      </c>
      <c r="M110" s="980" t="s">
        <v>88</v>
      </c>
      <c r="N110" s="980" t="s">
        <v>88</v>
      </c>
      <c r="O110" s="980" t="s">
        <v>88</v>
      </c>
      <c r="P110" s="980" t="s">
        <v>88</v>
      </c>
      <c r="Q110" s="980" t="s">
        <v>88</v>
      </c>
      <c r="R110" s="980" t="s">
        <v>88</v>
      </c>
      <c r="S110" s="980" t="s">
        <v>88</v>
      </c>
      <c r="T110" s="1077" t="s">
        <v>88</v>
      </c>
      <c r="U110" s="980" t="s">
        <v>88</v>
      </c>
      <c r="V110" s="1024" t="s">
        <v>88</v>
      </c>
      <c r="W110" s="980" t="s">
        <v>88</v>
      </c>
      <c r="X110" s="980" t="s">
        <v>88</v>
      </c>
      <c r="Y110" s="980" t="s">
        <v>88</v>
      </c>
      <c r="Z110" s="980" t="s">
        <v>88</v>
      </c>
      <c r="AA110" s="980" t="s">
        <v>88</v>
      </c>
      <c r="AB110" s="980" t="s">
        <v>88</v>
      </c>
      <c r="AC110" s="980" t="s">
        <v>88</v>
      </c>
      <c r="AD110" s="980" t="s">
        <v>88</v>
      </c>
      <c r="AE110" s="980" t="s">
        <v>88</v>
      </c>
      <c r="AF110" s="980" t="s">
        <v>88</v>
      </c>
      <c r="AG110" s="1024" t="s">
        <v>88</v>
      </c>
      <c r="AH110" s="1064" t="s">
        <v>88</v>
      </c>
      <c r="AI110" s="1064" t="s">
        <v>88</v>
      </c>
      <c r="AJ110" s="1064" t="s">
        <v>88</v>
      </c>
      <c r="AK110" s="1064" t="s">
        <v>88</v>
      </c>
      <c r="AL110" s="1064" t="s">
        <v>88</v>
      </c>
      <c r="AM110" s="1064" t="s">
        <v>88</v>
      </c>
      <c r="AN110" s="1064" t="s">
        <v>88</v>
      </c>
      <c r="AO110" s="1064" t="s">
        <v>88</v>
      </c>
      <c r="AP110" s="1064" t="s">
        <v>88</v>
      </c>
      <c r="AQ110" s="980" t="s">
        <v>88</v>
      </c>
      <c r="AR110" s="980" t="s">
        <v>88</v>
      </c>
      <c r="AS110" s="980" t="s">
        <v>88</v>
      </c>
      <c r="AT110" s="429" t="s">
        <v>1229</v>
      </c>
      <c r="AU110" s="429" t="s">
        <v>1230</v>
      </c>
      <c r="AV110" s="429" t="s">
        <v>663</v>
      </c>
      <c r="AW110" s="194" t="s">
        <v>88</v>
      </c>
      <c r="AX110" s="111" t="s">
        <v>88</v>
      </c>
      <c r="AY110" s="111" t="s">
        <v>97</v>
      </c>
      <c r="AZ110" s="111" t="s">
        <v>88</v>
      </c>
      <c r="BA110" s="111" t="s">
        <v>88</v>
      </c>
      <c r="BB110" s="111" t="s">
        <v>88</v>
      </c>
      <c r="BC110" s="111" t="s">
        <v>88</v>
      </c>
      <c r="BD110" s="111" t="s">
        <v>88</v>
      </c>
      <c r="BE110" s="111" t="s">
        <v>88</v>
      </c>
      <c r="BF110" s="111" t="s">
        <v>88</v>
      </c>
      <c r="BG110" s="111" t="s">
        <v>89</v>
      </c>
      <c r="BH110" s="111" t="s">
        <v>88</v>
      </c>
      <c r="BI110" s="111" t="s">
        <v>88</v>
      </c>
      <c r="BJ110" s="111" t="s">
        <v>88</v>
      </c>
      <c r="BK110" s="111" t="s">
        <v>88</v>
      </c>
      <c r="BL110" s="111" t="s">
        <v>88</v>
      </c>
      <c r="BM110" s="111" t="s">
        <v>88</v>
      </c>
      <c r="BN110" s="111" t="s">
        <v>88</v>
      </c>
      <c r="BO110" s="111" t="s">
        <v>88</v>
      </c>
      <c r="BP110" s="111" t="s">
        <v>88</v>
      </c>
      <c r="BQ110" s="111" t="s">
        <v>88</v>
      </c>
      <c r="BR110" s="111" t="s">
        <v>88</v>
      </c>
      <c r="BS110" s="111" t="s">
        <v>88</v>
      </c>
      <c r="BT110" s="111" t="s">
        <v>88</v>
      </c>
      <c r="BU110" s="111" t="s">
        <v>88</v>
      </c>
      <c r="BV110" s="111" t="s">
        <v>88</v>
      </c>
      <c r="BW110" s="619">
        <v>0</v>
      </c>
      <c r="BX110" s="619">
        <v>0</v>
      </c>
      <c r="BY110" s="111"/>
      <c r="BZ110" s="111" t="s">
        <v>88</v>
      </c>
      <c r="CA110" s="111" t="s">
        <v>88</v>
      </c>
      <c r="CB110" s="111"/>
      <c r="CC110" s="111" t="s">
        <v>88</v>
      </c>
      <c r="CD110" s="111" t="s">
        <v>88</v>
      </c>
      <c r="CE110" s="111" t="s">
        <v>88</v>
      </c>
      <c r="CF110" s="111" t="s">
        <v>88</v>
      </c>
      <c r="CG110" s="111" t="s">
        <v>88</v>
      </c>
      <c r="CH110" s="111" t="s">
        <v>88</v>
      </c>
    </row>
    <row r="111" spans="1:86" ht="21.5" hidden="1" customHeight="1">
      <c r="A111" s="989"/>
      <c r="B111" s="977"/>
      <c r="C111" s="977"/>
      <c r="D111" s="977"/>
      <c r="E111" s="990"/>
      <c r="F111" s="982" t="s">
        <v>88</v>
      </c>
      <c r="G111" s="980" t="s">
        <v>88</v>
      </c>
      <c r="H111" s="980" t="s">
        <v>88</v>
      </c>
      <c r="I111" s="980" t="s">
        <v>88</v>
      </c>
      <c r="J111" s="980" t="s">
        <v>88</v>
      </c>
      <c r="K111" s="980" t="s">
        <v>88</v>
      </c>
      <c r="L111" s="980" t="s">
        <v>88</v>
      </c>
      <c r="M111" s="980" t="s">
        <v>88</v>
      </c>
      <c r="N111" s="980" t="s">
        <v>88</v>
      </c>
      <c r="O111" s="980" t="s">
        <v>88</v>
      </c>
      <c r="P111" s="980" t="s">
        <v>88</v>
      </c>
      <c r="Q111" s="980" t="s">
        <v>88</v>
      </c>
      <c r="R111" s="980" t="s">
        <v>88</v>
      </c>
      <c r="S111" s="980" t="s">
        <v>88</v>
      </c>
      <c r="T111" s="1077" t="s">
        <v>88</v>
      </c>
      <c r="U111" s="980" t="s">
        <v>88</v>
      </c>
      <c r="V111" s="1024" t="s">
        <v>88</v>
      </c>
      <c r="W111" s="980" t="s">
        <v>88</v>
      </c>
      <c r="X111" s="980" t="s">
        <v>88</v>
      </c>
      <c r="Y111" s="980" t="s">
        <v>88</v>
      </c>
      <c r="Z111" s="980" t="s">
        <v>88</v>
      </c>
      <c r="AA111" s="980" t="s">
        <v>88</v>
      </c>
      <c r="AB111" s="980" t="s">
        <v>88</v>
      </c>
      <c r="AC111" s="980" t="s">
        <v>88</v>
      </c>
      <c r="AD111" s="980" t="s">
        <v>88</v>
      </c>
      <c r="AE111" s="980" t="s">
        <v>88</v>
      </c>
      <c r="AF111" s="980" t="s">
        <v>88</v>
      </c>
      <c r="AG111" s="1024" t="s">
        <v>88</v>
      </c>
      <c r="AH111" s="1064" t="s">
        <v>88</v>
      </c>
      <c r="AI111" s="1064" t="s">
        <v>88</v>
      </c>
      <c r="AJ111" s="1064" t="s">
        <v>88</v>
      </c>
      <c r="AK111" s="1064" t="s">
        <v>88</v>
      </c>
      <c r="AL111" s="1064" t="s">
        <v>88</v>
      </c>
      <c r="AM111" s="1064" t="s">
        <v>88</v>
      </c>
      <c r="AN111" s="1064" t="s">
        <v>88</v>
      </c>
      <c r="AO111" s="1064" t="s">
        <v>88</v>
      </c>
      <c r="AP111" s="1064" t="s">
        <v>88</v>
      </c>
      <c r="AQ111" s="980" t="s">
        <v>88</v>
      </c>
      <c r="AR111" s="980" t="s">
        <v>88</v>
      </c>
      <c r="AS111" s="980" t="s">
        <v>88</v>
      </c>
      <c r="AT111" s="429" t="s">
        <v>1231</v>
      </c>
      <c r="AU111" s="429" t="s">
        <v>1232</v>
      </c>
      <c r="AV111" s="429" t="s">
        <v>663</v>
      </c>
      <c r="AW111" s="194" t="s">
        <v>88</v>
      </c>
      <c r="AX111" s="111" t="s">
        <v>88</v>
      </c>
      <c r="AY111" s="111" t="s">
        <v>97</v>
      </c>
      <c r="AZ111" s="111" t="s">
        <v>88</v>
      </c>
      <c r="BA111" s="111" t="s">
        <v>88</v>
      </c>
      <c r="BB111" s="111" t="s">
        <v>88</v>
      </c>
      <c r="BC111" s="111" t="s">
        <v>88</v>
      </c>
      <c r="BD111" s="111" t="s">
        <v>88</v>
      </c>
      <c r="BE111" s="111" t="s">
        <v>88</v>
      </c>
      <c r="BF111" s="111" t="s">
        <v>88</v>
      </c>
      <c r="BG111" s="111" t="s">
        <v>89</v>
      </c>
      <c r="BH111" s="111" t="s">
        <v>88</v>
      </c>
      <c r="BI111" s="111" t="s">
        <v>88</v>
      </c>
      <c r="BJ111" s="111" t="s">
        <v>88</v>
      </c>
      <c r="BK111" s="111" t="s">
        <v>88</v>
      </c>
      <c r="BL111" s="111" t="s">
        <v>88</v>
      </c>
      <c r="BM111" s="221" t="s">
        <v>88</v>
      </c>
      <c r="BN111" s="221" t="s">
        <v>88</v>
      </c>
      <c r="BO111" s="221" t="s">
        <v>88</v>
      </c>
      <c r="BP111" s="221" t="s">
        <v>88</v>
      </c>
      <c r="BQ111" s="221" t="s">
        <v>88</v>
      </c>
      <c r="BR111" s="221" t="s">
        <v>88</v>
      </c>
      <c r="BS111" s="221" t="s">
        <v>88</v>
      </c>
      <c r="BT111" s="221" t="s">
        <v>88</v>
      </c>
      <c r="BU111" s="221" t="s">
        <v>88</v>
      </c>
      <c r="BV111" s="221" t="s">
        <v>88</v>
      </c>
      <c r="BW111" s="619">
        <v>0</v>
      </c>
      <c r="BX111" s="619">
        <v>0</v>
      </c>
      <c r="BY111" s="111"/>
      <c r="BZ111" s="111" t="s">
        <v>88</v>
      </c>
      <c r="CA111" s="111" t="s">
        <v>88</v>
      </c>
      <c r="CB111" s="111"/>
      <c r="CC111" s="111" t="s">
        <v>88</v>
      </c>
      <c r="CD111" s="111" t="s">
        <v>88</v>
      </c>
      <c r="CE111" s="111" t="s">
        <v>88</v>
      </c>
      <c r="CF111" s="111" t="s">
        <v>88</v>
      </c>
      <c r="CG111" s="111" t="s">
        <v>88</v>
      </c>
      <c r="CH111" s="111" t="s">
        <v>88</v>
      </c>
    </row>
    <row r="112" spans="1:86" ht="27" customHeight="1">
      <c r="A112" s="988">
        <v>45944</v>
      </c>
      <c r="B112" s="977" t="s">
        <v>206</v>
      </c>
      <c r="C112" s="976">
        <v>45943</v>
      </c>
      <c r="D112" s="976">
        <v>45945</v>
      </c>
      <c r="E112" s="990">
        <v>2664</v>
      </c>
      <c r="F112" s="981" t="s">
        <v>1233</v>
      </c>
      <c r="G112" s="979" t="s">
        <v>167</v>
      </c>
      <c r="H112" s="979" t="s">
        <v>87</v>
      </c>
      <c r="I112" s="979" t="s">
        <v>88</v>
      </c>
      <c r="J112" s="979" t="s">
        <v>89</v>
      </c>
      <c r="K112" s="979" t="s">
        <v>1234</v>
      </c>
      <c r="L112" s="979" t="s">
        <v>360</v>
      </c>
      <c r="M112" s="979" t="s">
        <v>88</v>
      </c>
      <c r="N112" s="979" t="s">
        <v>1235</v>
      </c>
      <c r="O112" s="979" t="s">
        <v>1236</v>
      </c>
      <c r="P112" s="979" t="s">
        <v>1234</v>
      </c>
      <c r="Q112" s="979" t="s">
        <v>461</v>
      </c>
      <c r="R112" s="979" t="s">
        <v>1237</v>
      </c>
      <c r="S112" s="979" t="s">
        <v>110</v>
      </c>
      <c r="T112" s="1021" t="s">
        <v>98</v>
      </c>
      <c r="U112" s="979" t="s">
        <v>97</v>
      </c>
      <c r="V112" s="1024">
        <v>3</v>
      </c>
      <c r="W112" s="1052" t="s">
        <v>1238</v>
      </c>
      <c r="X112" s="1052" t="s">
        <v>1239</v>
      </c>
      <c r="Y112" s="1021" t="s">
        <v>1240</v>
      </c>
      <c r="Z112" s="979" t="s">
        <v>1241</v>
      </c>
      <c r="AA112" s="979" t="s">
        <v>1242</v>
      </c>
      <c r="AB112" s="1021" t="s">
        <v>1243</v>
      </c>
      <c r="AC112" s="979" t="s">
        <v>1244</v>
      </c>
      <c r="AD112" s="979" t="s">
        <v>1245</v>
      </c>
      <c r="AE112" s="1021" t="s">
        <v>1246</v>
      </c>
      <c r="AF112" s="979" t="s">
        <v>97</v>
      </c>
      <c r="AG112" s="1024">
        <v>3</v>
      </c>
      <c r="AH112" s="979" t="s">
        <v>1238</v>
      </c>
      <c r="AI112" s="979" t="s">
        <v>1239</v>
      </c>
      <c r="AJ112" s="979" t="s">
        <v>1240</v>
      </c>
      <c r="AK112" s="979" t="s">
        <v>1241</v>
      </c>
      <c r="AL112" s="979" t="s">
        <v>1242</v>
      </c>
      <c r="AM112" s="979" t="s">
        <v>1243</v>
      </c>
      <c r="AN112" s="979" t="s">
        <v>1244</v>
      </c>
      <c r="AO112" s="979" t="s">
        <v>1245</v>
      </c>
      <c r="AP112" s="979" t="s">
        <v>1246</v>
      </c>
      <c r="AQ112" s="979" t="s">
        <v>376</v>
      </c>
      <c r="AR112" s="979" t="s">
        <v>118</v>
      </c>
      <c r="AS112" s="979" t="s">
        <v>1247</v>
      </c>
      <c r="AT112" s="331" t="s">
        <v>1238</v>
      </c>
      <c r="AU112" s="331" t="s">
        <v>1239</v>
      </c>
      <c r="AV112" s="331" t="s">
        <v>1240</v>
      </c>
      <c r="AW112" s="332">
        <v>34615389976</v>
      </c>
      <c r="AX112" s="331" t="s">
        <v>1248</v>
      </c>
      <c r="AY112" s="331" t="s">
        <v>97</v>
      </c>
      <c r="AZ112" s="331" t="s">
        <v>121</v>
      </c>
      <c r="BA112" s="331" t="s">
        <v>1249</v>
      </c>
      <c r="BB112" s="333">
        <v>45943</v>
      </c>
      <c r="BC112" s="342">
        <v>0.3888888888888889</v>
      </c>
      <c r="BD112" s="331" t="s">
        <v>1249</v>
      </c>
      <c r="BE112" s="333">
        <v>45945</v>
      </c>
      <c r="BF112" s="342">
        <v>0.43402777777777779</v>
      </c>
      <c r="BG112" s="331" t="s">
        <v>97</v>
      </c>
      <c r="BH112" s="331" t="s">
        <v>1250</v>
      </c>
      <c r="BI112" s="132" t="s">
        <v>98</v>
      </c>
      <c r="BJ112" s="132" t="s">
        <v>98</v>
      </c>
      <c r="BK112" s="132" t="s">
        <v>98</v>
      </c>
      <c r="BL112" s="667" t="s">
        <v>98</v>
      </c>
      <c r="BM112" s="111" t="s">
        <v>1249</v>
      </c>
      <c r="BN112" s="29" t="s">
        <v>126</v>
      </c>
      <c r="BO112" s="705">
        <v>45943</v>
      </c>
      <c r="BP112" s="934"/>
      <c r="BQ112" s="697" t="s">
        <v>1251</v>
      </c>
      <c r="BR112" s="111" t="s">
        <v>1249</v>
      </c>
      <c r="BS112" s="705">
        <v>45945</v>
      </c>
      <c r="BT112" s="706">
        <v>0.43402777777777779</v>
      </c>
      <c r="BU112" s="697" t="s">
        <v>1252</v>
      </c>
      <c r="BV112" s="804">
        <v>546.55999999999995</v>
      </c>
      <c r="BW112" s="690">
        <v>1</v>
      </c>
      <c r="BX112" s="132">
        <v>1</v>
      </c>
      <c r="BY112" s="111"/>
      <c r="BZ112" s="483">
        <v>45943</v>
      </c>
      <c r="CA112" s="483">
        <v>45945</v>
      </c>
      <c r="CB112" s="483"/>
      <c r="CC112" s="111">
        <f>BW112+BX112+BY112</f>
        <v>2</v>
      </c>
      <c r="CD112" s="111" t="s">
        <v>88</v>
      </c>
      <c r="CE112" s="111" t="s">
        <v>88</v>
      </c>
      <c r="CF112" s="111" t="s">
        <v>88</v>
      </c>
      <c r="CG112" s="111" t="s">
        <v>88</v>
      </c>
      <c r="CH112" s="111" t="s">
        <v>88</v>
      </c>
    </row>
    <row r="113" spans="1:86" ht="21.5" hidden="1" customHeight="1">
      <c r="A113" s="989"/>
      <c r="B113" s="977"/>
      <c r="C113" s="977"/>
      <c r="D113" s="977"/>
      <c r="E113" s="990"/>
      <c r="F113" s="982" t="s">
        <v>88</v>
      </c>
      <c r="G113" s="980" t="s">
        <v>88</v>
      </c>
      <c r="H113" s="980" t="s">
        <v>88</v>
      </c>
      <c r="I113" s="980" t="s">
        <v>88</v>
      </c>
      <c r="J113" s="980" t="s">
        <v>88</v>
      </c>
      <c r="K113" s="980" t="s">
        <v>88</v>
      </c>
      <c r="L113" s="980" t="s">
        <v>88</v>
      </c>
      <c r="M113" s="980" t="s">
        <v>88</v>
      </c>
      <c r="N113" s="980" t="s">
        <v>88</v>
      </c>
      <c r="O113" s="980" t="s">
        <v>88</v>
      </c>
      <c r="P113" s="980" t="s">
        <v>88</v>
      </c>
      <c r="Q113" s="980" t="s">
        <v>88</v>
      </c>
      <c r="R113" s="980" t="s">
        <v>88</v>
      </c>
      <c r="S113" s="980" t="s">
        <v>88</v>
      </c>
      <c r="T113" s="1021" t="s">
        <v>88</v>
      </c>
      <c r="U113" s="980" t="s">
        <v>88</v>
      </c>
      <c r="V113" s="1024" t="s">
        <v>88</v>
      </c>
      <c r="W113" s="1052"/>
      <c r="X113" s="1052" t="s">
        <v>88</v>
      </c>
      <c r="Y113" s="1021" t="s">
        <v>88</v>
      </c>
      <c r="Z113" s="979" t="s">
        <v>88</v>
      </c>
      <c r="AA113" s="979" t="s">
        <v>88</v>
      </c>
      <c r="AB113" s="1021"/>
      <c r="AC113" s="980" t="s">
        <v>88</v>
      </c>
      <c r="AD113" s="980" t="s">
        <v>88</v>
      </c>
      <c r="AE113" s="1021"/>
      <c r="AF113" s="980" t="s">
        <v>88</v>
      </c>
      <c r="AG113" s="1024" t="s">
        <v>88</v>
      </c>
      <c r="AH113" s="980" t="s">
        <v>88</v>
      </c>
      <c r="AI113" s="980" t="s">
        <v>88</v>
      </c>
      <c r="AJ113" s="980" t="s">
        <v>88</v>
      </c>
      <c r="AK113" s="980" t="s">
        <v>88</v>
      </c>
      <c r="AL113" s="980" t="s">
        <v>88</v>
      </c>
      <c r="AM113" s="980" t="s">
        <v>88</v>
      </c>
      <c r="AN113" s="980" t="s">
        <v>88</v>
      </c>
      <c r="AO113" s="980" t="s">
        <v>88</v>
      </c>
      <c r="AP113" s="980" t="s">
        <v>88</v>
      </c>
      <c r="AQ113" s="980" t="s">
        <v>88</v>
      </c>
      <c r="AR113" s="980" t="s">
        <v>88</v>
      </c>
      <c r="AS113" s="980" t="s">
        <v>88</v>
      </c>
      <c r="AT113" s="331" t="s">
        <v>1253</v>
      </c>
      <c r="AU113" s="331" t="s">
        <v>1242</v>
      </c>
      <c r="AV113" s="331" t="s">
        <v>1243</v>
      </c>
      <c r="AW113" s="336">
        <v>34651704941</v>
      </c>
      <c r="AX113" s="337" t="s">
        <v>1254</v>
      </c>
      <c r="AY113" s="331" t="s">
        <v>97</v>
      </c>
      <c r="AZ113" s="337" t="s">
        <v>121</v>
      </c>
      <c r="BA113" s="337" t="s">
        <v>498</v>
      </c>
      <c r="BB113" s="333">
        <v>45943</v>
      </c>
      <c r="BC113" s="337" t="s">
        <v>445</v>
      </c>
      <c r="BD113" s="337" t="s">
        <v>498</v>
      </c>
      <c r="BE113" s="333">
        <v>45945</v>
      </c>
      <c r="BF113" s="337" t="s">
        <v>1255</v>
      </c>
      <c r="BG113" s="331" t="s">
        <v>97</v>
      </c>
      <c r="BH113" s="331" t="s">
        <v>88</v>
      </c>
      <c r="BI113" s="132" t="s">
        <v>98</v>
      </c>
      <c r="BJ113" s="132" t="s">
        <v>98</v>
      </c>
      <c r="BK113" s="132" t="s">
        <v>98</v>
      </c>
      <c r="BL113" s="667" t="s">
        <v>98</v>
      </c>
      <c r="BM113" s="657" t="s">
        <v>498</v>
      </c>
      <c r="BN113" s="29" t="s">
        <v>126</v>
      </c>
      <c r="BO113" s="663">
        <v>45943</v>
      </c>
      <c r="BP113" s="664">
        <v>0.50694444444444442</v>
      </c>
      <c r="BQ113" s="665" t="s">
        <v>903</v>
      </c>
      <c r="BR113" s="657" t="s">
        <v>498</v>
      </c>
      <c r="BS113" s="663">
        <v>45945</v>
      </c>
      <c r="BT113" s="664">
        <v>0.51388888888888884</v>
      </c>
      <c r="BU113" s="665" t="s">
        <v>1256</v>
      </c>
      <c r="BV113" s="666">
        <v>424.6</v>
      </c>
      <c r="BW113" s="690">
        <v>1</v>
      </c>
      <c r="BX113" s="132">
        <v>1</v>
      </c>
      <c r="BY113" s="111"/>
      <c r="BZ113" s="483">
        <v>45943</v>
      </c>
      <c r="CA113" s="483">
        <v>45945</v>
      </c>
      <c r="CB113" s="483"/>
      <c r="CC113" s="111">
        <f>BW113+BX113+BY113</f>
        <v>2</v>
      </c>
      <c r="CD113" s="111" t="s">
        <v>88</v>
      </c>
      <c r="CE113" s="111" t="s">
        <v>88</v>
      </c>
      <c r="CF113" s="111" t="s">
        <v>88</v>
      </c>
      <c r="CG113" s="111" t="s">
        <v>88</v>
      </c>
      <c r="CH113" s="111" t="s">
        <v>88</v>
      </c>
    </row>
    <row r="114" spans="1:86" ht="21.5" hidden="1" customHeight="1">
      <c r="A114" s="989"/>
      <c r="B114" s="977"/>
      <c r="C114" s="977"/>
      <c r="D114" s="977"/>
      <c r="E114" s="990"/>
      <c r="F114" s="982" t="s">
        <v>88</v>
      </c>
      <c r="G114" s="980" t="s">
        <v>88</v>
      </c>
      <c r="H114" s="980" t="s">
        <v>88</v>
      </c>
      <c r="I114" s="980" t="s">
        <v>88</v>
      </c>
      <c r="J114" s="980" t="s">
        <v>88</v>
      </c>
      <c r="K114" s="980" t="s">
        <v>88</v>
      </c>
      <c r="L114" s="980" t="s">
        <v>88</v>
      </c>
      <c r="M114" s="980" t="s">
        <v>88</v>
      </c>
      <c r="N114" s="980" t="s">
        <v>88</v>
      </c>
      <c r="O114" s="980" t="s">
        <v>88</v>
      </c>
      <c r="P114" s="980" t="s">
        <v>88</v>
      </c>
      <c r="Q114" s="980" t="s">
        <v>88</v>
      </c>
      <c r="R114" s="980" t="s">
        <v>88</v>
      </c>
      <c r="S114" s="980" t="s">
        <v>88</v>
      </c>
      <c r="T114" s="1021" t="s">
        <v>88</v>
      </c>
      <c r="U114" s="980" t="s">
        <v>88</v>
      </c>
      <c r="V114" s="1024" t="s">
        <v>88</v>
      </c>
      <c r="W114" s="1052"/>
      <c r="X114" s="1052" t="s">
        <v>88</v>
      </c>
      <c r="Y114" s="1021" t="s">
        <v>88</v>
      </c>
      <c r="Z114" s="979" t="s">
        <v>88</v>
      </c>
      <c r="AA114" s="979" t="s">
        <v>88</v>
      </c>
      <c r="AB114" s="1021"/>
      <c r="AC114" s="980" t="s">
        <v>88</v>
      </c>
      <c r="AD114" s="980" t="s">
        <v>88</v>
      </c>
      <c r="AE114" s="1021"/>
      <c r="AF114" s="980" t="s">
        <v>88</v>
      </c>
      <c r="AG114" s="1024" t="s">
        <v>88</v>
      </c>
      <c r="AH114" s="980" t="s">
        <v>88</v>
      </c>
      <c r="AI114" s="980" t="s">
        <v>88</v>
      </c>
      <c r="AJ114" s="980" t="s">
        <v>88</v>
      </c>
      <c r="AK114" s="980" t="s">
        <v>88</v>
      </c>
      <c r="AL114" s="980" t="s">
        <v>88</v>
      </c>
      <c r="AM114" s="980" t="s">
        <v>88</v>
      </c>
      <c r="AN114" s="980" t="s">
        <v>88</v>
      </c>
      <c r="AO114" s="980" t="s">
        <v>88</v>
      </c>
      <c r="AP114" s="980" t="s">
        <v>88</v>
      </c>
      <c r="AQ114" s="980" t="s">
        <v>88</v>
      </c>
      <c r="AR114" s="980" t="s">
        <v>88</v>
      </c>
      <c r="AS114" s="980" t="s">
        <v>88</v>
      </c>
      <c r="AT114" s="337" t="s">
        <v>1257</v>
      </c>
      <c r="AU114" s="331" t="s">
        <v>1258</v>
      </c>
      <c r="AV114" s="331" t="s">
        <v>1246</v>
      </c>
      <c r="AW114" s="336">
        <v>351919656514</v>
      </c>
      <c r="AX114" s="337" t="s">
        <v>1259</v>
      </c>
      <c r="AY114" s="331" t="s">
        <v>97</v>
      </c>
      <c r="AZ114" s="337" t="s">
        <v>121</v>
      </c>
      <c r="BA114" s="337" t="s">
        <v>1260</v>
      </c>
      <c r="BB114" s="333">
        <v>45943</v>
      </c>
      <c r="BC114" s="339">
        <v>0.375</v>
      </c>
      <c r="BD114" s="337" t="s">
        <v>1260</v>
      </c>
      <c r="BE114" s="333">
        <v>45945</v>
      </c>
      <c r="BF114" s="339">
        <v>0.54166666666666663</v>
      </c>
      <c r="BG114" s="331" t="s">
        <v>97</v>
      </c>
      <c r="BH114" s="331" t="s">
        <v>88</v>
      </c>
      <c r="BI114" s="132" t="s">
        <v>98</v>
      </c>
      <c r="BJ114" s="132" t="s">
        <v>98</v>
      </c>
      <c r="BK114" s="132" t="s">
        <v>98</v>
      </c>
      <c r="BL114" s="667" t="s">
        <v>98</v>
      </c>
      <c r="BM114" s="657" t="s">
        <v>1260</v>
      </c>
      <c r="BN114" s="29" t="s">
        <v>126</v>
      </c>
      <c r="BO114" s="658">
        <v>45943</v>
      </c>
      <c r="BP114" s="659">
        <v>0.53819444444444442</v>
      </c>
      <c r="BQ114" s="660" t="s">
        <v>1261</v>
      </c>
      <c r="BR114" s="657" t="s">
        <v>1260</v>
      </c>
      <c r="BS114" s="658">
        <v>45945</v>
      </c>
      <c r="BT114" s="659">
        <v>0.60069444444444442</v>
      </c>
      <c r="BU114" s="660" t="s">
        <v>1262</v>
      </c>
      <c r="BV114" s="661">
        <v>495.53</v>
      </c>
      <c r="BW114" s="690">
        <v>1</v>
      </c>
      <c r="BX114" s="132">
        <v>1</v>
      </c>
      <c r="BY114" s="111"/>
      <c r="BZ114" s="483">
        <v>45943</v>
      </c>
      <c r="CA114" s="483">
        <v>45945</v>
      </c>
      <c r="CB114" s="483"/>
      <c r="CC114" s="111">
        <f>BW114+BX114+BY114</f>
        <v>2</v>
      </c>
      <c r="CD114" s="111" t="s">
        <v>88</v>
      </c>
      <c r="CE114" s="111" t="s">
        <v>88</v>
      </c>
      <c r="CF114" s="111" t="s">
        <v>88</v>
      </c>
      <c r="CG114" s="111" t="s">
        <v>88</v>
      </c>
      <c r="CH114" s="111" t="s">
        <v>88</v>
      </c>
    </row>
    <row r="115" spans="1:86" ht="42" hidden="1" customHeight="1">
      <c r="A115" s="238">
        <v>45945</v>
      </c>
      <c r="B115" s="237" t="s">
        <v>186</v>
      </c>
      <c r="C115" s="238">
        <v>45943</v>
      </c>
      <c r="D115" s="238">
        <v>45945</v>
      </c>
      <c r="E115" s="257">
        <v>2673</v>
      </c>
      <c r="F115" s="240" t="s">
        <v>1263</v>
      </c>
      <c r="G115" s="237" t="s">
        <v>135</v>
      </c>
      <c r="H115" s="237" t="s">
        <v>102</v>
      </c>
      <c r="I115" s="241" t="s">
        <v>88</v>
      </c>
      <c r="J115" s="237" t="s">
        <v>89</v>
      </c>
      <c r="K115" s="237" t="s">
        <v>1264</v>
      </c>
      <c r="L115" s="237" t="s">
        <v>104</v>
      </c>
      <c r="M115" s="237" t="s">
        <v>88</v>
      </c>
      <c r="N115" s="237" t="s">
        <v>1265</v>
      </c>
      <c r="O115" s="237" t="s">
        <v>1266</v>
      </c>
      <c r="P115" s="237" t="s">
        <v>1267</v>
      </c>
      <c r="Q115" s="237" t="s">
        <v>249</v>
      </c>
      <c r="R115" s="237" t="s">
        <v>1268</v>
      </c>
      <c r="S115" s="221" t="s">
        <v>88</v>
      </c>
      <c r="T115" s="221" t="s">
        <v>88</v>
      </c>
      <c r="U115" s="221" t="s">
        <v>88</v>
      </c>
      <c r="V115" s="272" t="s">
        <v>88</v>
      </c>
      <c r="W115" s="111" t="s">
        <v>88</v>
      </c>
      <c r="X115" s="111" t="s">
        <v>88</v>
      </c>
      <c r="Y115" s="111" t="s">
        <v>88</v>
      </c>
      <c r="Z115" s="111" t="s">
        <v>88</v>
      </c>
      <c r="AA115" s="111" t="s">
        <v>88</v>
      </c>
      <c r="AB115" s="111" t="s">
        <v>88</v>
      </c>
      <c r="AC115" s="111" t="s">
        <v>88</v>
      </c>
      <c r="AD115" s="111" t="s">
        <v>88</v>
      </c>
      <c r="AE115" s="111" t="s">
        <v>88</v>
      </c>
      <c r="AF115" s="111" t="s">
        <v>88</v>
      </c>
      <c r="AG115" s="221" t="s">
        <v>88</v>
      </c>
      <c r="AH115" s="111" t="s">
        <v>88</v>
      </c>
      <c r="AI115" s="111" t="s">
        <v>88</v>
      </c>
      <c r="AJ115" s="111" t="s">
        <v>88</v>
      </c>
      <c r="AK115" s="111" t="s">
        <v>88</v>
      </c>
      <c r="AL115" s="111" t="s">
        <v>88</v>
      </c>
      <c r="AM115" s="111" t="s">
        <v>88</v>
      </c>
      <c r="AN115" s="111" t="s">
        <v>88</v>
      </c>
      <c r="AO115" s="111" t="s">
        <v>88</v>
      </c>
      <c r="AP115" s="111" t="s">
        <v>88</v>
      </c>
      <c r="AQ115" s="111" t="s">
        <v>88</v>
      </c>
      <c r="AR115" s="111" t="s">
        <v>88</v>
      </c>
      <c r="AS115" s="111" t="s">
        <v>88</v>
      </c>
      <c r="AT115" s="456"/>
      <c r="AU115" s="456"/>
      <c r="AV115" s="456"/>
      <c r="AW115" s="938" t="s">
        <v>88</v>
      </c>
      <c r="AX115" s="456" t="s">
        <v>88</v>
      </c>
      <c r="AY115" s="456"/>
      <c r="AZ115" s="456"/>
      <c r="BA115" s="456"/>
      <c r="BB115" s="456"/>
      <c r="BC115" s="456"/>
      <c r="BD115" s="456"/>
      <c r="BE115" s="456"/>
      <c r="BF115" s="456"/>
      <c r="BG115" s="456"/>
      <c r="BH115" s="456" t="s">
        <v>88</v>
      </c>
      <c r="BI115" s="456" t="s">
        <v>88</v>
      </c>
      <c r="BJ115" s="456" t="s">
        <v>88</v>
      </c>
      <c r="BK115" s="456" t="s">
        <v>88</v>
      </c>
      <c r="BL115" s="456" t="s">
        <v>88</v>
      </c>
      <c r="BM115" s="939" t="s">
        <v>88</v>
      </c>
      <c r="BN115" s="943" t="s">
        <v>88</v>
      </c>
      <c r="BO115" s="943" t="s">
        <v>88</v>
      </c>
      <c r="BP115" s="943" t="s">
        <v>88</v>
      </c>
      <c r="BQ115" s="943" t="s">
        <v>88</v>
      </c>
      <c r="BR115" s="943" t="s">
        <v>88</v>
      </c>
      <c r="BS115" s="943" t="s">
        <v>88</v>
      </c>
      <c r="BT115" s="943" t="s">
        <v>88</v>
      </c>
      <c r="BU115" s="943" t="s">
        <v>88</v>
      </c>
      <c r="BV115" s="943" t="s">
        <v>88</v>
      </c>
      <c r="BW115" s="456"/>
      <c r="BX115" s="456"/>
      <c r="BY115" s="456"/>
      <c r="BZ115" s="456" t="s">
        <v>88</v>
      </c>
      <c r="CA115" s="456" t="s">
        <v>88</v>
      </c>
      <c r="CB115" s="456"/>
      <c r="CC115" s="456" t="s">
        <v>88</v>
      </c>
      <c r="CD115" s="456" t="s">
        <v>88</v>
      </c>
      <c r="CE115" s="456" t="s">
        <v>88</v>
      </c>
      <c r="CF115" s="456" t="s">
        <v>88</v>
      </c>
      <c r="CG115" s="456" t="s">
        <v>88</v>
      </c>
      <c r="CH115" s="456" t="s">
        <v>88</v>
      </c>
    </row>
    <row r="116" spans="1:86" ht="21.5" hidden="1" customHeight="1">
      <c r="A116" s="91"/>
      <c r="B116" s="91"/>
      <c r="C116" s="91"/>
      <c r="D116" s="91"/>
      <c r="E116" s="232" t="s">
        <v>1269</v>
      </c>
      <c r="F116" s="91"/>
      <c r="G116" s="91"/>
      <c r="H116" s="91"/>
      <c r="I116" s="91"/>
      <c r="J116" s="91"/>
      <c r="K116" s="91"/>
      <c r="L116" s="91"/>
      <c r="M116" s="91"/>
      <c r="N116" s="91"/>
      <c r="O116" s="91"/>
      <c r="P116" s="91"/>
      <c r="Q116" s="91"/>
      <c r="R116" s="91"/>
      <c r="S116" s="262" t="s">
        <v>1269</v>
      </c>
      <c r="T116" s="259" t="s">
        <v>88</v>
      </c>
      <c r="U116" s="260" t="s">
        <v>88</v>
      </c>
      <c r="V116" s="263" t="s">
        <v>1269</v>
      </c>
      <c r="W116" s="103" t="s">
        <v>88</v>
      </c>
      <c r="X116" s="103" t="s">
        <v>88</v>
      </c>
      <c r="Y116" s="103" t="s">
        <v>88</v>
      </c>
      <c r="Z116" s="103" t="s">
        <v>88</v>
      </c>
      <c r="AA116" s="103" t="s">
        <v>88</v>
      </c>
      <c r="AB116" s="103" t="s">
        <v>88</v>
      </c>
      <c r="AC116" s="103" t="s">
        <v>88</v>
      </c>
      <c r="AD116" s="103" t="s">
        <v>88</v>
      </c>
      <c r="AE116" s="103" t="s">
        <v>88</v>
      </c>
      <c r="AF116" s="103" t="s">
        <v>88</v>
      </c>
      <c r="AG116" s="261" t="s">
        <v>1269</v>
      </c>
      <c r="AH116" s="103" t="s">
        <v>88</v>
      </c>
      <c r="AI116" s="103" t="s">
        <v>88</v>
      </c>
      <c r="AJ116" s="103" t="s">
        <v>88</v>
      </c>
      <c r="AK116" s="103" t="s">
        <v>88</v>
      </c>
      <c r="AL116" s="103" t="s">
        <v>88</v>
      </c>
      <c r="AM116" s="103" t="s">
        <v>88</v>
      </c>
      <c r="AN116" s="103" t="s">
        <v>88</v>
      </c>
      <c r="AO116" s="103" t="s">
        <v>88</v>
      </c>
      <c r="AP116" s="103" t="s">
        <v>88</v>
      </c>
      <c r="AQ116" s="103" t="s">
        <v>88</v>
      </c>
      <c r="AR116" s="90"/>
      <c r="AS116" s="90"/>
      <c r="AT116" s="90"/>
      <c r="AU116" s="90"/>
      <c r="AV116" s="90"/>
      <c r="AW116" s="90"/>
      <c r="AX116" s="90"/>
      <c r="AY116" s="90"/>
      <c r="AZ116" s="90"/>
      <c r="BA116" s="90"/>
      <c r="BB116" s="90"/>
      <c r="BC116" s="90"/>
      <c r="BD116" s="90"/>
      <c r="BE116" s="90"/>
      <c r="BF116" s="90"/>
      <c r="BG116" s="90"/>
      <c r="BH116" s="90"/>
      <c r="BI116" s="90"/>
      <c r="BJ116" s="90"/>
      <c r="BK116" s="90"/>
      <c r="BL116" s="90"/>
      <c r="BM116" s="90"/>
      <c r="BN116" s="90"/>
      <c r="BO116" s="90"/>
      <c r="BP116" s="90"/>
      <c r="BQ116" s="90"/>
      <c r="BR116" s="90"/>
      <c r="BS116" s="90"/>
      <c r="BT116" s="90"/>
      <c r="BU116" s="90"/>
      <c r="BV116" s="90"/>
      <c r="BW116" s="90"/>
      <c r="BX116" s="90"/>
      <c r="BY116" s="90"/>
      <c r="BZ116" s="90"/>
      <c r="CA116" s="90"/>
      <c r="CB116" s="90"/>
      <c r="CC116" s="90"/>
      <c r="CD116" s="90"/>
      <c r="CE116" s="90"/>
      <c r="CF116" s="90"/>
      <c r="CG116" s="90"/>
      <c r="CH116" s="90"/>
    </row>
    <row r="117" spans="1:86" ht="21.5" hidden="1" customHeight="1">
      <c r="A117" s="91"/>
      <c r="B117" s="91"/>
      <c r="C117" s="91"/>
      <c r="D117" s="91"/>
      <c r="E117" s="232">
        <v>56</v>
      </c>
      <c r="F117" s="91"/>
      <c r="G117" s="91"/>
      <c r="H117" s="91"/>
      <c r="I117" s="91"/>
      <c r="J117" s="91"/>
      <c r="K117" s="91"/>
      <c r="L117" s="91"/>
      <c r="M117" s="91"/>
      <c r="N117" s="91"/>
      <c r="O117" s="91"/>
      <c r="P117" s="91"/>
      <c r="Q117" s="91"/>
      <c r="R117" s="91"/>
      <c r="S117" s="261">
        <v>44</v>
      </c>
      <c r="T117" s="103" t="s">
        <v>88</v>
      </c>
      <c r="U117" s="103" t="s">
        <v>88</v>
      </c>
      <c r="V117" s="261">
        <f>SUM(V2:V116)</f>
        <v>95</v>
      </c>
      <c r="W117" s="103" t="s">
        <v>88</v>
      </c>
      <c r="X117" s="103" t="s">
        <v>88</v>
      </c>
      <c r="Y117" s="103" t="s">
        <v>88</v>
      </c>
      <c r="Z117" s="103" t="s">
        <v>88</v>
      </c>
      <c r="AA117" s="103" t="s">
        <v>88</v>
      </c>
      <c r="AB117" s="103" t="s">
        <v>88</v>
      </c>
      <c r="AC117" s="103" t="s">
        <v>88</v>
      </c>
      <c r="AD117" s="103" t="s">
        <v>88</v>
      </c>
      <c r="AE117" s="103" t="s">
        <v>88</v>
      </c>
      <c r="AF117" s="103" t="s">
        <v>88</v>
      </c>
      <c r="AG117" s="273">
        <f>SUM(AG3:AG115)</f>
        <v>97</v>
      </c>
      <c r="AH117" s="103" t="s">
        <v>88</v>
      </c>
      <c r="AI117" s="103" t="s">
        <v>88</v>
      </c>
      <c r="AJ117" s="103" t="s">
        <v>88</v>
      </c>
      <c r="AK117" s="103" t="s">
        <v>88</v>
      </c>
      <c r="AL117" s="103" t="s">
        <v>88</v>
      </c>
      <c r="AM117" s="103" t="s">
        <v>88</v>
      </c>
      <c r="AN117" s="103" t="s">
        <v>88</v>
      </c>
      <c r="AO117" s="103" t="s">
        <v>88</v>
      </c>
      <c r="AP117" s="103" t="s">
        <v>88</v>
      </c>
      <c r="AQ117" s="103" t="s">
        <v>88</v>
      </c>
      <c r="AR117" s="90"/>
      <c r="AS117" s="90"/>
      <c r="AT117" s="270" t="s">
        <v>1270</v>
      </c>
      <c r="AU117" s="90"/>
      <c r="AV117" s="90"/>
      <c r="AW117" s="90"/>
      <c r="AX117" s="90"/>
      <c r="AY117" s="90"/>
      <c r="AZ117" s="90"/>
      <c r="BA117" s="90"/>
      <c r="BB117" s="90"/>
      <c r="BC117" s="90"/>
      <c r="BD117" s="90"/>
      <c r="BE117" s="90"/>
      <c r="BF117" s="90"/>
      <c r="BG117" s="90"/>
      <c r="BH117" s="90"/>
      <c r="BI117" s="90"/>
      <c r="BJ117" s="90"/>
      <c r="BK117" s="90"/>
      <c r="BL117" s="90"/>
      <c r="BM117" s="90"/>
      <c r="BN117" s="90"/>
      <c r="BO117" s="90"/>
      <c r="BP117" s="90"/>
      <c r="BQ117" s="90"/>
      <c r="BR117" s="90"/>
      <c r="BS117" s="90"/>
      <c r="BT117" s="90"/>
      <c r="BU117" s="90"/>
      <c r="BV117" s="196">
        <f>SUM(BV3:BV115)</f>
        <v>19010.11</v>
      </c>
      <c r="BW117" s="90">
        <f>SUM(BW3:BW115)</f>
        <v>55</v>
      </c>
      <c r="BX117" s="90">
        <f t="shared" ref="BX117:BY117" si="1">SUM(BX3:BX115)</f>
        <v>54</v>
      </c>
      <c r="BY117" s="90">
        <f t="shared" si="1"/>
        <v>1</v>
      </c>
      <c r="BZ117" s="90"/>
      <c r="CA117" s="90"/>
      <c r="CB117" s="90"/>
      <c r="CC117" s="90"/>
      <c r="CD117" s="90"/>
      <c r="CE117" s="90"/>
      <c r="CF117" s="90"/>
      <c r="CG117" s="90"/>
      <c r="CH117" s="90"/>
    </row>
    <row r="118" spans="1:86" ht="21.5" hidden="1" customHeight="1">
      <c r="A118" s="91"/>
      <c r="B118" s="91"/>
      <c r="C118" s="91"/>
      <c r="D118" s="91"/>
      <c r="E118" s="258" t="s">
        <v>88</v>
      </c>
      <c r="F118" s="91"/>
      <c r="G118" s="91"/>
      <c r="H118" s="91"/>
      <c r="I118" s="91"/>
      <c r="J118" s="91"/>
      <c r="K118" s="91"/>
      <c r="L118" s="91"/>
      <c r="M118" s="91"/>
      <c r="N118" s="91"/>
      <c r="O118" s="91"/>
      <c r="P118" s="91"/>
      <c r="Q118" s="91"/>
      <c r="R118" s="91"/>
      <c r="S118" s="264" t="s">
        <v>88</v>
      </c>
      <c r="T118" s="264" t="s">
        <v>88</v>
      </c>
      <c r="U118" s="264" t="s">
        <v>88</v>
      </c>
      <c r="V118" s="264" t="s">
        <v>88</v>
      </c>
      <c r="W118" s="264" t="s">
        <v>88</v>
      </c>
      <c r="X118" s="264" t="s">
        <v>88</v>
      </c>
      <c r="Y118" s="264" t="s">
        <v>88</v>
      </c>
      <c r="Z118" s="264" t="s">
        <v>88</v>
      </c>
      <c r="AA118" s="264" t="s">
        <v>88</v>
      </c>
      <c r="AB118" s="264" t="s">
        <v>88</v>
      </c>
      <c r="AC118" s="264" t="s">
        <v>88</v>
      </c>
      <c r="AD118" s="264" t="s">
        <v>88</v>
      </c>
      <c r="AE118" s="264" t="s">
        <v>88</v>
      </c>
      <c r="AF118" s="264" t="s">
        <v>88</v>
      </c>
      <c r="AG118" s="264" t="s">
        <v>88</v>
      </c>
      <c r="AH118" s="264" t="s">
        <v>88</v>
      </c>
      <c r="AI118" s="264" t="s">
        <v>88</v>
      </c>
      <c r="AJ118" s="264" t="s">
        <v>88</v>
      </c>
      <c r="AK118" s="264" t="s">
        <v>88</v>
      </c>
      <c r="AL118" s="264" t="s">
        <v>88</v>
      </c>
      <c r="AM118" s="264" t="s">
        <v>88</v>
      </c>
      <c r="AN118" s="264" t="s">
        <v>88</v>
      </c>
      <c r="AO118" s="264" t="s">
        <v>88</v>
      </c>
      <c r="AP118" s="264" t="s">
        <v>88</v>
      </c>
      <c r="AQ118" s="264" t="s">
        <v>88</v>
      </c>
      <c r="AR118" s="264"/>
      <c r="AS118" s="264"/>
      <c r="AT118" s="271" t="s">
        <v>1271</v>
      </c>
      <c r="AU118" s="264"/>
      <c r="AV118" s="90"/>
      <c r="AW118" s="90"/>
      <c r="AX118" s="90"/>
      <c r="AY118" s="90"/>
      <c r="AZ118" s="90"/>
      <c r="BA118" s="90"/>
      <c r="BB118" s="90"/>
      <c r="BC118" s="90"/>
      <c r="BD118" s="90"/>
      <c r="BE118" s="90"/>
      <c r="BF118" s="90"/>
      <c r="BG118" s="90"/>
      <c r="BH118" s="90"/>
      <c r="BI118" s="90"/>
      <c r="BJ118" s="90"/>
      <c r="BK118" s="90"/>
      <c r="BL118" s="90"/>
      <c r="BM118" s="90"/>
      <c r="BN118" s="90"/>
      <c r="BO118" s="90"/>
      <c r="BP118" s="90"/>
      <c r="BQ118" s="90"/>
      <c r="BR118" s="90"/>
      <c r="BS118" s="90"/>
      <c r="BT118" s="90"/>
      <c r="BU118" s="90"/>
      <c r="BV118" s="196" t="s">
        <v>1272</v>
      </c>
      <c r="BW118" s="1">
        <v>9</v>
      </c>
      <c r="BX118" s="90">
        <v>9</v>
      </c>
      <c r="BY118" s="90">
        <v>8</v>
      </c>
      <c r="BZ118" s="90"/>
      <c r="CA118" s="90"/>
      <c r="CB118" s="90"/>
      <c r="CC118" s="90"/>
      <c r="CD118" s="90"/>
      <c r="CE118" s="90"/>
      <c r="CF118" s="90"/>
      <c r="CG118" s="90"/>
      <c r="CH118" s="90"/>
    </row>
    <row r="119" spans="1:86" ht="21.5" hidden="1" customHeight="1">
      <c r="A119" s="91"/>
      <c r="B119" s="91"/>
      <c r="C119" s="91"/>
      <c r="D119" s="91"/>
      <c r="E119" s="227"/>
      <c r="F119" s="91"/>
      <c r="G119" s="91"/>
      <c r="H119" s="91"/>
      <c r="I119" s="91"/>
      <c r="J119" s="91"/>
      <c r="K119" s="91"/>
      <c r="L119" s="91"/>
      <c r="M119" s="91"/>
      <c r="N119" s="91"/>
      <c r="O119" s="91"/>
      <c r="P119" s="91"/>
      <c r="Q119" s="91"/>
      <c r="R119" s="91"/>
      <c r="S119" s="264" t="s">
        <v>88</v>
      </c>
      <c r="T119" s="264" t="s">
        <v>88</v>
      </c>
      <c r="U119" s="264" t="s">
        <v>88</v>
      </c>
      <c r="V119" s="264" t="s">
        <v>88</v>
      </c>
      <c r="W119" s="264" t="s">
        <v>88</v>
      </c>
      <c r="X119" s="264" t="s">
        <v>88</v>
      </c>
      <c r="Y119" s="264" t="s">
        <v>88</v>
      </c>
      <c r="Z119" s="264" t="s">
        <v>88</v>
      </c>
      <c r="AA119" s="264" t="s">
        <v>88</v>
      </c>
      <c r="AB119" s="264" t="s">
        <v>88</v>
      </c>
      <c r="AC119" s="264" t="s">
        <v>88</v>
      </c>
      <c r="AD119" s="264" t="s">
        <v>88</v>
      </c>
      <c r="AE119" s="264" t="s">
        <v>88</v>
      </c>
      <c r="AF119" s="264" t="s">
        <v>88</v>
      </c>
      <c r="AG119" s="264" t="s">
        <v>88</v>
      </c>
      <c r="AH119" s="264" t="s">
        <v>88</v>
      </c>
      <c r="AI119" s="264" t="s">
        <v>88</v>
      </c>
      <c r="AJ119" s="264" t="s">
        <v>88</v>
      </c>
      <c r="AK119" s="264" t="s">
        <v>88</v>
      </c>
      <c r="AL119" s="264" t="s">
        <v>88</v>
      </c>
      <c r="AM119" s="264" t="s">
        <v>88</v>
      </c>
      <c r="AN119" s="264" t="s">
        <v>88</v>
      </c>
      <c r="AO119" s="264" t="s">
        <v>88</v>
      </c>
      <c r="AP119" s="264" t="s">
        <v>88</v>
      </c>
      <c r="AQ119" s="264" t="s">
        <v>88</v>
      </c>
      <c r="AR119" s="264"/>
      <c r="AS119" s="264"/>
      <c r="AT119" s="264"/>
      <c r="AU119" s="264"/>
      <c r="AV119" s="90"/>
      <c r="AW119" s="90"/>
      <c r="AX119" s="90"/>
      <c r="AY119" s="90"/>
      <c r="AZ119" s="90"/>
      <c r="BA119" s="90"/>
      <c r="BB119" s="90"/>
      <c r="BC119" s="90"/>
      <c r="BD119" s="90"/>
      <c r="BE119" s="90"/>
      <c r="BF119" s="90"/>
      <c r="BG119" s="90"/>
      <c r="BH119" s="90"/>
      <c r="BI119" s="90"/>
      <c r="BJ119" s="90"/>
      <c r="BK119" s="90"/>
      <c r="BL119" s="90"/>
      <c r="BM119" s="90"/>
      <c r="BN119" s="90"/>
      <c r="BO119" s="90"/>
      <c r="BP119" s="90"/>
      <c r="BQ119" s="90"/>
      <c r="BR119" s="90"/>
      <c r="BS119" s="90"/>
      <c r="BT119" s="90"/>
      <c r="BU119" s="90"/>
      <c r="BV119" s="90"/>
      <c r="BW119" s="90"/>
      <c r="BX119" s="90"/>
      <c r="BY119" s="90"/>
      <c r="BZ119" s="90"/>
      <c r="CA119" s="90"/>
      <c r="CB119" s="90"/>
      <c r="CC119" s="90"/>
      <c r="CD119" s="90"/>
      <c r="CE119" s="90"/>
      <c r="CF119" s="90"/>
      <c r="CG119" s="90"/>
      <c r="CH119" s="90"/>
    </row>
    <row r="120" spans="1:86" ht="21.5" hidden="1" customHeight="1">
      <c r="A120" s="91"/>
      <c r="B120" s="991" t="s">
        <v>1273</v>
      </c>
      <c r="C120" s="991"/>
      <c r="D120" s="991" t="s">
        <v>1274</v>
      </c>
      <c r="E120" s="991"/>
      <c r="F120" s="91"/>
      <c r="G120" s="91"/>
      <c r="H120" s="91"/>
      <c r="I120" s="91"/>
      <c r="J120" s="91"/>
      <c r="K120" s="91"/>
      <c r="L120" s="91"/>
      <c r="M120" s="91"/>
      <c r="N120" s="91"/>
      <c r="O120" s="91"/>
      <c r="P120" s="91"/>
      <c r="Q120" s="91"/>
      <c r="R120" s="91"/>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0"/>
      <c r="BF120" s="90"/>
      <c r="BG120" s="90"/>
      <c r="BH120" s="90"/>
      <c r="BI120" s="90"/>
      <c r="BJ120" s="90"/>
      <c r="BK120" s="90"/>
      <c r="BL120" s="90"/>
      <c r="BM120" s="90"/>
      <c r="BN120" s="90"/>
      <c r="BO120" s="90"/>
      <c r="BP120" s="90"/>
      <c r="BQ120" s="90"/>
      <c r="BR120" s="90"/>
      <c r="BS120" s="90"/>
      <c r="BT120" s="90"/>
      <c r="BU120" s="90"/>
      <c r="BV120" s="90"/>
      <c r="BW120" s="90"/>
      <c r="BX120" s="90"/>
      <c r="BY120" s="90"/>
      <c r="BZ120" s="90"/>
      <c r="CA120" s="90"/>
      <c r="CB120" s="90"/>
      <c r="CC120" s="90"/>
      <c r="CD120" s="90"/>
      <c r="CE120" s="90"/>
      <c r="CF120" s="90"/>
      <c r="CG120" s="90"/>
      <c r="CH120" s="90"/>
    </row>
    <row r="121" spans="1:86" ht="21.5" hidden="1" customHeight="1">
      <c r="A121" s="91"/>
      <c r="B121" s="265" t="s">
        <v>1275</v>
      </c>
      <c r="C121" s="265" t="s">
        <v>1276</v>
      </c>
      <c r="D121" s="265" t="s">
        <v>1275</v>
      </c>
      <c r="E121" s="266" t="s">
        <v>1276</v>
      </c>
      <c r="F121" s="91"/>
      <c r="G121" s="91"/>
      <c r="H121" s="91"/>
      <c r="I121" s="91"/>
      <c r="J121" s="91"/>
      <c r="K121" s="91"/>
      <c r="L121" s="91"/>
      <c r="M121" s="91"/>
      <c r="N121" s="91"/>
      <c r="O121" s="91"/>
      <c r="P121" s="91"/>
      <c r="Q121" s="91"/>
      <c r="R121" s="91"/>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0"/>
      <c r="BF121" s="90"/>
      <c r="BG121" s="90"/>
      <c r="BH121" s="90"/>
      <c r="BI121" s="90"/>
      <c r="BJ121" s="90"/>
      <c r="BK121" s="90"/>
      <c r="BL121" s="90"/>
      <c r="BM121" s="90"/>
      <c r="BN121" s="90"/>
      <c r="BO121" s="90"/>
      <c r="BP121" s="90"/>
      <c r="BQ121" s="90"/>
      <c r="BR121" s="90"/>
      <c r="BS121" s="90"/>
      <c r="BT121" s="90"/>
      <c r="BU121" s="90"/>
      <c r="BV121" s="90"/>
      <c r="BW121" s="90"/>
      <c r="BX121" s="90"/>
      <c r="BY121" s="90"/>
      <c r="BZ121" s="90"/>
      <c r="CA121" s="90"/>
      <c r="CB121" s="90"/>
      <c r="CC121" s="90"/>
      <c r="CD121" s="90"/>
      <c r="CE121" s="90"/>
      <c r="CF121" s="90"/>
      <c r="CG121" s="90"/>
      <c r="CH121" s="90"/>
    </row>
    <row r="122" spans="1:86" ht="21.5" hidden="1" customHeight="1">
      <c r="A122" s="267">
        <v>45943</v>
      </c>
      <c r="B122" s="268">
        <v>84</v>
      </c>
      <c r="C122" s="110"/>
      <c r="D122" s="268">
        <v>85</v>
      </c>
      <c r="E122" s="110"/>
      <c r="F122" s="91"/>
      <c r="G122" s="91"/>
      <c r="H122" s="91"/>
      <c r="I122" s="91"/>
      <c r="J122" s="91"/>
      <c r="K122" s="91"/>
      <c r="L122" s="91"/>
      <c r="M122" s="91"/>
      <c r="N122" s="91"/>
      <c r="O122" s="91"/>
      <c r="P122" s="91"/>
      <c r="Q122" s="91"/>
      <c r="R122" s="91"/>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c r="AY122" s="90"/>
      <c r="AZ122" s="90"/>
      <c r="BA122" s="90"/>
      <c r="BB122" s="90"/>
      <c r="BC122" s="90"/>
      <c r="BD122" s="90"/>
      <c r="BE122" s="90"/>
      <c r="BF122" s="90"/>
      <c r="BG122" s="90"/>
      <c r="BH122" s="90"/>
      <c r="BI122" s="90"/>
      <c r="BJ122" s="90"/>
      <c r="BK122" s="90"/>
      <c r="BL122" s="90"/>
      <c r="BM122" s="90"/>
      <c r="BN122" s="90"/>
      <c r="BO122" s="90"/>
      <c r="BP122" s="90"/>
      <c r="BQ122" s="90"/>
      <c r="BR122" s="90"/>
      <c r="BS122" s="90"/>
      <c r="BT122" s="90"/>
      <c r="BU122" s="90"/>
      <c r="BV122" s="90"/>
      <c r="BW122" s="90"/>
      <c r="BX122" s="90"/>
      <c r="BY122" s="90"/>
      <c r="BZ122" s="90"/>
      <c r="CA122" s="90"/>
      <c r="CB122" s="90"/>
      <c r="CC122" s="90"/>
      <c r="CD122" s="90"/>
      <c r="CE122" s="90"/>
      <c r="CF122" s="90"/>
      <c r="CG122" s="90"/>
      <c r="CH122" s="90"/>
    </row>
    <row r="123" spans="1:86" ht="21.5" hidden="1" customHeight="1">
      <c r="A123" s="267">
        <v>45944</v>
      </c>
      <c r="B123" s="268"/>
      <c r="C123" s="110"/>
      <c r="D123" s="268"/>
      <c r="E123" s="110"/>
      <c r="F123" s="91"/>
      <c r="G123" s="91"/>
      <c r="H123" s="91"/>
      <c r="I123" s="91"/>
      <c r="J123" s="91"/>
      <c r="K123" s="91"/>
      <c r="L123" s="91"/>
      <c r="M123" s="91"/>
      <c r="N123" s="91"/>
      <c r="O123" s="91"/>
      <c r="P123" s="91"/>
      <c r="Q123" s="91"/>
      <c r="R123" s="91"/>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c r="AY123" s="90"/>
      <c r="AZ123" s="90"/>
      <c r="BA123" s="90"/>
      <c r="BB123" s="90"/>
      <c r="BC123" s="90"/>
      <c r="BD123" s="90"/>
      <c r="BE123" s="90"/>
      <c r="BF123" s="90"/>
      <c r="BG123" s="90"/>
      <c r="BH123" s="90"/>
      <c r="BI123" s="90"/>
      <c r="BJ123" s="90"/>
      <c r="BK123" s="90"/>
      <c r="BL123" s="90"/>
      <c r="BM123" s="90"/>
      <c r="BN123" s="90"/>
      <c r="BO123" s="90"/>
      <c r="BP123" s="90"/>
      <c r="BQ123" s="90"/>
      <c r="BR123" s="90"/>
      <c r="BS123" s="90"/>
      <c r="BT123" s="90"/>
      <c r="BU123" s="90"/>
      <c r="BV123" s="90"/>
      <c r="BW123" s="90"/>
      <c r="BX123" s="90"/>
      <c r="BY123" s="90"/>
      <c r="BZ123" s="90"/>
      <c r="CA123" s="90"/>
      <c r="CB123" s="90"/>
      <c r="CC123" s="90"/>
      <c r="CD123" s="90"/>
      <c r="CE123" s="90"/>
      <c r="CF123" s="90"/>
      <c r="CG123" s="90"/>
      <c r="CH123" s="90"/>
    </row>
    <row r="124" spans="1:86" ht="21.5" hidden="1" customHeight="1">
      <c r="A124" s="267">
        <v>45945</v>
      </c>
      <c r="B124" s="268">
        <v>11</v>
      </c>
      <c r="C124" s="110">
        <v>84</v>
      </c>
      <c r="D124" s="268">
        <v>12</v>
      </c>
      <c r="E124" s="110">
        <v>85</v>
      </c>
      <c r="F124" s="91"/>
      <c r="G124" s="91"/>
      <c r="H124" s="91"/>
      <c r="I124" s="91"/>
      <c r="J124" s="91"/>
      <c r="K124" s="91"/>
      <c r="L124" s="91"/>
      <c r="M124" s="91"/>
      <c r="N124" s="91"/>
      <c r="O124" s="91"/>
      <c r="P124" s="91"/>
      <c r="Q124" s="91"/>
      <c r="R124" s="91"/>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c r="AY124" s="90"/>
      <c r="AZ124" s="90"/>
      <c r="BA124" s="90"/>
      <c r="BB124" s="90"/>
      <c r="BC124" s="90"/>
      <c r="BD124" s="90"/>
      <c r="BE124" s="90"/>
      <c r="BF124" s="90"/>
      <c r="BG124" s="90"/>
      <c r="BH124" s="90"/>
      <c r="BI124" s="90"/>
      <c r="BJ124" s="90"/>
      <c r="BK124" s="90"/>
      <c r="BL124" s="90"/>
      <c r="BM124" s="90"/>
      <c r="BN124" s="90"/>
      <c r="BO124" s="90"/>
      <c r="BP124" s="90"/>
      <c r="BQ124" s="90"/>
      <c r="BR124" s="90"/>
      <c r="BS124" s="90"/>
      <c r="BT124" s="90"/>
      <c r="BU124" s="90"/>
      <c r="BV124" s="90"/>
      <c r="BW124" s="90"/>
      <c r="BX124" s="90"/>
      <c r="BY124" s="90"/>
      <c r="BZ124" s="90"/>
      <c r="CA124" s="90"/>
      <c r="CB124" s="90"/>
      <c r="CC124" s="90"/>
      <c r="CD124" s="90"/>
      <c r="CE124" s="90"/>
      <c r="CF124" s="90"/>
      <c r="CG124" s="90"/>
      <c r="CH124" s="90"/>
    </row>
    <row r="125" spans="1:86" ht="21.5" hidden="1" customHeight="1">
      <c r="A125" s="267">
        <v>45946</v>
      </c>
      <c r="B125" s="268"/>
      <c r="C125" s="110">
        <v>11</v>
      </c>
      <c r="D125" s="268"/>
      <c r="E125" s="110">
        <v>12</v>
      </c>
      <c r="F125" s="91"/>
      <c r="G125" s="91"/>
      <c r="H125" s="91"/>
      <c r="I125" s="91"/>
      <c r="J125" s="91"/>
      <c r="K125" s="91"/>
      <c r="L125" s="91"/>
      <c r="M125" s="91"/>
      <c r="N125" s="91"/>
      <c r="O125" s="91"/>
      <c r="P125" s="91"/>
      <c r="Q125" s="91"/>
      <c r="R125" s="91"/>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c r="AW125" s="90"/>
      <c r="AX125" s="90"/>
      <c r="AY125" s="90"/>
      <c r="AZ125" s="90"/>
      <c r="BA125" s="90"/>
      <c r="BB125" s="90"/>
      <c r="BC125" s="90"/>
      <c r="BD125" s="90"/>
      <c r="BE125" s="90"/>
      <c r="BF125" s="90"/>
      <c r="BG125" s="90"/>
      <c r="BH125" s="90"/>
      <c r="BI125" s="90"/>
      <c r="BJ125" s="90"/>
      <c r="BK125" s="90"/>
      <c r="BL125" s="90"/>
      <c r="BM125" s="90"/>
      <c r="BN125" s="90"/>
      <c r="BO125" s="90"/>
      <c r="BP125" s="90"/>
      <c r="BQ125" s="90"/>
      <c r="BR125" s="90"/>
      <c r="BS125" s="90"/>
      <c r="BT125" s="90"/>
      <c r="BU125" s="90"/>
      <c r="BV125" s="90"/>
      <c r="BW125" s="90"/>
      <c r="BX125" s="90"/>
      <c r="BY125" s="90"/>
      <c r="BZ125" s="90"/>
      <c r="CA125" s="90"/>
      <c r="CB125" s="90"/>
      <c r="CC125" s="90"/>
      <c r="CD125" s="90"/>
      <c r="CE125" s="90"/>
      <c r="CF125" s="90"/>
      <c r="CG125" s="90"/>
      <c r="CH125" s="90"/>
    </row>
    <row r="126" spans="1:86" ht="21.5" hidden="1" customHeight="1">
      <c r="A126" s="95"/>
      <c r="B126" s="265">
        <v>95</v>
      </c>
      <c r="C126" s="265">
        <v>95</v>
      </c>
      <c r="D126" s="265">
        <v>97</v>
      </c>
      <c r="E126" s="265">
        <v>97</v>
      </c>
      <c r="F126" s="95"/>
      <c r="G126" s="95"/>
      <c r="H126" s="95"/>
      <c r="I126" s="95"/>
      <c r="J126" s="95"/>
      <c r="K126" s="95"/>
      <c r="L126" s="95"/>
      <c r="M126" s="95"/>
      <c r="N126" s="95"/>
      <c r="O126" s="95"/>
      <c r="P126" s="95"/>
      <c r="Q126" s="95"/>
      <c r="R126" s="95"/>
      <c r="S126" s="196"/>
      <c r="T126" s="196"/>
      <c r="U126" s="196"/>
      <c r="V126" s="196"/>
      <c r="W126" s="196"/>
      <c r="X126" s="196"/>
      <c r="Y126" s="196"/>
      <c r="Z126" s="196"/>
      <c r="AA126" s="196"/>
      <c r="AB126" s="196"/>
      <c r="AC126" s="196"/>
      <c r="AD126" s="196"/>
      <c r="AE126" s="196"/>
      <c r="AF126" s="196"/>
      <c r="AG126" s="196"/>
      <c r="AH126" s="196"/>
      <c r="AI126" s="196"/>
      <c r="AJ126" s="196"/>
      <c r="AK126" s="196"/>
      <c r="AL126" s="196"/>
      <c r="AM126" s="196"/>
      <c r="AN126" s="196"/>
      <c r="AO126" s="196"/>
      <c r="AP126" s="196"/>
      <c r="AQ126" s="196"/>
      <c r="AR126" s="196"/>
      <c r="AS126" s="196"/>
      <c r="AT126" s="196"/>
      <c r="AU126" s="196"/>
      <c r="AV126" s="196"/>
      <c r="AW126" s="196"/>
      <c r="AX126" s="196"/>
      <c r="AY126" s="196"/>
      <c r="AZ126" s="196"/>
      <c r="BA126" s="196"/>
      <c r="BB126" s="196"/>
      <c r="BC126" s="196"/>
      <c r="BD126" s="196"/>
      <c r="BE126" s="196"/>
      <c r="BF126" s="196"/>
      <c r="BG126" s="196"/>
      <c r="BH126" s="196"/>
      <c r="BI126" s="196"/>
      <c r="BJ126" s="196"/>
      <c r="BK126" s="196"/>
      <c r="BL126" s="196"/>
      <c r="BM126" s="196"/>
      <c r="BN126" s="196"/>
      <c r="BO126" s="196"/>
      <c r="BP126" s="196"/>
      <c r="BQ126" s="196"/>
      <c r="BR126" s="196"/>
      <c r="BS126" s="196"/>
      <c r="BT126" s="196"/>
      <c r="BU126" s="196"/>
      <c r="BV126" s="196"/>
      <c r="BW126" s="196"/>
      <c r="BX126" s="196"/>
      <c r="BY126" s="196"/>
      <c r="BZ126" s="196"/>
      <c r="CA126" s="196"/>
      <c r="CB126" s="196"/>
      <c r="CC126" s="196"/>
      <c r="CD126" s="196"/>
      <c r="CE126" s="196"/>
      <c r="CF126" s="196"/>
      <c r="CG126" s="196"/>
      <c r="CH126" s="196"/>
    </row>
    <row r="127" spans="1:86" ht="21.5" customHeight="1">
      <c r="A127" s="91"/>
      <c r="B127" s="91"/>
      <c r="C127" s="91"/>
      <c r="D127" s="91"/>
      <c r="E127" s="227"/>
      <c r="F127" s="91"/>
      <c r="G127" s="91"/>
      <c r="H127" s="91"/>
      <c r="I127" s="91"/>
      <c r="J127" s="91"/>
      <c r="K127" s="91"/>
      <c r="L127" s="91"/>
      <c r="M127" s="91"/>
      <c r="N127" s="91"/>
      <c r="O127" s="91"/>
      <c r="P127" s="91"/>
      <c r="Q127" s="91"/>
      <c r="R127" s="91"/>
      <c r="S127" s="90"/>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c r="AW127" s="90"/>
      <c r="AX127" s="90"/>
      <c r="AY127" s="90"/>
      <c r="AZ127" s="90"/>
      <c r="BA127" s="90"/>
      <c r="BB127" s="90"/>
      <c r="BC127" s="90"/>
      <c r="BD127" s="90"/>
      <c r="BE127" s="90"/>
      <c r="BF127" s="90"/>
      <c r="BG127" s="90"/>
      <c r="BH127" s="90"/>
      <c r="BI127" s="90"/>
      <c r="BJ127" s="90"/>
      <c r="BK127" s="90"/>
      <c r="BL127" s="90"/>
      <c r="BM127" s="90"/>
      <c r="BN127" s="90"/>
      <c r="BO127" s="90"/>
      <c r="BP127" s="90"/>
      <c r="BQ127" s="90"/>
      <c r="BR127" s="90"/>
      <c r="BS127" s="90"/>
      <c r="BT127" s="90"/>
      <c r="BU127" s="90"/>
      <c r="BV127" s="90"/>
      <c r="BW127" s="90"/>
      <c r="BX127" s="90"/>
      <c r="BY127" s="90"/>
      <c r="BZ127" s="90"/>
      <c r="CA127" s="90"/>
      <c r="CB127" s="90"/>
      <c r="CC127" s="90"/>
      <c r="CD127" s="90"/>
      <c r="CE127" s="90"/>
      <c r="CF127" s="90"/>
      <c r="CG127" s="90"/>
      <c r="CH127" s="90"/>
    </row>
    <row r="128" spans="1:86" ht="21.5" customHeight="1">
      <c r="A128" s="91"/>
      <c r="B128" s="95"/>
      <c r="C128" s="95"/>
      <c r="D128" s="95"/>
      <c r="E128" s="95"/>
      <c r="F128" s="91"/>
      <c r="G128" s="91"/>
      <c r="H128" s="91"/>
      <c r="I128" s="91"/>
      <c r="J128" s="91"/>
      <c r="K128" s="91"/>
      <c r="L128" s="91"/>
      <c r="M128" s="91"/>
      <c r="N128" s="91"/>
      <c r="O128" s="91"/>
      <c r="P128" s="91"/>
      <c r="Q128" s="91"/>
      <c r="R128" s="91"/>
      <c r="S128" s="90"/>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c r="AW128" s="90"/>
      <c r="AX128" s="90"/>
      <c r="AY128" s="90"/>
      <c r="AZ128" s="90"/>
      <c r="BA128" s="90"/>
      <c r="BB128" s="90"/>
      <c r="BC128" s="90"/>
      <c r="BD128" s="90"/>
      <c r="BE128" s="90"/>
      <c r="BF128" s="90"/>
      <c r="BG128" s="90"/>
      <c r="BH128" s="90"/>
      <c r="BI128" s="90"/>
      <c r="BJ128" s="90"/>
      <c r="BK128" s="90"/>
      <c r="BL128" s="90"/>
      <c r="BM128" s="90"/>
      <c r="BN128" s="90"/>
      <c r="BO128" s="90"/>
      <c r="BP128" s="90"/>
      <c r="BQ128" s="90"/>
      <c r="BR128" s="90"/>
      <c r="BS128" s="90"/>
      <c r="BT128" s="90"/>
      <c r="BU128" s="90"/>
      <c r="BV128" s="90"/>
      <c r="BW128" s="90"/>
      <c r="BX128" s="90"/>
      <c r="BY128" s="90"/>
      <c r="BZ128" s="90"/>
      <c r="CA128" s="90"/>
      <c r="CB128" s="90"/>
      <c r="CC128" s="90"/>
      <c r="CD128" s="90"/>
      <c r="CE128" s="90"/>
      <c r="CF128" s="90"/>
      <c r="CG128" s="90"/>
      <c r="CH128" s="90"/>
    </row>
    <row r="129" spans="1:86" ht="33.75" customHeight="1">
      <c r="A129" s="412"/>
      <c r="B129" s="966" t="s">
        <v>1274</v>
      </c>
      <c r="C129" s="967"/>
      <c r="D129" s="968"/>
      <c r="E129" s="228"/>
      <c r="F129" s="91"/>
      <c r="G129" s="91"/>
      <c r="H129" s="91"/>
      <c r="I129" s="91"/>
      <c r="J129" s="91"/>
      <c r="K129" s="91"/>
      <c r="L129" s="91"/>
      <c r="M129" s="91"/>
      <c r="N129" s="91"/>
      <c r="O129" s="91"/>
      <c r="P129" s="91"/>
      <c r="Q129" s="91"/>
      <c r="R129" s="91"/>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c r="AW129" s="90"/>
      <c r="AX129" s="90"/>
      <c r="AY129" s="90"/>
      <c r="AZ129" s="90"/>
      <c r="BA129" s="90"/>
      <c r="BB129" s="90"/>
      <c r="BC129" s="90"/>
      <c r="BD129" s="90"/>
      <c r="BE129" s="90"/>
      <c r="BF129" s="90"/>
      <c r="BG129" s="90"/>
      <c r="BH129" s="90"/>
      <c r="BI129" s="90"/>
      <c r="BJ129" s="90"/>
      <c r="BK129" s="90"/>
      <c r="BL129" s="90"/>
      <c r="BM129" s="90"/>
      <c r="BN129" s="90"/>
      <c r="BO129" s="90"/>
      <c r="BP129" s="90"/>
      <c r="BQ129" s="90"/>
      <c r="BR129" s="90"/>
      <c r="BS129" s="90"/>
      <c r="BT129" s="90"/>
      <c r="BU129" s="90"/>
      <c r="BV129" s="90"/>
      <c r="BW129" s="90"/>
      <c r="BX129" s="90"/>
      <c r="BY129" s="90"/>
      <c r="BZ129" s="90"/>
      <c r="CA129" s="90"/>
      <c r="CB129" s="90"/>
      <c r="CC129" s="90"/>
      <c r="CD129" s="90"/>
      <c r="CE129" s="90"/>
      <c r="CF129" s="90"/>
      <c r="CG129" s="90"/>
      <c r="CH129" s="90"/>
    </row>
    <row r="130" spans="1:86" ht="21.5" customHeight="1">
      <c r="A130" s="414"/>
      <c r="B130" s="413">
        <v>45943</v>
      </c>
      <c r="C130" s="413">
        <v>45944</v>
      </c>
      <c r="D130" s="413">
        <v>45945</v>
      </c>
      <c r="E130" s="227"/>
      <c r="F130" s="91"/>
      <c r="G130" s="91"/>
      <c r="H130" s="91"/>
      <c r="I130" s="91"/>
      <c r="J130" s="91"/>
      <c r="K130" s="91"/>
      <c r="L130" s="91"/>
      <c r="M130" s="91"/>
      <c r="N130" s="91"/>
      <c r="O130" s="91"/>
      <c r="P130" s="91"/>
      <c r="Q130" s="91"/>
      <c r="R130" s="91"/>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c r="AW130" s="90"/>
      <c r="AX130" s="90"/>
      <c r="AY130" s="90"/>
      <c r="AZ130" s="90"/>
      <c r="BA130" s="90"/>
      <c r="BB130" s="90"/>
      <c r="BC130" s="90"/>
      <c r="BD130" s="90"/>
      <c r="BE130" s="90"/>
      <c r="BF130" s="90"/>
      <c r="BG130" s="90"/>
      <c r="BH130" s="90"/>
      <c r="BI130" s="90"/>
      <c r="BJ130" s="90"/>
      <c r="BK130" s="90"/>
      <c r="BL130" s="90"/>
      <c r="BM130" s="90"/>
      <c r="BN130" s="90"/>
      <c r="BO130" s="90"/>
      <c r="BP130" s="90"/>
      <c r="BQ130" s="90"/>
      <c r="BR130" s="90"/>
      <c r="BS130" s="90"/>
      <c r="BT130" s="90"/>
      <c r="BU130" s="90"/>
      <c r="BV130" s="90"/>
      <c r="BW130" s="90"/>
      <c r="BX130" s="90"/>
      <c r="BY130" s="90"/>
      <c r="BZ130" s="90"/>
      <c r="CA130" s="90"/>
      <c r="CB130" s="90"/>
      <c r="CC130" s="90"/>
      <c r="CD130" s="90"/>
      <c r="CE130" s="90"/>
      <c r="CF130" s="90"/>
      <c r="CG130" s="90"/>
      <c r="CH130" s="90"/>
    </row>
    <row r="131" spans="1:86" ht="43.5" customHeight="1">
      <c r="A131" s="420" t="s">
        <v>1277</v>
      </c>
      <c r="B131" s="110">
        <v>85</v>
      </c>
      <c r="C131" s="110">
        <v>85</v>
      </c>
      <c r="D131" s="110">
        <v>12</v>
      </c>
      <c r="E131" s="227"/>
      <c r="F131" s="91"/>
      <c r="G131" s="91"/>
      <c r="H131" s="91"/>
      <c r="I131" s="91"/>
      <c r="J131" s="91"/>
      <c r="K131" s="91"/>
      <c r="L131" s="91"/>
      <c r="M131" s="91"/>
      <c r="N131" s="91"/>
      <c r="O131" s="91"/>
      <c r="P131" s="91"/>
      <c r="Q131" s="91"/>
      <c r="R131" s="91"/>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c r="AW131" s="90"/>
      <c r="AX131" s="90"/>
      <c r="AY131" s="90"/>
      <c r="AZ131" s="90"/>
      <c r="BA131" s="90"/>
      <c r="BB131" s="90"/>
      <c r="BC131" s="90"/>
      <c r="BD131" s="90"/>
      <c r="BE131" s="90"/>
      <c r="BF131" s="90"/>
      <c r="BG131" s="90"/>
      <c r="BH131" s="90"/>
      <c r="BI131" s="90"/>
      <c r="BJ131" s="90"/>
      <c r="BK131" s="90"/>
      <c r="BL131" s="90"/>
      <c r="BM131" s="90"/>
      <c r="BN131" s="90"/>
      <c r="BO131" s="90"/>
      <c r="BP131" s="90"/>
      <c r="BQ131" s="90"/>
      <c r="BR131" s="90"/>
      <c r="BS131" s="90"/>
      <c r="BT131" s="90"/>
      <c r="BU131" s="90"/>
      <c r="BV131" s="90"/>
      <c r="BW131" s="90"/>
      <c r="BX131" s="90"/>
      <c r="BY131" s="90"/>
      <c r="BZ131" s="90"/>
      <c r="CA131" s="90"/>
      <c r="CB131" s="90"/>
      <c r="CC131" s="90"/>
      <c r="CD131" s="90"/>
      <c r="CE131" s="90"/>
      <c r="CF131" s="90"/>
      <c r="CG131" s="90"/>
      <c r="CH131" s="90"/>
    </row>
    <row r="132" spans="1:86" ht="63" customHeight="1">
      <c r="A132" s="394" t="s">
        <v>1278</v>
      </c>
      <c r="B132" s="110">
        <v>75</v>
      </c>
      <c r="C132" s="110">
        <v>75</v>
      </c>
      <c r="D132" s="110">
        <v>12</v>
      </c>
    </row>
    <row r="133" spans="1:86" ht="43.5" customHeight="1">
      <c r="A133" s="417" t="s">
        <v>1279</v>
      </c>
      <c r="B133" s="418">
        <v>52</v>
      </c>
      <c r="C133" s="418">
        <v>54</v>
      </c>
      <c r="D133" s="418">
        <v>8</v>
      </c>
      <c r="E133" s="415"/>
      <c r="F133" s="388"/>
      <c r="G133" s="388"/>
      <c r="H133" s="388"/>
      <c r="I133" s="388"/>
      <c r="J133" s="388"/>
      <c r="K133" s="388"/>
      <c r="L133" s="388"/>
      <c r="M133" s="388"/>
      <c r="N133" s="227"/>
      <c r="O133" s="227"/>
      <c r="P133" s="227"/>
      <c r="Q133" s="227"/>
    </row>
    <row r="134" spans="1:86" ht="43.5" customHeight="1">
      <c r="A134" s="433" t="s">
        <v>1280</v>
      </c>
      <c r="B134" s="416" t="s">
        <v>1281</v>
      </c>
      <c r="C134" s="416">
        <v>3</v>
      </c>
      <c r="D134" s="416"/>
      <c r="E134" s="961" t="s">
        <v>1282</v>
      </c>
      <c r="F134" s="962"/>
      <c r="G134" s="962"/>
      <c r="H134" s="962"/>
      <c r="I134" s="962"/>
      <c r="J134" s="962"/>
      <c r="K134" s="962"/>
      <c r="L134" s="962"/>
      <c r="M134" s="962"/>
      <c r="N134" s="962"/>
      <c r="O134" s="227"/>
    </row>
  </sheetData>
  <autoFilter ref="A2:CH126" xr:uid="{30F70844-C36F-40DA-890D-0F8D02D90E97}">
    <filterColumn colId="18">
      <filters>
        <filter val="Yes"/>
      </filters>
    </filterColumn>
  </autoFilter>
  <mergeCells count="1536">
    <mergeCell ref="BW1:CE1"/>
    <mergeCell ref="AS106:AS108"/>
    <mergeCell ref="W109:W111"/>
    <mergeCell ref="AR109:AR111"/>
    <mergeCell ref="AS109:AS111"/>
    <mergeCell ref="AK106:AK108"/>
    <mergeCell ref="AL106:AL108"/>
    <mergeCell ref="AQ112:AQ114"/>
    <mergeCell ref="AR112:AR114"/>
    <mergeCell ref="AS112:AS114"/>
    <mergeCell ref="AA112:AA114"/>
    <mergeCell ref="AC112:AC114"/>
    <mergeCell ref="AD112:AD114"/>
    <mergeCell ref="AE112:AE114"/>
    <mergeCell ref="AF112:AF114"/>
    <mergeCell ref="AG112:AG114"/>
    <mergeCell ref="AH112:AH114"/>
    <mergeCell ref="AI112:AI114"/>
    <mergeCell ref="AJ112:AJ114"/>
    <mergeCell ref="W112:W114"/>
    <mergeCell ref="X112:X114"/>
    <mergeCell ref="Y112:Y114"/>
    <mergeCell ref="AB112:AB114"/>
    <mergeCell ref="Z112:Z114"/>
    <mergeCell ref="AK112:AK114"/>
    <mergeCell ref="AL112:AL114"/>
    <mergeCell ref="AM112:AM114"/>
    <mergeCell ref="AN112:AN114"/>
    <mergeCell ref="AO112:AO114"/>
    <mergeCell ref="AP112:AP114"/>
    <mergeCell ref="AK109:AK111"/>
    <mergeCell ref="AL109:AL111"/>
    <mergeCell ref="W106:W108"/>
    <mergeCell ref="F112:F114"/>
    <mergeCell ref="G112:G114"/>
    <mergeCell ref="H112:H114"/>
    <mergeCell ref="I112:I114"/>
    <mergeCell ref="J112:J114"/>
    <mergeCell ref="K112:K114"/>
    <mergeCell ref="L112:L114"/>
    <mergeCell ref="M112:M114"/>
    <mergeCell ref="N112:N114"/>
    <mergeCell ref="O112:O114"/>
    <mergeCell ref="P112:P114"/>
    <mergeCell ref="Q112:Q114"/>
    <mergeCell ref="R112:R114"/>
    <mergeCell ref="S112:S114"/>
    <mergeCell ref="T112:T114"/>
    <mergeCell ref="U112:U114"/>
    <mergeCell ref="V112:V114"/>
    <mergeCell ref="F106:F108"/>
    <mergeCell ref="G106:G108"/>
    <mergeCell ref="H106:H108"/>
    <mergeCell ref="I106:I108"/>
    <mergeCell ref="J106:J108"/>
    <mergeCell ref="K106:K108"/>
    <mergeCell ref="L106:L108"/>
    <mergeCell ref="M106:M108"/>
    <mergeCell ref="N106:N108"/>
    <mergeCell ref="O106:O108"/>
    <mergeCell ref="P106:P108"/>
    <mergeCell ref="Q106:Q108"/>
    <mergeCell ref="R106:R108"/>
    <mergeCell ref="S106:S108"/>
    <mergeCell ref="AP109:AP111"/>
    <mergeCell ref="F109:F111"/>
    <mergeCell ref="G109:G111"/>
    <mergeCell ref="H109:H111"/>
    <mergeCell ref="I109:I111"/>
    <mergeCell ref="J109:J111"/>
    <mergeCell ref="K109:K111"/>
    <mergeCell ref="L109:L111"/>
    <mergeCell ref="M109:M111"/>
    <mergeCell ref="N109:N111"/>
    <mergeCell ref="O109:O111"/>
    <mergeCell ref="P109:P111"/>
    <mergeCell ref="Q109:Q111"/>
    <mergeCell ref="R109:R111"/>
    <mergeCell ref="S109:S111"/>
    <mergeCell ref="T109:T111"/>
    <mergeCell ref="U109:U111"/>
    <mergeCell ref="V109:V111"/>
    <mergeCell ref="X109:X111"/>
    <mergeCell ref="Y109:Y111"/>
    <mergeCell ref="AM106:AM108"/>
    <mergeCell ref="AN106:AN108"/>
    <mergeCell ref="AG106:AG108"/>
    <mergeCell ref="AH106:AH108"/>
    <mergeCell ref="AI106:AI108"/>
    <mergeCell ref="AC106:AC108"/>
    <mergeCell ref="AD106:AD108"/>
    <mergeCell ref="AR106:AR108"/>
    <mergeCell ref="AO106:AO108"/>
    <mergeCell ref="Z106:Z108"/>
    <mergeCell ref="AA106:AA108"/>
    <mergeCell ref="AB106:AB108"/>
    <mergeCell ref="AI109:AI111"/>
    <mergeCell ref="AE106:AE108"/>
    <mergeCell ref="AF106:AF108"/>
    <mergeCell ref="AQ109:AQ111"/>
    <mergeCell ref="Z109:Z111"/>
    <mergeCell ref="AA109:AA111"/>
    <mergeCell ref="AB109:AB111"/>
    <mergeCell ref="AC109:AC111"/>
    <mergeCell ref="AD109:AD111"/>
    <mergeCell ref="AE109:AE111"/>
    <mergeCell ref="AF109:AF111"/>
    <mergeCell ref="AG109:AG111"/>
    <mergeCell ref="AH109:AH111"/>
    <mergeCell ref="AP106:AP108"/>
    <mergeCell ref="AQ106:AQ108"/>
    <mergeCell ref="AJ109:AJ111"/>
    <mergeCell ref="AJ106:AJ108"/>
    <mergeCell ref="AM109:AM111"/>
    <mergeCell ref="AN109:AN111"/>
    <mergeCell ref="AO109:AO111"/>
    <mergeCell ref="T106:T108"/>
    <mergeCell ref="U106:U108"/>
    <mergeCell ref="V106:V108"/>
    <mergeCell ref="AQ100:AQ101"/>
    <mergeCell ref="AR100:AR101"/>
    <mergeCell ref="AS100:AS101"/>
    <mergeCell ref="F103:F105"/>
    <mergeCell ref="G103:G105"/>
    <mergeCell ref="H103:H105"/>
    <mergeCell ref="I103:I105"/>
    <mergeCell ref="J103:J105"/>
    <mergeCell ref="K103:K105"/>
    <mergeCell ref="L103:L105"/>
    <mergeCell ref="M103:M105"/>
    <mergeCell ref="N103:N105"/>
    <mergeCell ref="O103:O105"/>
    <mergeCell ref="P103:P105"/>
    <mergeCell ref="Q103:Q105"/>
    <mergeCell ref="R103:R105"/>
    <mergeCell ref="S103:S105"/>
    <mergeCell ref="T103:T105"/>
    <mergeCell ref="U103:U105"/>
    <mergeCell ref="V103:V105"/>
    <mergeCell ref="W103:W105"/>
    <mergeCell ref="X103:X105"/>
    <mergeCell ref="AQ103:AQ105"/>
    <mergeCell ref="AM103:AM105"/>
    <mergeCell ref="AR103:AR105"/>
    <mergeCell ref="AS103:AS105"/>
    <mergeCell ref="X106:X108"/>
    <mergeCell ref="Y106:Y108"/>
    <mergeCell ref="AN103:AN105"/>
    <mergeCell ref="AO103:AO105"/>
    <mergeCell ref="AP103:AP105"/>
    <mergeCell ref="AO96:AO98"/>
    <mergeCell ref="AP96:AP98"/>
    <mergeCell ref="AQ96:AQ98"/>
    <mergeCell ref="AR96:AR98"/>
    <mergeCell ref="AS96:AS98"/>
    <mergeCell ref="F100:F101"/>
    <mergeCell ref="G100:G101"/>
    <mergeCell ref="H100:H101"/>
    <mergeCell ref="I100:I101"/>
    <mergeCell ref="J100:J101"/>
    <mergeCell ref="K100:K101"/>
    <mergeCell ref="L100:L101"/>
    <mergeCell ref="M100:M101"/>
    <mergeCell ref="N100:N101"/>
    <mergeCell ref="O100:O101"/>
    <mergeCell ref="P100:P101"/>
    <mergeCell ref="Q100:Q101"/>
    <mergeCell ref="R100:R101"/>
    <mergeCell ref="S100:S101"/>
    <mergeCell ref="U100:U101"/>
    <mergeCell ref="V100:V101"/>
    <mergeCell ref="W100:W101"/>
    <mergeCell ref="AH103:AH105"/>
    <mergeCell ref="AI103:AI105"/>
    <mergeCell ref="AJ103:AJ105"/>
    <mergeCell ref="AK103:AK105"/>
    <mergeCell ref="AL103:AL105"/>
    <mergeCell ref="AJ96:AJ98"/>
    <mergeCell ref="AK96:AK98"/>
    <mergeCell ref="AO100:AO101"/>
    <mergeCell ref="AP100:AP101"/>
    <mergeCell ref="AL96:AL98"/>
    <mergeCell ref="AM96:AM98"/>
    <mergeCell ref="AN96:AN98"/>
    <mergeCell ref="Z96:Z98"/>
    <mergeCell ref="AA96:AA98"/>
    <mergeCell ref="AB96:AB98"/>
    <mergeCell ref="AC96:AC98"/>
    <mergeCell ref="AD96:AD98"/>
    <mergeCell ref="AE96:AE98"/>
    <mergeCell ref="AM100:AM101"/>
    <mergeCell ref="AN100:AN101"/>
    <mergeCell ref="AF100:AF101"/>
    <mergeCell ref="AG100:AG101"/>
    <mergeCell ref="AH100:AH101"/>
    <mergeCell ref="AI100:AI101"/>
    <mergeCell ref="AJ100:AJ101"/>
    <mergeCell ref="AK100:AK101"/>
    <mergeCell ref="AL100:AL101"/>
    <mergeCell ref="E100:E101"/>
    <mergeCell ref="AA100:AA101"/>
    <mergeCell ref="Y100:Y101"/>
    <mergeCell ref="AB100:AB101"/>
    <mergeCell ref="AC100:AC101"/>
    <mergeCell ref="AD100:AD101"/>
    <mergeCell ref="AE100:AE101"/>
    <mergeCell ref="Y103:Y105"/>
    <mergeCell ref="Z103:Z105"/>
    <mergeCell ref="AA103:AA105"/>
    <mergeCell ref="AB103:AB105"/>
    <mergeCell ref="AC103:AC105"/>
    <mergeCell ref="AD103:AD105"/>
    <mergeCell ref="X100:X101"/>
    <mergeCell ref="Z100:Z101"/>
    <mergeCell ref="AF96:AF98"/>
    <mergeCell ref="AG96:AG98"/>
    <mergeCell ref="T100:T101"/>
    <mergeCell ref="AE103:AE105"/>
    <mergeCell ref="AF103:AF105"/>
    <mergeCell ref="AG103:AG105"/>
    <mergeCell ref="AS94:AS95"/>
    <mergeCell ref="E96:E98"/>
    <mergeCell ref="F96:F98"/>
    <mergeCell ref="G96:G98"/>
    <mergeCell ref="H96:H98"/>
    <mergeCell ref="I96:I98"/>
    <mergeCell ref="J96:J98"/>
    <mergeCell ref="K96:K98"/>
    <mergeCell ref="L96:L98"/>
    <mergeCell ref="M96:M98"/>
    <mergeCell ref="N96:N98"/>
    <mergeCell ref="O96:O98"/>
    <mergeCell ref="P96:P98"/>
    <mergeCell ref="Q96:Q98"/>
    <mergeCell ref="R96:R98"/>
    <mergeCell ref="S96:S98"/>
    <mergeCell ref="T96:T98"/>
    <mergeCell ref="U96:U98"/>
    <mergeCell ref="V96:V98"/>
    <mergeCell ref="W96:W98"/>
    <mergeCell ref="X96:X98"/>
    <mergeCell ref="Y96:Y98"/>
    <mergeCell ref="AH94:AH95"/>
    <mergeCell ref="AI94:AI95"/>
    <mergeCell ref="AJ94:AJ95"/>
    <mergeCell ref="AK94:AK95"/>
    <mergeCell ref="AL94:AL95"/>
    <mergeCell ref="AM94:AM95"/>
    <mergeCell ref="AN94:AN95"/>
    <mergeCell ref="AO94:AO95"/>
    <mergeCell ref="AH96:AH98"/>
    <mergeCell ref="AI96:AI98"/>
    <mergeCell ref="AP94:AP95"/>
    <mergeCell ref="Y94:Y95"/>
    <mergeCell ref="Z94:Z95"/>
    <mergeCell ref="AA94:AA95"/>
    <mergeCell ref="AB94:AB95"/>
    <mergeCell ref="AC94:AC95"/>
    <mergeCell ref="AD94:AD95"/>
    <mergeCell ref="AE94:AE95"/>
    <mergeCell ref="AF94:AF95"/>
    <mergeCell ref="AG94:AG95"/>
    <mergeCell ref="AP91:AP93"/>
    <mergeCell ref="AQ91:AQ93"/>
    <mergeCell ref="AR91:AR93"/>
    <mergeCell ref="Z91:Z93"/>
    <mergeCell ref="AA91:AA93"/>
    <mergeCell ref="AB91:AB93"/>
    <mergeCell ref="AC91:AC93"/>
    <mergeCell ref="AD91:AD93"/>
    <mergeCell ref="AE91:AE93"/>
    <mergeCell ref="AF91:AF93"/>
    <mergeCell ref="AQ94:AQ95"/>
    <mergeCell ref="AR94:AR95"/>
    <mergeCell ref="AS91:AS93"/>
    <mergeCell ref="E94:E95"/>
    <mergeCell ref="F94:F95"/>
    <mergeCell ref="G94:G95"/>
    <mergeCell ref="H94:H95"/>
    <mergeCell ref="I94:I95"/>
    <mergeCell ref="J94:J95"/>
    <mergeCell ref="K94:K95"/>
    <mergeCell ref="L94:L95"/>
    <mergeCell ref="M94:M95"/>
    <mergeCell ref="N94:N95"/>
    <mergeCell ref="O94:O95"/>
    <mergeCell ref="P94:P95"/>
    <mergeCell ref="Q94:Q95"/>
    <mergeCell ref="R94:R95"/>
    <mergeCell ref="S94:S95"/>
    <mergeCell ref="T94:T95"/>
    <mergeCell ref="U94:U95"/>
    <mergeCell ref="V94:V95"/>
    <mergeCell ref="W94:W95"/>
    <mergeCell ref="X94:X95"/>
    <mergeCell ref="AG91:AG93"/>
    <mergeCell ref="AH91:AH93"/>
    <mergeCell ref="AI91:AI93"/>
    <mergeCell ref="AJ91:AJ93"/>
    <mergeCell ref="AK91:AK93"/>
    <mergeCell ref="AL91:AL93"/>
    <mergeCell ref="AM91:AM93"/>
    <mergeCell ref="AN91:AN93"/>
    <mergeCell ref="AO91:AO93"/>
    <mergeCell ref="X91:X93"/>
    <mergeCell ref="Y91:Y93"/>
    <mergeCell ref="AK81:AK83"/>
    <mergeCell ref="H91:H93"/>
    <mergeCell ref="I91:I93"/>
    <mergeCell ref="J91:J93"/>
    <mergeCell ref="K91:K93"/>
    <mergeCell ref="L91:L93"/>
    <mergeCell ref="M91:M93"/>
    <mergeCell ref="N91:N93"/>
    <mergeCell ref="O91:O93"/>
    <mergeCell ref="P91:P93"/>
    <mergeCell ref="Q91:Q93"/>
    <mergeCell ref="R91:R93"/>
    <mergeCell ref="S91:S93"/>
    <mergeCell ref="T91:T93"/>
    <mergeCell ref="U91:U93"/>
    <mergeCell ref="V91:V93"/>
    <mergeCell ref="W91:W93"/>
    <mergeCell ref="AF81:AF83"/>
    <mergeCell ref="V81:V83"/>
    <mergeCell ref="Z89:Z90"/>
    <mergeCell ref="J85:J87"/>
    <mergeCell ref="K85:K87"/>
    <mergeCell ref="L85:L87"/>
    <mergeCell ref="M85:M87"/>
    <mergeCell ref="N85:N87"/>
    <mergeCell ref="O85:O87"/>
    <mergeCell ref="P85:P87"/>
    <mergeCell ref="Q85:Q87"/>
    <mergeCell ref="R85:R87"/>
    <mergeCell ref="S85:S87"/>
    <mergeCell ref="H85:H87"/>
    <mergeCell ref="I85:I87"/>
    <mergeCell ref="AE78:AE80"/>
    <mergeCell ref="AR78:AR80"/>
    <mergeCell ref="AS78:AS80"/>
    <mergeCell ref="AN78:AN80"/>
    <mergeCell ref="AO78:AO80"/>
    <mergeCell ref="AP78:AP80"/>
    <mergeCell ref="D81:D83"/>
    <mergeCell ref="E81:E83"/>
    <mergeCell ref="F81:F83"/>
    <mergeCell ref="G81:G83"/>
    <mergeCell ref="H81:H83"/>
    <mergeCell ref="I81:I83"/>
    <mergeCell ref="J81:J83"/>
    <mergeCell ref="K81:K83"/>
    <mergeCell ref="L81:L83"/>
    <mergeCell ref="M81:M83"/>
    <mergeCell ref="N81:N83"/>
    <mergeCell ref="O81:O83"/>
    <mergeCell ref="P81:P83"/>
    <mergeCell ref="Q81:Q83"/>
    <mergeCell ref="R81:R83"/>
    <mergeCell ref="S81:S83"/>
    <mergeCell ref="T81:T83"/>
    <mergeCell ref="AO81:AO83"/>
    <mergeCell ref="AP81:AP83"/>
    <mergeCell ref="AQ81:AQ83"/>
    <mergeCell ref="AR81:AR83"/>
    <mergeCell ref="AS81:AS83"/>
    <mergeCell ref="AG81:AG83"/>
    <mergeCell ref="AH81:AH83"/>
    <mergeCell ref="AI81:AI83"/>
    <mergeCell ref="AJ81:AJ83"/>
    <mergeCell ref="AO75:AO77"/>
    <mergeCell ref="AP75:AP77"/>
    <mergeCell ref="AQ75:AQ77"/>
    <mergeCell ref="AR75:AR77"/>
    <mergeCell ref="AS75:AS77"/>
    <mergeCell ref="W78:W80"/>
    <mergeCell ref="AF75:AF77"/>
    <mergeCell ref="AG75:AG77"/>
    <mergeCell ref="AH75:AH77"/>
    <mergeCell ref="AI75:AI77"/>
    <mergeCell ref="AJ75:AJ77"/>
    <mergeCell ref="AK75:AK77"/>
    <mergeCell ref="AL75:AL77"/>
    <mergeCell ref="AM75:AM77"/>
    <mergeCell ref="AN75:AN77"/>
    <mergeCell ref="W75:W77"/>
    <mergeCell ref="X75:X77"/>
    <mergeCell ref="Y75:Y77"/>
    <mergeCell ref="AB75:AB77"/>
    <mergeCell ref="Z75:Z77"/>
    <mergeCell ref="AF78:AF80"/>
    <mergeCell ref="AG78:AG80"/>
    <mergeCell ref="AH78:AH80"/>
    <mergeCell ref="AI78:AI80"/>
    <mergeCell ref="AJ78:AJ80"/>
    <mergeCell ref="AK78:AK80"/>
    <mergeCell ref="AL78:AL80"/>
    <mergeCell ref="AM78:AM80"/>
    <mergeCell ref="AQ78:AQ80"/>
    <mergeCell ref="X78:X80"/>
    <mergeCell ref="Y78:Y80"/>
    <mergeCell ref="AB78:AB80"/>
    <mergeCell ref="G78:G80"/>
    <mergeCell ref="H78:H80"/>
    <mergeCell ref="I78:I80"/>
    <mergeCell ref="J78:J80"/>
    <mergeCell ref="K78:K80"/>
    <mergeCell ref="L78:L80"/>
    <mergeCell ref="M78:M80"/>
    <mergeCell ref="N78:N80"/>
    <mergeCell ref="O78:O80"/>
    <mergeCell ref="P78:P80"/>
    <mergeCell ref="Q78:Q80"/>
    <mergeCell ref="R78:R80"/>
    <mergeCell ref="S78:S80"/>
    <mergeCell ref="U78:U80"/>
    <mergeCell ref="V78:V80"/>
    <mergeCell ref="T78:T80"/>
    <mergeCell ref="AN81:AN83"/>
    <mergeCell ref="W81:W83"/>
    <mergeCell ref="X81:X83"/>
    <mergeCell ref="Y81:Y83"/>
    <mergeCell ref="Z81:Z83"/>
    <mergeCell ref="AA81:AA83"/>
    <mergeCell ref="AB81:AB83"/>
    <mergeCell ref="AC81:AC83"/>
    <mergeCell ref="AD81:AD83"/>
    <mergeCell ref="AE81:AE83"/>
    <mergeCell ref="AL81:AL83"/>
    <mergeCell ref="AM81:AM83"/>
    <mergeCell ref="Z78:Z80"/>
    <mergeCell ref="AA78:AA80"/>
    <mergeCell ref="AC78:AC80"/>
    <mergeCell ref="AD78:AD80"/>
    <mergeCell ref="AA75:AA77"/>
    <mergeCell ref="AC75:AC77"/>
    <mergeCell ref="AD75:AD77"/>
    <mergeCell ref="AE75:AE77"/>
    <mergeCell ref="AN67:AN68"/>
    <mergeCell ref="AO67:AO68"/>
    <mergeCell ref="AP67:AP68"/>
    <mergeCell ref="AR67:AR68"/>
    <mergeCell ref="AS67:AS68"/>
    <mergeCell ref="AQ67:AQ68"/>
    <mergeCell ref="E75:E77"/>
    <mergeCell ref="F75:F77"/>
    <mergeCell ref="G75:G77"/>
    <mergeCell ref="H75:H77"/>
    <mergeCell ref="I75:I77"/>
    <mergeCell ref="J75:J77"/>
    <mergeCell ref="K75:K77"/>
    <mergeCell ref="L75:L77"/>
    <mergeCell ref="M75:M77"/>
    <mergeCell ref="N75:N77"/>
    <mergeCell ref="O75:O77"/>
    <mergeCell ref="P75:P77"/>
    <mergeCell ref="Q75:Q77"/>
    <mergeCell ref="R75:R77"/>
    <mergeCell ref="S75:S77"/>
    <mergeCell ref="T75:T77"/>
    <mergeCell ref="U75:U77"/>
    <mergeCell ref="V75:V77"/>
    <mergeCell ref="AE67:AE68"/>
    <mergeCell ref="AF67:AF68"/>
    <mergeCell ref="AG67:AG68"/>
    <mergeCell ref="AH67:AH68"/>
    <mergeCell ref="U67:U68"/>
    <mergeCell ref="AA64:AA66"/>
    <mergeCell ref="AB64:AB66"/>
    <mergeCell ref="AC64:AC66"/>
    <mergeCell ref="AD64:AD66"/>
    <mergeCell ref="AE64:AE66"/>
    <mergeCell ref="AF64:AF66"/>
    <mergeCell ref="AG64:AG66"/>
    <mergeCell ref="AH64:AH66"/>
    <mergeCell ref="AI64:AI66"/>
    <mergeCell ref="AI67:AI68"/>
    <mergeCell ref="AJ67:AJ68"/>
    <mergeCell ref="AK67:AK68"/>
    <mergeCell ref="AL67:AL68"/>
    <mergeCell ref="AM67:AM68"/>
    <mergeCell ref="V67:V68"/>
    <mergeCell ref="W67:W68"/>
    <mergeCell ref="X67:X68"/>
    <mergeCell ref="Y67:Y68"/>
    <mergeCell ref="AB67:AB68"/>
    <mergeCell ref="Z67:Z68"/>
    <mergeCell ref="AA67:AA68"/>
    <mergeCell ref="AC67:AC68"/>
    <mergeCell ref="AD67:AD68"/>
    <mergeCell ref="AJ64:AJ66"/>
    <mergeCell ref="AK64:AK66"/>
    <mergeCell ref="AL64:AL66"/>
    <mergeCell ref="AM64:AM66"/>
    <mergeCell ref="V64:V66"/>
    <mergeCell ref="W64:W66"/>
    <mergeCell ref="X64:X66"/>
    <mergeCell ref="Y64:Y66"/>
    <mergeCell ref="E67:E68"/>
    <mergeCell ref="F67:F68"/>
    <mergeCell ref="G67:G68"/>
    <mergeCell ref="H67:H68"/>
    <mergeCell ref="I67:I68"/>
    <mergeCell ref="J67:J68"/>
    <mergeCell ref="K67:K68"/>
    <mergeCell ref="L67:L68"/>
    <mergeCell ref="M67:M68"/>
    <mergeCell ref="N67:N68"/>
    <mergeCell ref="O67:O68"/>
    <mergeCell ref="P67:P68"/>
    <mergeCell ref="Q67:Q68"/>
    <mergeCell ref="R67:R68"/>
    <mergeCell ref="S67:S68"/>
    <mergeCell ref="T67:T68"/>
    <mergeCell ref="E64:E66"/>
    <mergeCell ref="F64:F66"/>
    <mergeCell ref="G64:G66"/>
    <mergeCell ref="H64:H66"/>
    <mergeCell ref="I64:I66"/>
    <mergeCell ref="J64:J66"/>
    <mergeCell ref="K64:K66"/>
    <mergeCell ref="L64:L66"/>
    <mergeCell ref="M64:M66"/>
    <mergeCell ref="N64:N66"/>
    <mergeCell ref="O64:O66"/>
    <mergeCell ref="P64:P66"/>
    <mergeCell ref="Q64:Q66"/>
    <mergeCell ref="R64:R66"/>
    <mergeCell ref="S64:S66"/>
    <mergeCell ref="T64:T66"/>
    <mergeCell ref="U64:U66"/>
    <mergeCell ref="AR60:AR61"/>
    <mergeCell ref="AS60:AS61"/>
    <mergeCell ref="Z64:Z66"/>
    <mergeCell ref="AN64:AN66"/>
    <mergeCell ref="AO64:AO66"/>
    <mergeCell ref="AP64:AP66"/>
    <mergeCell ref="AQ64:AQ66"/>
    <mergeCell ref="AR64:AR66"/>
    <mergeCell ref="AS64:AS66"/>
    <mergeCell ref="AI60:AI61"/>
    <mergeCell ref="AJ60:AJ61"/>
    <mergeCell ref="AK60:AK61"/>
    <mergeCell ref="AL60:AL61"/>
    <mergeCell ref="AM60:AM61"/>
    <mergeCell ref="AN60:AN61"/>
    <mergeCell ref="AO60:AO61"/>
    <mergeCell ref="AP60:AP61"/>
    <mergeCell ref="AQ60:AQ61"/>
    <mergeCell ref="AB60:AB61"/>
    <mergeCell ref="Z60:Z61"/>
    <mergeCell ref="AA60:AA61"/>
    <mergeCell ref="AC60:AC61"/>
    <mergeCell ref="AD60:AD61"/>
    <mergeCell ref="AE60:AE61"/>
    <mergeCell ref="AF60:AF61"/>
    <mergeCell ref="AG60:AG61"/>
    <mergeCell ref="AH60:AH61"/>
    <mergeCell ref="E60:E61"/>
    <mergeCell ref="F60:F61"/>
    <mergeCell ref="G60:G61"/>
    <mergeCell ref="H60:H61"/>
    <mergeCell ref="I60:I61"/>
    <mergeCell ref="J60:J61"/>
    <mergeCell ref="K60:K61"/>
    <mergeCell ref="L60:L61"/>
    <mergeCell ref="M60:M61"/>
    <mergeCell ref="N60:N61"/>
    <mergeCell ref="O60:O61"/>
    <mergeCell ref="P60:P61"/>
    <mergeCell ref="Q60:Q61"/>
    <mergeCell ref="R60:R61"/>
    <mergeCell ref="S60:S61"/>
    <mergeCell ref="T60:T61"/>
    <mergeCell ref="Y60:Y61"/>
    <mergeCell ref="U60:U61"/>
    <mergeCell ref="V60:V61"/>
    <mergeCell ref="W60:W61"/>
    <mergeCell ref="X60:X61"/>
    <mergeCell ref="AR54:AR56"/>
    <mergeCell ref="AS54:AS56"/>
    <mergeCell ref="E57:E58"/>
    <mergeCell ref="F57:F58"/>
    <mergeCell ref="G57:G58"/>
    <mergeCell ref="H57:H58"/>
    <mergeCell ref="I57:I58"/>
    <mergeCell ref="J57:J58"/>
    <mergeCell ref="K57:K58"/>
    <mergeCell ref="L57:L58"/>
    <mergeCell ref="M57:M58"/>
    <mergeCell ref="N57:N58"/>
    <mergeCell ref="O57:O58"/>
    <mergeCell ref="P57:P58"/>
    <mergeCell ref="Q57:Q58"/>
    <mergeCell ref="R57:R58"/>
    <mergeCell ref="S57:S58"/>
    <mergeCell ref="U57:U58"/>
    <mergeCell ref="V57:V58"/>
    <mergeCell ref="W57:W58"/>
    <mergeCell ref="AR57:AR58"/>
    <mergeCell ref="AS57:AS58"/>
    <mergeCell ref="T57:T58"/>
    <mergeCell ref="AI57:AI58"/>
    <mergeCell ref="AJ57:AJ58"/>
    <mergeCell ref="AK57:AK58"/>
    <mergeCell ref="AL57:AL58"/>
    <mergeCell ref="AM57:AM58"/>
    <mergeCell ref="AN57:AN58"/>
    <mergeCell ref="AO57:AO58"/>
    <mergeCell ref="AP57:AP58"/>
    <mergeCell ref="AN54:AN56"/>
    <mergeCell ref="AO54:AO56"/>
    <mergeCell ref="X54:X56"/>
    <mergeCell ref="Y54:Y56"/>
    <mergeCell ref="AB54:AB56"/>
    <mergeCell ref="AE54:AE56"/>
    <mergeCell ref="Z54:Z56"/>
    <mergeCell ref="AA54:AA56"/>
    <mergeCell ref="AC54:AC56"/>
    <mergeCell ref="AD54:AD56"/>
    <mergeCell ref="AF54:AF56"/>
    <mergeCell ref="AQ57:AQ58"/>
    <mergeCell ref="Z57:Z58"/>
    <mergeCell ref="AA57:AA58"/>
    <mergeCell ref="AB57:AB58"/>
    <mergeCell ref="AC57:AC58"/>
    <mergeCell ref="AD57:AD58"/>
    <mergeCell ref="AE57:AE58"/>
    <mergeCell ref="AF57:AF58"/>
    <mergeCell ref="AG57:AG58"/>
    <mergeCell ref="AH57:AH58"/>
    <mergeCell ref="AP54:AP56"/>
    <mergeCell ref="AQ54:AQ56"/>
    <mergeCell ref="V54:V56"/>
    <mergeCell ref="W54:W56"/>
    <mergeCell ref="AF50:AF52"/>
    <mergeCell ref="AG50:AG52"/>
    <mergeCell ref="AH50:AH52"/>
    <mergeCell ref="AI50:AI52"/>
    <mergeCell ref="AJ50:AJ52"/>
    <mergeCell ref="AK50:AK52"/>
    <mergeCell ref="AL50:AL52"/>
    <mergeCell ref="AM50:AM52"/>
    <mergeCell ref="X57:X58"/>
    <mergeCell ref="Y57:Y58"/>
    <mergeCell ref="AG54:AG56"/>
    <mergeCell ref="AH54:AH56"/>
    <mergeCell ref="AI54:AI56"/>
    <mergeCell ref="AJ54:AJ56"/>
    <mergeCell ref="AK54:AK56"/>
    <mergeCell ref="AL54:AL56"/>
    <mergeCell ref="AM54:AM56"/>
    <mergeCell ref="E54:E56"/>
    <mergeCell ref="F54:F56"/>
    <mergeCell ref="G54:G56"/>
    <mergeCell ref="H54:H56"/>
    <mergeCell ref="I54:I56"/>
    <mergeCell ref="J54:J56"/>
    <mergeCell ref="K54:K56"/>
    <mergeCell ref="L54:L56"/>
    <mergeCell ref="M54:M56"/>
    <mergeCell ref="N54:N56"/>
    <mergeCell ref="O54:O56"/>
    <mergeCell ref="P54:P56"/>
    <mergeCell ref="Q54:Q56"/>
    <mergeCell ref="R54:R56"/>
    <mergeCell ref="S54:S56"/>
    <mergeCell ref="T54:T56"/>
    <mergeCell ref="U54:U56"/>
    <mergeCell ref="AO47:AO49"/>
    <mergeCell ref="AP47:AP49"/>
    <mergeCell ref="AR47:AR49"/>
    <mergeCell ref="AS47:AS49"/>
    <mergeCell ref="AQ47:AQ49"/>
    <mergeCell ref="E50:E52"/>
    <mergeCell ref="F50:F52"/>
    <mergeCell ref="G50:G52"/>
    <mergeCell ref="H50:H52"/>
    <mergeCell ref="I50:I52"/>
    <mergeCell ref="J50:J52"/>
    <mergeCell ref="K50:K52"/>
    <mergeCell ref="L50:L52"/>
    <mergeCell ref="M50:M52"/>
    <mergeCell ref="N50:N52"/>
    <mergeCell ref="O50:O52"/>
    <mergeCell ref="P50:P52"/>
    <mergeCell ref="Q50:Q52"/>
    <mergeCell ref="R50:R52"/>
    <mergeCell ref="S50:S52"/>
    <mergeCell ref="T50:T52"/>
    <mergeCell ref="U50:U52"/>
    <mergeCell ref="AO50:AO52"/>
    <mergeCell ref="AP50:AP52"/>
    <mergeCell ref="AQ50:AQ52"/>
    <mergeCell ref="AR50:AR52"/>
    <mergeCell ref="AS50:AS52"/>
    <mergeCell ref="V50:V52"/>
    <mergeCell ref="V47:V49"/>
    <mergeCell ref="AG47:AG49"/>
    <mergeCell ref="AH47:AH49"/>
    <mergeCell ref="AI47:AI49"/>
    <mergeCell ref="AJ47:AJ49"/>
    <mergeCell ref="AK47:AK49"/>
    <mergeCell ref="AL47:AL49"/>
    <mergeCell ref="AM47:AM49"/>
    <mergeCell ref="AN47:AN49"/>
    <mergeCell ref="X47:X49"/>
    <mergeCell ref="Y47:Y49"/>
    <mergeCell ref="Z47:Z49"/>
    <mergeCell ref="AA47:AA49"/>
    <mergeCell ref="AB47:AB49"/>
    <mergeCell ref="AC47:AC49"/>
    <mergeCell ref="AD47:AD49"/>
    <mergeCell ref="AE47:AE49"/>
    <mergeCell ref="AF47:AF49"/>
    <mergeCell ref="AN50:AN52"/>
    <mergeCell ref="W50:W52"/>
    <mergeCell ref="X50:X52"/>
    <mergeCell ref="Y50:Y52"/>
    <mergeCell ref="Z50:Z52"/>
    <mergeCell ref="AA50:AA52"/>
    <mergeCell ref="AB50:AB52"/>
    <mergeCell ref="AC50:AC52"/>
    <mergeCell ref="AD50:AD52"/>
    <mergeCell ref="AE50:AE52"/>
    <mergeCell ref="V44:V46"/>
    <mergeCell ref="W44:W46"/>
    <mergeCell ref="X44:X46"/>
    <mergeCell ref="Y44:Y46"/>
    <mergeCell ref="Z44:Z46"/>
    <mergeCell ref="AJ40:AJ41"/>
    <mergeCell ref="AK40:AK41"/>
    <mergeCell ref="AL40:AL41"/>
    <mergeCell ref="AN44:AN46"/>
    <mergeCell ref="AO44:AO46"/>
    <mergeCell ref="AP44:AP46"/>
    <mergeCell ref="AQ44:AQ46"/>
    <mergeCell ref="AR44:AR46"/>
    <mergeCell ref="AS44:AS46"/>
    <mergeCell ref="E47:E49"/>
    <mergeCell ref="F47:F49"/>
    <mergeCell ref="G47:G49"/>
    <mergeCell ref="H47:H49"/>
    <mergeCell ref="I47:I49"/>
    <mergeCell ref="J47:J49"/>
    <mergeCell ref="K47:K49"/>
    <mergeCell ref="L47:L49"/>
    <mergeCell ref="M47:M49"/>
    <mergeCell ref="N47:N49"/>
    <mergeCell ref="O47:O49"/>
    <mergeCell ref="P47:P49"/>
    <mergeCell ref="Q47:Q49"/>
    <mergeCell ref="R47:R49"/>
    <mergeCell ref="S47:S49"/>
    <mergeCell ref="T47:T49"/>
    <mergeCell ref="U47:U49"/>
    <mergeCell ref="W47:W49"/>
    <mergeCell ref="E44:E46"/>
    <mergeCell ref="F44:F46"/>
    <mergeCell ref="G44:G46"/>
    <mergeCell ref="H44:H46"/>
    <mergeCell ref="I44:I46"/>
    <mergeCell ref="J44:J46"/>
    <mergeCell ref="K44:K46"/>
    <mergeCell ref="L44:L46"/>
    <mergeCell ref="M44:M46"/>
    <mergeCell ref="N44:N46"/>
    <mergeCell ref="O44:O46"/>
    <mergeCell ref="P44:P46"/>
    <mergeCell ref="Q44:Q46"/>
    <mergeCell ref="R44:R46"/>
    <mergeCell ref="S44:S46"/>
    <mergeCell ref="T44:T46"/>
    <mergeCell ref="U44:U46"/>
    <mergeCell ref="AR36:AR38"/>
    <mergeCell ref="AS36:AS38"/>
    <mergeCell ref="AF44:AF46"/>
    <mergeCell ref="AG44:AG46"/>
    <mergeCell ref="AH44:AH46"/>
    <mergeCell ref="AI44:AI46"/>
    <mergeCell ref="AJ44:AJ46"/>
    <mergeCell ref="AS40:AS41"/>
    <mergeCell ref="AA44:AA46"/>
    <mergeCell ref="AB44:AB46"/>
    <mergeCell ref="AK44:AK46"/>
    <mergeCell ref="AL44:AL46"/>
    <mergeCell ref="AM44:AM46"/>
    <mergeCell ref="AC44:AC46"/>
    <mergeCell ref="AD44:AD46"/>
    <mergeCell ref="AE44:AE46"/>
    <mergeCell ref="AQ36:AQ38"/>
    <mergeCell ref="AA36:AA38"/>
    <mergeCell ref="AM40:AM41"/>
    <mergeCell ref="AN40:AN41"/>
    <mergeCell ref="AO40:AO41"/>
    <mergeCell ref="AP40:AP41"/>
    <mergeCell ref="O40:O41"/>
    <mergeCell ref="P40:P41"/>
    <mergeCell ref="Q40:Q41"/>
    <mergeCell ref="R40:R41"/>
    <mergeCell ref="S40:S41"/>
    <mergeCell ref="T40:T41"/>
    <mergeCell ref="U40:U41"/>
    <mergeCell ref="AR40:AR41"/>
    <mergeCell ref="AA40:AA41"/>
    <mergeCell ref="AB40:AB41"/>
    <mergeCell ref="AC40:AC41"/>
    <mergeCell ref="AD40:AD41"/>
    <mergeCell ref="AE40:AE41"/>
    <mergeCell ref="AF40:AF41"/>
    <mergeCell ref="AG40:AG41"/>
    <mergeCell ref="AH40:AH41"/>
    <mergeCell ref="AI40:AI41"/>
    <mergeCell ref="AI33:AI35"/>
    <mergeCell ref="AJ33:AJ35"/>
    <mergeCell ref="AK33:AK35"/>
    <mergeCell ref="AL33:AL35"/>
    <mergeCell ref="AM33:AM35"/>
    <mergeCell ref="AN33:AN35"/>
    <mergeCell ref="AO33:AO35"/>
    <mergeCell ref="AP33:AP35"/>
    <mergeCell ref="V40:V41"/>
    <mergeCell ref="W40:W41"/>
    <mergeCell ref="X40:X41"/>
    <mergeCell ref="Y40:Y41"/>
    <mergeCell ref="Z40:Z41"/>
    <mergeCell ref="AI36:AI38"/>
    <mergeCell ref="AJ36:AJ38"/>
    <mergeCell ref="AK36:AK38"/>
    <mergeCell ref="AL36:AL38"/>
    <mergeCell ref="AM36:AM38"/>
    <mergeCell ref="AN36:AN38"/>
    <mergeCell ref="AO36:AO38"/>
    <mergeCell ref="AP36:AP38"/>
    <mergeCell ref="Y36:Y38"/>
    <mergeCell ref="AB36:AB38"/>
    <mergeCell ref="AC36:AC38"/>
    <mergeCell ref="AD36:AD38"/>
    <mergeCell ref="AE36:AE38"/>
    <mergeCell ref="AF36:AF38"/>
    <mergeCell ref="AG36:AG38"/>
    <mergeCell ref="AH36:AH38"/>
    <mergeCell ref="E36:E38"/>
    <mergeCell ref="F36:F38"/>
    <mergeCell ref="G36:G38"/>
    <mergeCell ref="H36:H38"/>
    <mergeCell ref="I36:I38"/>
    <mergeCell ref="J36:J38"/>
    <mergeCell ref="K36:K38"/>
    <mergeCell ref="L36:L38"/>
    <mergeCell ref="M36:M38"/>
    <mergeCell ref="N36:N38"/>
    <mergeCell ref="O36:O38"/>
    <mergeCell ref="P36:P38"/>
    <mergeCell ref="Q36:Q38"/>
    <mergeCell ref="R36:R38"/>
    <mergeCell ref="S36:S38"/>
    <mergeCell ref="T36:T38"/>
    <mergeCell ref="AQ40:AQ41"/>
    <mergeCell ref="U36:U38"/>
    <mergeCell ref="V36:V38"/>
    <mergeCell ref="W36:W38"/>
    <mergeCell ref="X36:X38"/>
    <mergeCell ref="Z36:Z38"/>
    <mergeCell ref="E40:E41"/>
    <mergeCell ref="F40:F41"/>
    <mergeCell ref="G40:G41"/>
    <mergeCell ref="H40:H41"/>
    <mergeCell ref="I40:I41"/>
    <mergeCell ref="J40:J41"/>
    <mergeCell ref="K40:K41"/>
    <mergeCell ref="L40:L41"/>
    <mergeCell ref="M40:M41"/>
    <mergeCell ref="N40:N41"/>
    <mergeCell ref="AS31:AS32"/>
    <mergeCell ref="D33:D35"/>
    <mergeCell ref="E33:E35"/>
    <mergeCell ref="F33:F35"/>
    <mergeCell ref="G33:G35"/>
    <mergeCell ref="H33:H35"/>
    <mergeCell ref="I33:I35"/>
    <mergeCell ref="J33:J35"/>
    <mergeCell ref="K33:K35"/>
    <mergeCell ref="L33:L35"/>
    <mergeCell ref="M33:M35"/>
    <mergeCell ref="N33:N35"/>
    <mergeCell ref="O33:O35"/>
    <mergeCell ref="P33:P35"/>
    <mergeCell ref="Q33:Q35"/>
    <mergeCell ref="R33:R35"/>
    <mergeCell ref="S33:S35"/>
    <mergeCell ref="T33:T35"/>
    <mergeCell ref="U33:U35"/>
    <mergeCell ref="V33:V35"/>
    <mergeCell ref="W33:W35"/>
    <mergeCell ref="AS33:AS35"/>
    <mergeCell ref="AQ33:AQ35"/>
    <mergeCell ref="AP31:AP32"/>
    <mergeCell ref="AQ31:AQ32"/>
    <mergeCell ref="Z31:Z32"/>
    <mergeCell ref="AA31:AA32"/>
    <mergeCell ref="AB31:AB32"/>
    <mergeCell ref="AM31:AM32"/>
    <mergeCell ref="AN31:AN32"/>
    <mergeCell ref="AO31:AO32"/>
    <mergeCell ref="AG31:AG32"/>
    <mergeCell ref="AH31:AH32"/>
    <mergeCell ref="AR33:AR35"/>
    <mergeCell ref="Z33:Z35"/>
    <mergeCell ref="AA33:AA35"/>
    <mergeCell ref="AB33:AB35"/>
    <mergeCell ref="AC33:AC35"/>
    <mergeCell ref="AD33:AD35"/>
    <mergeCell ref="AE33:AE35"/>
    <mergeCell ref="AF33:AF35"/>
    <mergeCell ref="AG33:AG35"/>
    <mergeCell ref="AH33:AH35"/>
    <mergeCell ref="AR31:AR32"/>
    <mergeCell ref="AC31:AC32"/>
    <mergeCell ref="AD31:AD32"/>
    <mergeCell ref="AE31:AE32"/>
    <mergeCell ref="AF31:AF32"/>
    <mergeCell ref="K31:K32"/>
    <mergeCell ref="L31:L32"/>
    <mergeCell ref="M31:M32"/>
    <mergeCell ref="N31:N32"/>
    <mergeCell ref="O31:O32"/>
    <mergeCell ref="P31:P32"/>
    <mergeCell ref="Q31:Q32"/>
    <mergeCell ref="R31:R32"/>
    <mergeCell ref="S31:S32"/>
    <mergeCell ref="T31:T32"/>
    <mergeCell ref="U31:U32"/>
    <mergeCell ref="X33:X35"/>
    <mergeCell ref="Y33:Y35"/>
    <mergeCell ref="AI31:AI32"/>
    <mergeCell ref="AJ31:AJ32"/>
    <mergeCell ref="AK31:AK32"/>
    <mergeCell ref="AL31:AL32"/>
    <mergeCell ref="V31:V32"/>
    <mergeCell ref="W31:W32"/>
    <mergeCell ref="X31:X32"/>
    <mergeCell ref="Y31:Y32"/>
    <mergeCell ref="AQ24:AQ26"/>
    <mergeCell ref="AR24:AR26"/>
    <mergeCell ref="AS24:AS26"/>
    <mergeCell ref="E29:E30"/>
    <mergeCell ref="F29:F30"/>
    <mergeCell ref="G29:G30"/>
    <mergeCell ref="H29:H30"/>
    <mergeCell ref="I29:I30"/>
    <mergeCell ref="J29:J30"/>
    <mergeCell ref="K29:K30"/>
    <mergeCell ref="L29:L30"/>
    <mergeCell ref="M29:M30"/>
    <mergeCell ref="N29:N30"/>
    <mergeCell ref="O29:O30"/>
    <mergeCell ref="P29:P30"/>
    <mergeCell ref="Q29:Q30"/>
    <mergeCell ref="R29:R30"/>
    <mergeCell ref="S29:S30"/>
    <mergeCell ref="T29:T30"/>
    <mergeCell ref="U29:U30"/>
    <mergeCell ref="V29:V30"/>
    <mergeCell ref="W29:W30"/>
    <mergeCell ref="AQ29:AQ30"/>
    <mergeCell ref="AR29:AR30"/>
    <mergeCell ref="AS29:AS30"/>
    <mergeCell ref="X29:X30"/>
    <mergeCell ref="AH24:AH26"/>
    <mergeCell ref="AI24:AI26"/>
    <mergeCell ref="AJ24:AJ26"/>
    <mergeCell ref="AK24:AK26"/>
    <mergeCell ref="AL24:AL26"/>
    <mergeCell ref="AM24:AM26"/>
    <mergeCell ref="AN24:AN26"/>
    <mergeCell ref="AO24:AO26"/>
    <mergeCell ref="AP24:AP26"/>
    <mergeCell ref="Y24:Y26"/>
    <mergeCell ref="Z24:Z26"/>
    <mergeCell ref="AA24:AA26"/>
    <mergeCell ref="AB24:AB26"/>
    <mergeCell ref="AC24:AC26"/>
    <mergeCell ref="AD24:AD26"/>
    <mergeCell ref="AE24:AE26"/>
    <mergeCell ref="AF24:AF26"/>
    <mergeCell ref="AG24:AG26"/>
    <mergeCell ref="AP29:AP30"/>
    <mergeCell ref="Y29:Y30"/>
    <mergeCell ref="Z29:Z30"/>
    <mergeCell ref="AA29:AA30"/>
    <mergeCell ref="AB29:AB30"/>
    <mergeCell ref="AC29:AC30"/>
    <mergeCell ref="AD29:AD30"/>
    <mergeCell ref="AE29:AE30"/>
    <mergeCell ref="AF29:AF30"/>
    <mergeCell ref="AG29:AG30"/>
    <mergeCell ref="AH29:AH30"/>
    <mergeCell ref="AI29:AI30"/>
    <mergeCell ref="AJ29:AJ30"/>
    <mergeCell ref="AK29:AK30"/>
    <mergeCell ref="AL29:AL30"/>
    <mergeCell ref="AM29:AM30"/>
    <mergeCell ref="AN29:AN30"/>
    <mergeCell ref="AO29:AO30"/>
    <mergeCell ref="R24:R26"/>
    <mergeCell ref="S24:S26"/>
    <mergeCell ref="E24:E26"/>
    <mergeCell ref="T24:T26"/>
    <mergeCell ref="U24:U26"/>
    <mergeCell ref="V24:V26"/>
    <mergeCell ref="W24:W26"/>
    <mergeCell ref="X24:X26"/>
    <mergeCell ref="I24:I26"/>
    <mergeCell ref="J24:J26"/>
    <mergeCell ref="K24:K26"/>
    <mergeCell ref="L24:L26"/>
    <mergeCell ref="M24:M26"/>
    <mergeCell ref="N24:N26"/>
    <mergeCell ref="O24:O26"/>
    <mergeCell ref="P24:P26"/>
    <mergeCell ref="Q24:Q26"/>
    <mergeCell ref="Y21:Y23"/>
    <mergeCell ref="Z21:Z23"/>
    <mergeCell ref="AA21:AA23"/>
    <mergeCell ref="AI17:AI19"/>
    <mergeCell ref="AJ17:AJ19"/>
    <mergeCell ref="AG17:AG19"/>
    <mergeCell ref="AH17:AH19"/>
    <mergeCell ref="AK21:AK23"/>
    <mergeCell ref="AL21:AL23"/>
    <mergeCell ref="AM21:AM23"/>
    <mergeCell ref="AN21:AN23"/>
    <mergeCell ref="AO21:AO23"/>
    <mergeCell ref="AP21:AP23"/>
    <mergeCell ref="AQ21:AQ23"/>
    <mergeCell ref="AR21:AR23"/>
    <mergeCell ref="AS21:AS23"/>
    <mergeCell ref="AB21:AB23"/>
    <mergeCell ref="AC21:AC23"/>
    <mergeCell ref="AD21:AD23"/>
    <mergeCell ref="AE21:AE23"/>
    <mergeCell ref="AF21:AF23"/>
    <mergeCell ref="AG21:AG23"/>
    <mergeCell ref="AH21:AH23"/>
    <mergeCell ref="AI21:AI23"/>
    <mergeCell ref="AJ21:AJ23"/>
    <mergeCell ref="S17:S19"/>
    <mergeCell ref="U17:U19"/>
    <mergeCell ref="V17:V19"/>
    <mergeCell ref="W17:W19"/>
    <mergeCell ref="X17:X19"/>
    <mergeCell ref="M21:M23"/>
    <mergeCell ref="N21:N23"/>
    <mergeCell ref="O21:O23"/>
    <mergeCell ref="P21:P23"/>
    <mergeCell ref="Q21:Q23"/>
    <mergeCell ref="R21:R23"/>
    <mergeCell ref="S21:S23"/>
    <mergeCell ref="T21:T23"/>
    <mergeCell ref="U21:U23"/>
    <mergeCell ref="V21:V23"/>
    <mergeCell ref="W21:W23"/>
    <mergeCell ref="X21:X23"/>
    <mergeCell ref="W12:W14"/>
    <mergeCell ref="X12:X14"/>
    <mergeCell ref="Y12:Y14"/>
    <mergeCell ref="Z12:Z14"/>
    <mergeCell ref="AR12:AR14"/>
    <mergeCell ref="AS12:AS14"/>
    <mergeCell ref="AR17:AR19"/>
    <mergeCell ref="AS17:AS19"/>
    <mergeCell ref="AK17:AK19"/>
    <mergeCell ref="AL17:AL19"/>
    <mergeCell ref="AM17:AM19"/>
    <mergeCell ref="AN17:AN19"/>
    <mergeCell ref="AO17:AO19"/>
    <mergeCell ref="AP17:AP19"/>
    <mergeCell ref="AA12:AA14"/>
    <mergeCell ref="AB12:AB14"/>
    <mergeCell ref="AC12:AC14"/>
    <mergeCell ref="AD12:AD14"/>
    <mergeCell ref="AE12:AE14"/>
    <mergeCell ref="AS10:AS11"/>
    <mergeCell ref="AB10:AB11"/>
    <mergeCell ref="AC10:AC11"/>
    <mergeCell ref="AD10:AD11"/>
    <mergeCell ref="AE10:AE11"/>
    <mergeCell ref="AL4:AL5"/>
    <mergeCell ref="AM4:AM5"/>
    <mergeCell ref="AN4:AN5"/>
    <mergeCell ref="AO4:AO5"/>
    <mergeCell ref="AP4:AP5"/>
    <mergeCell ref="AQ4:AQ5"/>
    <mergeCell ref="AR4:AR5"/>
    <mergeCell ref="AS4:AS5"/>
    <mergeCell ref="AJ6:AJ8"/>
    <mergeCell ref="AK6:AK8"/>
    <mergeCell ref="AL6:AL8"/>
    <mergeCell ref="AM6:AM8"/>
    <mergeCell ref="AN6:AN8"/>
    <mergeCell ref="AO6:AO8"/>
    <mergeCell ref="AP6:AP8"/>
    <mergeCell ref="AQ6:AQ8"/>
    <mergeCell ref="AR6:AR8"/>
    <mergeCell ref="AS6:AS8"/>
    <mergeCell ref="AK10:AK11"/>
    <mergeCell ref="AN10:AN11"/>
    <mergeCell ref="AF10:AF11"/>
    <mergeCell ref="AG10:AG11"/>
    <mergeCell ref="AH10:AH11"/>
    <mergeCell ref="AI10:AI11"/>
    <mergeCell ref="AJ10:AJ11"/>
    <mergeCell ref="AD6:AD8"/>
    <mergeCell ref="AE6:AE8"/>
    <mergeCell ref="U12:U14"/>
    <mergeCell ref="V12:V14"/>
    <mergeCell ref="AO10:AO11"/>
    <mergeCell ref="AL10:AL11"/>
    <mergeCell ref="AM10:AM11"/>
    <mergeCell ref="AP10:AP11"/>
    <mergeCell ref="AQ10:AQ11"/>
    <mergeCell ref="AR10:AR11"/>
    <mergeCell ref="U10:U11"/>
    <mergeCell ref="V10:V11"/>
    <mergeCell ref="W10:W11"/>
    <mergeCell ref="X10:X11"/>
    <mergeCell ref="T10:T11"/>
    <mergeCell ref="Y10:Y11"/>
    <mergeCell ref="Z10:Z11"/>
    <mergeCell ref="AQ17:AQ19"/>
    <mergeCell ref="Z17:Z19"/>
    <mergeCell ref="AA17:AA19"/>
    <mergeCell ref="AB17:AB19"/>
    <mergeCell ref="AC17:AC19"/>
    <mergeCell ref="AD17:AD19"/>
    <mergeCell ref="AE17:AE19"/>
    <mergeCell ref="AF17:AF19"/>
    <mergeCell ref="AO12:AO14"/>
    <mergeCell ref="AP12:AP14"/>
    <mergeCell ref="AQ12:AQ14"/>
    <mergeCell ref="AI12:AI14"/>
    <mergeCell ref="AJ12:AJ14"/>
    <mergeCell ref="AK12:AK14"/>
    <mergeCell ref="AL12:AL14"/>
    <mergeCell ref="AM12:AM14"/>
    <mergeCell ref="AN12:AN14"/>
    <mergeCell ref="AR72:AR74"/>
    <mergeCell ref="AS72:AS74"/>
    <mergeCell ref="F72:F74"/>
    <mergeCell ref="G72:G74"/>
    <mergeCell ref="H72:H74"/>
    <mergeCell ref="I72:I74"/>
    <mergeCell ref="J72:J74"/>
    <mergeCell ref="K72:K74"/>
    <mergeCell ref="L72:L74"/>
    <mergeCell ref="AI72:AI74"/>
    <mergeCell ref="AJ72:AJ74"/>
    <mergeCell ref="AK72:AK74"/>
    <mergeCell ref="AL72:AL74"/>
    <mergeCell ref="AM72:AM74"/>
    <mergeCell ref="AN72:AN74"/>
    <mergeCell ref="AO72:AO74"/>
    <mergeCell ref="AP72:AP74"/>
    <mergeCell ref="AQ72:AQ74"/>
    <mergeCell ref="AS89:AS90"/>
    <mergeCell ref="E72:E74"/>
    <mergeCell ref="M72:M74"/>
    <mergeCell ref="N72:N74"/>
    <mergeCell ref="O72:O74"/>
    <mergeCell ref="P72:P74"/>
    <mergeCell ref="Q72:Q74"/>
    <mergeCell ref="R72:R74"/>
    <mergeCell ref="S72:S74"/>
    <mergeCell ref="T72:T74"/>
    <mergeCell ref="U72:U74"/>
    <mergeCell ref="V72:V74"/>
    <mergeCell ref="W72:W74"/>
    <mergeCell ref="X72:X74"/>
    <mergeCell ref="Y72:Y74"/>
    <mergeCell ref="Z72:Z74"/>
    <mergeCell ref="AA72:AA74"/>
    <mergeCell ref="AB72:AB74"/>
    <mergeCell ref="AC72:AC74"/>
    <mergeCell ref="AD72:AD74"/>
    <mergeCell ref="AE72:AE74"/>
    <mergeCell ref="AF72:AF74"/>
    <mergeCell ref="AG72:AG74"/>
    <mergeCell ref="AH72:AH74"/>
    <mergeCell ref="AJ89:AJ90"/>
    <mergeCell ref="AK89:AK90"/>
    <mergeCell ref="AL89:AL90"/>
    <mergeCell ref="AM89:AM90"/>
    <mergeCell ref="AN89:AN90"/>
    <mergeCell ref="AO89:AO90"/>
    <mergeCell ref="AP89:AP90"/>
    <mergeCell ref="AQ89:AQ90"/>
    <mergeCell ref="AR89:AR90"/>
    <mergeCell ref="AA89:AA90"/>
    <mergeCell ref="AB89:AB90"/>
    <mergeCell ref="AC89:AC90"/>
    <mergeCell ref="AD89:AD90"/>
    <mergeCell ref="AE89:AE90"/>
    <mergeCell ref="AF89:AF90"/>
    <mergeCell ref="AG89:AG90"/>
    <mergeCell ref="AH89:AH90"/>
    <mergeCell ref="AI89:AI90"/>
    <mergeCell ref="Y4:Y5"/>
    <mergeCell ref="Z4:Z5"/>
    <mergeCell ref="E89:E90"/>
    <mergeCell ref="F89:F90"/>
    <mergeCell ref="G89:G90"/>
    <mergeCell ref="H89:H90"/>
    <mergeCell ref="I89:I90"/>
    <mergeCell ref="J89:J90"/>
    <mergeCell ref="K89:K90"/>
    <mergeCell ref="L89:L90"/>
    <mergeCell ref="M89:M90"/>
    <mergeCell ref="N89:N90"/>
    <mergeCell ref="O89:O90"/>
    <mergeCell ref="P89:P90"/>
    <mergeCell ref="Q89:Q90"/>
    <mergeCell ref="R89:R90"/>
    <mergeCell ref="S89:S90"/>
    <mergeCell ref="T89:T90"/>
    <mergeCell ref="V89:V90"/>
    <mergeCell ref="W89:W90"/>
    <mergeCell ref="X89:X90"/>
    <mergeCell ref="Y89:Y90"/>
    <mergeCell ref="CF1:CH1"/>
    <mergeCell ref="A1:AS1"/>
    <mergeCell ref="A4:A5"/>
    <mergeCell ref="B4:B5"/>
    <mergeCell ref="C4:C5"/>
    <mergeCell ref="D4:D5"/>
    <mergeCell ref="E4:E5"/>
    <mergeCell ref="F4:F5"/>
    <mergeCell ref="G4:G5"/>
    <mergeCell ref="H4:H5"/>
    <mergeCell ref="I4:I5"/>
    <mergeCell ref="J4:J5"/>
    <mergeCell ref="K4:K5"/>
    <mergeCell ref="L4:L5"/>
    <mergeCell ref="U4:U5"/>
    <mergeCell ref="V4:V5"/>
    <mergeCell ref="S4:S5"/>
    <mergeCell ref="W4:W5"/>
    <mergeCell ref="X4:X5"/>
    <mergeCell ref="AA4:AA5"/>
    <mergeCell ref="AB4:AB5"/>
    <mergeCell ref="AC4:AC5"/>
    <mergeCell ref="AD4:AD5"/>
    <mergeCell ref="AE4:AE5"/>
    <mergeCell ref="AK4:AK5"/>
    <mergeCell ref="P4:P5"/>
    <mergeCell ref="M4:M5"/>
    <mergeCell ref="N4:N5"/>
    <mergeCell ref="Q4:Q5"/>
    <mergeCell ref="R4:R5"/>
    <mergeCell ref="AT1:BF1"/>
    <mergeCell ref="BI1:BL1"/>
    <mergeCell ref="BM1:BV1"/>
    <mergeCell ref="Z6:Z8"/>
    <mergeCell ref="AB6:AB8"/>
    <mergeCell ref="AC6:AC8"/>
    <mergeCell ref="AA6:AA8"/>
    <mergeCell ref="O4:O5"/>
    <mergeCell ref="O6:O8"/>
    <mergeCell ref="AF6:AF8"/>
    <mergeCell ref="AG6:AG8"/>
    <mergeCell ref="AH6:AH8"/>
    <mergeCell ref="AI6:AI8"/>
    <mergeCell ref="A10:A11"/>
    <mergeCell ref="B10:B11"/>
    <mergeCell ref="C10:C11"/>
    <mergeCell ref="D10:D11"/>
    <mergeCell ref="A12:A14"/>
    <mergeCell ref="B12:B14"/>
    <mergeCell ref="C12:C14"/>
    <mergeCell ref="D12:D14"/>
    <mergeCell ref="T4:T5"/>
    <mergeCell ref="M12:M14"/>
    <mergeCell ref="N12:N14"/>
    <mergeCell ref="O12:O14"/>
    <mergeCell ref="P12:P14"/>
    <mergeCell ref="Q12:Q14"/>
    <mergeCell ref="R12:R14"/>
    <mergeCell ref="S12:S14"/>
    <mergeCell ref="T12:T14"/>
    <mergeCell ref="R6:R8"/>
    <mergeCell ref="L6:L8"/>
    <mergeCell ref="M6:M8"/>
    <mergeCell ref="R10:R11"/>
    <mergeCell ref="S10:S11"/>
    <mergeCell ref="A6:A8"/>
    <mergeCell ref="B6:B8"/>
    <mergeCell ref="C6:C8"/>
    <mergeCell ref="D6:D8"/>
    <mergeCell ref="A24:A26"/>
    <mergeCell ref="B24:B26"/>
    <mergeCell ref="C24:C26"/>
    <mergeCell ref="A17:A19"/>
    <mergeCell ref="B17:B19"/>
    <mergeCell ref="C17:C19"/>
    <mergeCell ref="A21:A23"/>
    <mergeCell ref="B21:B23"/>
    <mergeCell ref="C21:C23"/>
    <mergeCell ref="H21:H23"/>
    <mergeCell ref="I21:I23"/>
    <mergeCell ref="J21:J23"/>
    <mergeCell ref="K21:K23"/>
    <mergeCell ref="H12:H14"/>
    <mergeCell ref="I12:I14"/>
    <mergeCell ref="J12:J14"/>
    <mergeCell ref="K12:K14"/>
    <mergeCell ref="L12:L14"/>
    <mergeCell ref="L21:L23"/>
    <mergeCell ref="G17:G19"/>
    <mergeCell ref="H17:H19"/>
    <mergeCell ref="I17:I19"/>
    <mergeCell ref="J17:J19"/>
    <mergeCell ref="K17:K19"/>
    <mergeCell ref="L17:L19"/>
    <mergeCell ref="M17:M19"/>
    <mergeCell ref="R17:R19"/>
    <mergeCell ref="A33:A35"/>
    <mergeCell ref="B33:B35"/>
    <mergeCell ref="C33:C35"/>
    <mergeCell ref="A36:A38"/>
    <mergeCell ref="B36:B38"/>
    <mergeCell ref="C36:C38"/>
    <mergeCell ref="A29:A30"/>
    <mergeCell ref="B29:B30"/>
    <mergeCell ref="C29:C30"/>
    <mergeCell ref="A31:A32"/>
    <mergeCell ref="B31:B32"/>
    <mergeCell ref="C31:C32"/>
    <mergeCell ref="A47:A49"/>
    <mergeCell ref="B47:B49"/>
    <mergeCell ref="C47:C49"/>
    <mergeCell ref="D47:D49"/>
    <mergeCell ref="A50:A52"/>
    <mergeCell ref="B50:B52"/>
    <mergeCell ref="C50:C52"/>
    <mergeCell ref="D50:D52"/>
    <mergeCell ref="A40:A41"/>
    <mergeCell ref="B40:B41"/>
    <mergeCell ref="C40:C41"/>
    <mergeCell ref="D40:D41"/>
    <mergeCell ref="A44:A46"/>
    <mergeCell ref="B44:B46"/>
    <mergeCell ref="C44:C46"/>
    <mergeCell ref="D36:D38"/>
    <mergeCell ref="D44:D46"/>
    <mergeCell ref="C91:C93"/>
    <mergeCell ref="D91:D93"/>
    <mergeCell ref="A94:A95"/>
    <mergeCell ref="B94:B95"/>
    <mergeCell ref="A54:A56"/>
    <mergeCell ref="B54:B56"/>
    <mergeCell ref="C54:C56"/>
    <mergeCell ref="D54:D56"/>
    <mergeCell ref="A57:A58"/>
    <mergeCell ref="B57:B58"/>
    <mergeCell ref="C57:C58"/>
    <mergeCell ref="D57:D58"/>
    <mergeCell ref="A72:A74"/>
    <mergeCell ref="B72:B74"/>
    <mergeCell ref="C72:C74"/>
    <mergeCell ref="D72:D74"/>
    <mergeCell ref="A75:A77"/>
    <mergeCell ref="B75:B77"/>
    <mergeCell ref="C75:C77"/>
    <mergeCell ref="D75:D77"/>
    <mergeCell ref="A64:A66"/>
    <mergeCell ref="B64:B66"/>
    <mergeCell ref="C64:C66"/>
    <mergeCell ref="D64:D66"/>
    <mergeCell ref="A67:A68"/>
    <mergeCell ref="B67:B68"/>
    <mergeCell ref="C67:C68"/>
    <mergeCell ref="D67:D68"/>
    <mergeCell ref="A85:A87"/>
    <mergeCell ref="E91:E93"/>
    <mergeCell ref="F91:F93"/>
    <mergeCell ref="G91:G93"/>
    <mergeCell ref="E12:E14"/>
    <mergeCell ref="F12:F14"/>
    <mergeCell ref="G12:G14"/>
    <mergeCell ref="B120:C120"/>
    <mergeCell ref="D120:E120"/>
    <mergeCell ref="E112:E114"/>
    <mergeCell ref="E109:E111"/>
    <mergeCell ref="E106:E108"/>
    <mergeCell ref="E103:E105"/>
    <mergeCell ref="A89:A90"/>
    <mergeCell ref="B89:B90"/>
    <mergeCell ref="C89:C90"/>
    <mergeCell ref="D89:D90"/>
    <mergeCell ref="A112:A114"/>
    <mergeCell ref="B112:B114"/>
    <mergeCell ref="C112:C114"/>
    <mergeCell ref="D112:D114"/>
    <mergeCell ref="E17:E19"/>
    <mergeCell ref="F21:F23"/>
    <mergeCell ref="G21:G23"/>
    <mergeCell ref="E31:E32"/>
    <mergeCell ref="F31:F32"/>
    <mergeCell ref="G31:G32"/>
    <mergeCell ref="A60:A61"/>
    <mergeCell ref="B60:B61"/>
    <mergeCell ref="C60:C61"/>
    <mergeCell ref="D60:D61"/>
    <mergeCell ref="A91:A93"/>
    <mergeCell ref="B91:B93"/>
    <mergeCell ref="U89:U90"/>
    <mergeCell ref="A78:A80"/>
    <mergeCell ref="B78:B80"/>
    <mergeCell ref="C78:C80"/>
    <mergeCell ref="D78:D80"/>
    <mergeCell ref="A81:A83"/>
    <mergeCell ref="B81:B83"/>
    <mergeCell ref="C81:C83"/>
    <mergeCell ref="A96:A98"/>
    <mergeCell ref="B96:B98"/>
    <mergeCell ref="C96:C98"/>
    <mergeCell ref="D96:D98"/>
    <mergeCell ref="A100:A101"/>
    <mergeCell ref="B100:B101"/>
    <mergeCell ref="C100:C101"/>
    <mergeCell ref="D100:D101"/>
    <mergeCell ref="A109:A111"/>
    <mergeCell ref="B109:B111"/>
    <mergeCell ref="C109:C111"/>
    <mergeCell ref="D109:D111"/>
    <mergeCell ref="A103:A105"/>
    <mergeCell ref="B103:B105"/>
    <mergeCell ref="C103:C105"/>
    <mergeCell ref="D103:D105"/>
    <mergeCell ref="A106:A108"/>
    <mergeCell ref="B106:B108"/>
    <mergeCell ref="C106:C108"/>
    <mergeCell ref="D106:D108"/>
    <mergeCell ref="C94:C95"/>
    <mergeCell ref="D94:D95"/>
    <mergeCell ref="E78:E80"/>
    <mergeCell ref="F78:F80"/>
    <mergeCell ref="H31:H32"/>
    <mergeCell ref="I31:I32"/>
    <mergeCell ref="J31:J32"/>
    <mergeCell ref="E10:E11"/>
    <mergeCell ref="I10:I11"/>
    <mergeCell ref="J10:J11"/>
    <mergeCell ref="K10:K11"/>
    <mergeCell ref="L10:L11"/>
    <mergeCell ref="K6:K8"/>
    <mergeCell ref="E6:E8"/>
    <mergeCell ref="F6:F8"/>
    <mergeCell ref="G6:G8"/>
    <mergeCell ref="H6:H8"/>
    <mergeCell ref="I6:I8"/>
    <mergeCell ref="J6:J8"/>
    <mergeCell ref="P6:P8"/>
    <mergeCell ref="Q6:Q8"/>
    <mergeCell ref="F10:F11"/>
    <mergeCell ref="G10:G11"/>
    <mergeCell ref="H10:H11"/>
    <mergeCell ref="N6:N8"/>
    <mergeCell ref="M10:M11"/>
    <mergeCell ref="N10:N11"/>
    <mergeCell ref="O10:O11"/>
    <mergeCell ref="P10:P11"/>
    <mergeCell ref="Q10:Q11"/>
    <mergeCell ref="N17:N19"/>
    <mergeCell ref="O17:O19"/>
    <mergeCell ref="P17:P19"/>
    <mergeCell ref="Q17:Q19"/>
    <mergeCell ref="AM85:AM87"/>
    <mergeCell ref="AJ85:AJ87"/>
    <mergeCell ref="C85:C87"/>
    <mergeCell ref="D85:D87"/>
    <mergeCell ref="AN85:AN87"/>
    <mergeCell ref="AO85:AO87"/>
    <mergeCell ref="B85:B87"/>
    <mergeCell ref="V85:V87"/>
    <mergeCell ref="W85:W87"/>
    <mergeCell ref="X85:X87"/>
    <mergeCell ref="Z85:Z87"/>
    <mergeCell ref="AA85:AA87"/>
    <mergeCell ref="AB85:AB87"/>
    <mergeCell ref="AC85:AC87"/>
    <mergeCell ref="AD85:AD87"/>
    <mergeCell ref="AE85:AE87"/>
    <mergeCell ref="AF85:AF87"/>
    <mergeCell ref="AG85:AG87"/>
    <mergeCell ref="AH85:AH87"/>
    <mergeCell ref="AI85:AI87"/>
    <mergeCell ref="AK85:AK87"/>
    <mergeCell ref="AL85:AL87"/>
    <mergeCell ref="E85:E87"/>
    <mergeCell ref="T85:T87"/>
    <mergeCell ref="U85:U87"/>
    <mergeCell ref="G85:G87"/>
    <mergeCell ref="Y85:Y87"/>
    <mergeCell ref="E134:N134"/>
    <mergeCell ref="AA10:AA11"/>
    <mergeCell ref="AF4:AF5"/>
    <mergeCell ref="AG4:AG5"/>
    <mergeCell ref="AH4:AH5"/>
    <mergeCell ref="AI4:AI5"/>
    <mergeCell ref="AJ4:AJ5"/>
    <mergeCell ref="B129:D129"/>
    <mergeCell ref="W6:W8"/>
    <mergeCell ref="X6:X8"/>
    <mergeCell ref="Y6:Y8"/>
    <mergeCell ref="F85:F87"/>
    <mergeCell ref="U81:U83"/>
    <mergeCell ref="S6:S8"/>
    <mergeCell ref="U6:U8"/>
    <mergeCell ref="V6:V8"/>
    <mergeCell ref="T6:T8"/>
    <mergeCell ref="T17:T19"/>
    <mergeCell ref="Y17:Y19"/>
    <mergeCell ref="AF12:AF14"/>
    <mergeCell ref="AG12:AG14"/>
    <mergeCell ref="AH12:AH14"/>
    <mergeCell ref="D17:D19"/>
    <mergeCell ref="F17:F19"/>
    <mergeCell ref="D29:D30"/>
    <mergeCell ref="D31:D32"/>
    <mergeCell ref="D21:D23"/>
    <mergeCell ref="E21:E23"/>
    <mergeCell ref="D24:D26"/>
    <mergeCell ref="F24:F26"/>
    <mergeCell ref="G24:G26"/>
    <mergeCell ref="H24:H26"/>
  </mergeCells>
  <phoneticPr fontId="6" type="noConversion"/>
  <conditionalFormatting sqref="AE44">
    <cfRule type="duplicateValues" dxfId="13" priority="2"/>
  </conditionalFormatting>
  <conditionalFormatting sqref="BI3:BL115">
    <cfRule type="containsText" dxfId="12" priority="1" operator="containsText" text="YES">
      <formula>NOT(ISERROR(SEARCH("YES",BI3)))</formula>
    </cfRule>
  </conditionalFormatting>
  <hyperlinks>
    <hyperlink ref="Y6" r:id="rId1" xr:uid="{1277CCF0-98B9-48C1-9BE1-9623B1D9523E}"/>
    <hyperlink ref="AB6" r:id="rId2" xr:uid="{116452E1-1033-43B6-901D-06654C9D7B62}"/>
    <hyperlink ref="AE6" r:id="rId3" xr:uid="{77838340-8371-4D84-8571-3C19B190B868}"/>
    <hyperlink ref="Y17" r:id="rId4" xr:uid="{A2E5D767-CC23-4E9A-BF17-6747DF6251BB}"/>
    <hyperlink ref="AB17" r:id="rId5" xr:uid="{B5E8448E-451B-408C-8F6F-3DAB449A6A93}"/>
    <hyperlink ref="AJ17" r:id="rId6" xr:uid="{65F25548-35BD-486F-84BC-95C96441D854}"/>
    <hyperlink ref="AM17" r:id="rId7" xr:uid="{168A6111-C7E0-42AF-B8F0-539E16FEE84A}"/>
    <hyperlink ref="AP17" r:id="rId8" xr:uid="{CE3DF824-9F2B-48E9-80C1-480FEF314EB0}"/>
    <hyperlink ref="AB24" r:id="rId9" xr:uid="{C85AC12F-EB04-4D49-973E-4E5BF5255748}"/>
    <hyperlink ref="AE24" r:id="rId10" xr:uid="{8B307417-AE8D-4F87-ABCC-8C6264F89EF1}"/>
    <hyperlink ref="AM24" r:id="rId11" xr:uid="{17F7FE0A-0937-45BC-ADD2-F9D9F54FAD21}"/>
    <hyperlink ref="AP24" r:id="rId12" xr:uid="{5382CA05-896C-409A-8B55-BD7D51D43847}"/>
    <hyperlink ref="O27" r:id="rId13" xr:uid="{90062157-ADAD-46EF-9C08-54AADE07F4BE}"/>
    <hyperlink ref="Y27" r:id="rId14" xr:uid="{644654D8-1B6D-47B5-80BF-94D0067A63BF}"/>
    <hyperlink ref="AJ27" r:id="rId15" xr:uid="{CAF858F6-4B38-44AD-9C47-8F00D734CEAE}"/>
    <hyperlink ref="Y31" r:id="rId16" xr:uid="{6DD2B7E6-0A2F-411E-9801-B222BF0AFCE6}"/>
    <hyperlink ref="AB31" r:id="rId17" xr:uid="{59E30975-FCC9-4C5D-85A1-BBD833C4364C}"/>
    <hyperlink ref="AJ31" r:id="rId18" xr:uid="{F5CF4E6E-2756-478D-99F4-D64B2816AE8C}"/>
    <hyperlink ref="AM31" r:id="rId19" xr:uid="{70BF55E3-C145-49B7-B57A-30640854291B}"/>
    <hyperlink ref="AE33" r:id="rId20" xr:uid="{64C9925D-5971-4305-85F0-F3FEDFB33622}"/>
    <hyperlink ref="AP33" r:id="rId21" xr:uid="{D631AB28-DD48-463D-985C-6AF4C098CA0F}"/>
    <hyperlink ref="O42" r:id="rId22" xr:uid="{C301FE90-509A-4A9A-A67C-8C750E8CF5EF}"/>
    <hyperlink ref="O44" r:id="rId23" xr:uid="{810143D8-ED7E-4732-A31F-05EA647D4953}"/>
    <hyperlink ref="O47" r:id="rId24" xr:uid="{1AA3B8EF-93DC-498F-802C-F38820620B62}"/>
    <hyperlink ref="O54" r:id="rId25" xr:uid="{A1392601-E5FF-4AC8-90AA-3ABDAF3966AC}"/>
    <hyperlink ref="Y59" r:id="rId26" xr:uid="{90E5674D-3C76-4525-8CC0-49D9F9EFA0E7}"/>
    <hyperlink ref="AJ59" r:id="rId27" xr:uid="{46F48781-D745-4833-A0A0-749D15AFF30A}"/>
    <hyperlink ref="O62" r:id="rId28" xr:uid="{57F98AA0-CBCB-4D23-B750-64B8AF04B2AA}"/>
    <hyperlink ref="O63" r:id="rId29" xr:uid="{B1A073E3-82D6-499B-9684-D865C2E23B8F}"/>
    <hyperlink ref="Y70" r:id="rId30" xr:uid="{7FE49DBF-85DB-4ECB-8FA1-E1D0DC26055B}"/>
    <hyperlink ref="AJ70" r:id="rId31" xr:uid="{D9AF7433-8CD3-41CC-AFC6-C62108A14A45}"/>
    <hyperlink ref="AE78" r:id="rId32" xr:uid="{08C19041-2B48-4279-B80E-B31A2DDAE94D}"/>
    <hyperlink ref="AP78" r:id="rId33" xr:uid="{1DCDB228-C39E-4A45-854E-C2B890E8C2C8}"/>
    <hyperlink ref="O81" r:id="rId34" xr:uid="{B69B8F38-28F1-4E19-96C9-06AC9F002EBB}"/>
    <hyperlink ref="O85" r:id="rId35" xr:uid="{C62C9469-3CED-49E0-AE26-671392C6B872}"/>
    <hyperlink ref="Y89" r:id="rId36" xr:uid="{38CC411A-CA16-4ABD-B185-A0601FA5C67B}"/>
    <hyperlink ref="AB89" r:id="rId37" xr:uid="{0BFAD602-FE3A-4977-AC31-826F4F322F6A}"/>
    <hyperlink ref="AJ89" r:id="rId38" xr:uid="{0AD928FE-8894-490D-B6E9-5643D4FA38FE}"/>
    <hyperlink ref="AM89" r:id="rId39" xr:uid="{3A659894-1429-464C-AAF4-464EADC8EDAF}"/>
    <hyperlink ref="Y28" r:id="rId40" xr:uid="{5649AD42-15A2-4BC3-8427-60FB55D60541}"/>
    <hyperlink ref="AJ28" r:id="rId41" xr:uid="{2D19669C-1E2C-41E1-9502-D6814549DA68}"/>
    <hyperlink ref="AV28" r:id="rId42" xr:uid="{976587A3-F2C8-4805-9A45-5BC90F9F26D3}"/>
    <hyperlink ref="Y85" r:id="rId43" xr:uid="{1B855CE2-F608-C34A-8F3D-780737A22D88}"/>
    <hyperlink ref="AP85" r:id="rId44" display="mailto:avintan@worldbank.org" xr:uid="{8F22097D-1AE6-A34C-A2B3-75B1A95E0861}"/>
    <hyperlink ref="AJ85" r:id="rId45" xr:uid="{3122BA67-197D-1F4F-B062-98A850FCAAC1}"/>
    <hyperlink ref="AM85" r:id="rId46" xr:uid="{B7028547-BAF6-2345-AFDD-512D1BAB9BFF}"/>
    <hyperlink ref="Y44" r:id="rId47" xr:uid="{31D8065F-BC06-45B1-B726-D73C23542DDD}"/>
    <hyperlink ref="AB44" r:id="rId48" xr:uid="{A0474523-BED0-4807-AC1D-E77BC941CEBA}"/>
    <hyperlink ref="AJ44" r:id="rId49" xr:uid="{59B22497-81D3-419B-8183-B8B93A292076}"/>
    <hyperlink ref="AM44" r:id="rId50" xr:uid="{6FE7E5BA-7BC6-4F4B-87FB-57A3A23EE7B8}"/>
    <hyperlink ref="AV45" r:id="rId51" xr:uid="{9DEAF8F5-79FD-4F6B-AD60-219C3C30CE7A}"/>
    <hyperlink ref="AV44" r:id="rId52" xr:uid="{40BE8F66-FA3C-4938-A101-3277F5A71692}"/>
    <hyperlink ref="AV46" r:id="rId53" xr:uid="{D3DAFA60-4C11-4498-89DF-E2D11D8B05EB}"/>
    <hyperlink ref="AP44" r:id="rId54" xr:uid="{0A1C253B-FD5D-4829-AE12-604F2B5BEA7F}"/>
    <hyperlink ref="AE44" r:id="rId55" xr:uid="{8F2661D4-90C1-4C9D-B39D-3C4B801B28F5}"/>
    <hyperlink ref="AV61" r:id="rId56" xr:uid="{6F080F48-A93C-4AE0-9B09-799063F75E74}"/>
    <hyperlink ref="Y72" r:id="rId57" xr:uid="{DBDB0C4F-02F2-F746-8A89-C5C19E6ADF38}"/>
    <hyperlink ref="AB72" r:id="rId58" xr:uid="{A108E935-DA04-8241-9352-BD67A98A2F52}"/>
    <hyperlink ref="AE72" r:id="rId59" xr:uid="{C0F65B6C-19B1-6D40-91A3-9972E1FF8B44}"/>
    <hyperlink ref="AJ72" r:id="rId60" xr:uid="{C1E3AC0B-6605-994E-9E65-C8A762CA521B}"/>
    <hyperlink ref="AM72" r:id="rId61" xr:uid="{31FE2411-D98D-6E48-8B3A-1DAD9A93E573}"/>
    <hyperlink ref="AP72" r:id="rId62" xr:uid="{A7B90FAD-B159-FD49-90FA-F5FEDB1C3CA1}"/>
    <hyperlink ref="Y12" r:id="rId63" xr:uid="{0ADC1FFC-1251-F048-8DCE-8D9BCCB1CF5F}"/>
    <hyperlink ref="AB12" r:id="rId64" xr:uid="{209095B7-36B1-CA4D-9B68-CA3047C47533}"/>
    <hyperlink ref="AE12" r:id="rId65" xr:uid="{FAB9E0B3-2B8B-2142-B8E0-3ECE6B43D18E}"/>
    <hyperlink ref="AJ12" r:id="rId66" xr:uid="{A0CCA433-1CB3-204B-B6AF-7E9A57CD400C}"/>
    <hyperlink ref="AM12" r:id="rId67" xr:uid="{91BD262C-2EA2-144D-8D32-BD66C6C68F6D}"/>
    <hyperlink ref="AP12" r:id="rId68" xr:uid="{AEEBB112-4326-1746-94EC-37FB5814E964}"/>
    <hyperlink ref="AV13" r:id="rId69" xr:uid="{9103F609-B7D3-FC44-BE6D-DE32A4685365}"/>
    <hyperlink ref="Y106" r:id="rId70" xr:uid="{05A435F4-A4C1-A144-B2EA-7D459A321433}"/>
    <hyperlink ref="AB106" r:id="rId71" xr:uid="{49CA110A-BCDB-3846-8758-E5CEFED6F06F}"/>
    <hyperlink ref="AJ106" r:id="rId72" xr:uid="{798AC7F4-4436-1848-838D-C56B7F7B0EB7}"/>
    <hyperlink ref="AM106" r:id="rId73" xr:uid="{6F9009C4-ABC2-6346-8841-193C0BD6C975}"/>
    <hyperlink ref="AP75:AP77" r:id="rId74" display="alice.borsari@eurac.edu" xr:uid="{727098BA-939F-4723-85B8-D48F28BBD44C}"/>
    <hyperlink ref="AV77" r:id="rId75" xr:uid="{2A813728-C8E7-44C0-9961-232AB5344F25}"/>
    <hyperlink ref="AV75" r:id="rId76" xr:uid="{FE7BE811-4BA4-41B5-9F69-4C5389CED12C}"/>
    <hyperlink ref="AB75:AB77" r:id="rId77" display="l.acquaviva@gmail.com" xr:uid="{9B6E5192-AA5E-4423-BD07-2DB11C3EB3AA}"/>
    <hyperlink ref="AV76" r:id="rId78" xr:uid="{4014D60E-8448-4D18-80AA-25AE3908607A}"/>
    <hyperlink ref="AV86" r:id="rId79" xr:uid="{7291FD56-1EA3-4DC4-9BF8-5DB940A89478}"/>
    <hyperlink ref="AV87" r:id="rId80" xr:uid="{96EC7512-B813-4216-866F-99DC3A856514}"/>
    <hyperlink ref="Y47:Y49" r:id="rId81" display="f.busillo@governo.it " xr:uid="{9C765355-6FD6-4612-A3D6-D5DCF20E8B21}"/>
    <hyperlink ref="AB47:AB49" r:id="rId82" display="Kirsten.Koetter@mwike.nrw.de" xr:uid="{5090FF6D-7AD5-4A18-A0DD-FBA5D75AB441}"/>
    <hyperlink ref="AJ47:AJ49" r:id="rId83" display="f.busillo@governo.it " xr:uid="{027325A0-59AB-4CD6-B8EC-09F96A60B623}"/>
    <hyperlink ref="AM47:AM49" r:id="rId84" display="Kirsten.Koetter@mwike.nrw.de" xr:uid="{CA37128F-9D28-44C4-8C1C-1F1DF0BF9983}"/>
    <hyperlink ref="AV47" r:id="rId85" xr:uid="{D1297F60-C8B3-428D-B18C-AC3990DE851D}"/>
    <hyperlink ref="AV48" r:id="rId86" xr:uid="{D1618808-6EC6-49C1-B101-F9AA77AAB969}"/>
    <hyperlink ref="O47:O49" r:id="rId87" display="Irati.ICARDO-ISASA@ec.europa.eu; Theodora.FLIKAS1@ec.europa.eu" xr:uid="{D1EF1210-C71E-4BD6-B06B-572BE059DFEE}"/>
    <hyperlink ref="Y94:Y95" r:id="rId88" display="sporsf@ebrd.com" xr:uid="{086D4E11-C1E5-4E89-B11F-6267C7277C8E}"/>
    <hyperlink ref="AB94:AB95" r:id="rId89" display="matthew.bach@iclei.org" xr:uid="{8042A40C-67E5-4D91-AD46-6666770A1614}"/>
    <hyperlink ref="AJ94:AJ95" r:id="rId90" display="sporsf@ebrd.com" xr:uid="{153A319D-87DF-489E-B763-8D6E9BC4791B}"/>
    <hyperlink ref="AM94:AM95" r:id="rId91" display="matthew.bach@iclei.org" xr:uid="{8CE2FBF8-6F59-4D9B-9FC3-EA4BEAD637C1}"/>
    <hyperlink ref="AV95" r:id="rId92" xr:uid="{248A4E51-753B-483B-B796-418AB0091BB2}"/>
    <hyperlink ref="AV94" r:id="rId93" xr:uid="{3F2C3FB1-2558-4248-BE4C-429AEB5DF312}"/>
    <hyperlink ref="AB64" r:id="rId94" xr:uid="{2A4DF7D6-5D09-42F5-8AFB-F9DFE896365B}"/>
    <hyperlink ref="AE64:AE66" r:id="rId95" display="pablo.garcia@gencat.cat" xr:uid="{3421403E-D69E-4298-B401-759826955B4C}"/>
    <hyperlink ref="AM64" r:id="rId96" xr:uid="{B70F0B43-4063-493E-B312-A83E50D0F98C}"/>
    <hyperlink ref="AP64:AP66" r:id="rId97" display="pablo.garcia@gencat.cat" xr:uid="{F1E9CD51-198C-468D-967A-45EC1813D188}"/>
    <hyperlink ref="AV66" r:id="rId98" xr:uid="{513C9A44-6910-44FB-8F98-25209DDA70AD}"/>
    <hyperlink ref="AM64:AM66" r:id="rId99" display="sonia.matera@dblue.it" xr:uid="{C53A610D-5B39-4BA4-A126-F9AFEE24F298}"/>
    <hyperlink ref="AV65" r:id="rId100" xr:uid="{D939EE67-FC0D-4715-923B-326D9B1557C4}"/>
    <hyperlink ref="AB103:AB105" r:id="rId101" display="viktorija.trimbel@coinvest.lt" xr:uid="{71746DB1-7D6C-42CD-9EA5-DD3929BE4DCD}"/>
    <hyperlink ref="AE103:AE105" r:id="rId102" display="dainius.vilcinskas@ilte.lt" xr:uid="{F4032928-2BCF-452B-81DC-EE3FFBB3D0B5}"/>
    <hyperlink ref="AM103:AM105" r:id="rId103" display="viktorija.trimbel@coinvest.lt" xr:uid="{AC3A66A4-1D4C-4119-9630-2460F12D2E70}"/>
    <hyperlink ref="AP103:AP105" r:id="rId104" display="dainius.vilcinskas@ilte.lt" xr:uid="{A5C19E10-79E6-4368-971F-8287FEC98650}"/>
    <hyperlink ref="AJ9" r:id="rId105" xr:uid="{F62D82F1-0D8B-402C-9AA5-A7007C115010}"/>
    <hyperlink ref="O62" r:id="rId106" xr:uid="{8F8940E7-AE73-4E02-A545-E49A60CF4D0C}"/>
    <hyperlink ref="O81:O83" r:id="rId107" display="alberto.minguela@climate-kic.org; katarzyna.balucka-debska@climate-kic.org" xr:uid="{D5A6E432-30E8-42FA-A382-B09583CE5383}"/>
    <hyperlink ref="Y9" r:id="rId108" xr:uid="{8B9BB1B6-C5D6-43AE-A39F-195C446C071D}"/>
    <hyperlink ref="Y44:Y46" r:id="rId109" display="clouet@institute-urbanex.org" xr:uid="{62AF5CC1-5313-4759-AE9D-A8A7548244CB}"/>
    <hyperlink ref="AB44:AB46" r:id="rId110" display="philipp.walter@iclei.org" xr:uid="{5594F745-CC08-492E-A1CE-3C91439BF596}"/>
    <hyperlink ref="O44:O46" r:id="rId111" display="Haris.Biskos@urban-initiative.eu ; nadia.siokou@urban-initiative.eu" xr:uid="{C05B4064-27BA-4C8A-BB75-3853DDCB01A4}"/>
    <hyperlink ref="AE47:AE49" r:id="rId112" display="marta.kolimaga@crido.pl" xr:uid="{96E97A16-6AD8-47FF-8F09-65A70A6E4827}"/>
    <hyperlink ref="AP47:AP49" r:id="rId113" display="marta.kolimaga@crido.pl" xr:uid="{A57A455A-AE8A-41B9-85BE-FAB7E0B43278}"/>
    <hyperlink ref="Y81:Y83" r:id="rId114" display="federico.esu@climate-kic.org" xr:uid="{C278ED2F-CF15-4423-AEB6-FEC37FBC94CE}"/>
    <hyperlink ref="AB81:AB83" r:id="rId115" display="rosanna.haider@chiemgau.bayern" xr:uid="{B41951E8-36C0-4B59-BEBA-836618F32561}"/>
    <hyperlink ref="AE81:AE83" r:id="rId116" display="Stientje.vanVeldhoven@wri.org" xr:uid="{77E19398-741B-4318-A7E0-DC18895B0AD4}"/>
    <hyperlink ref="AJ81:AJ83" r:id="rId117" display="federico.esu@climate-kic.org" xr:uid="{628BBCD4-6743-4B40-ACFC-FB348F8E1416}"/>
    <hyperlink ref="AM81:AM83" r:id="rId118" display="rosanna.haider@chiemgau.bayern" xr:uid="{7B8B4A1F-7EB5-4F57-A6FC-688251014A74}"/>
    <hyperlink ref="AP81:AP83" r:id="rId119" display="Stientje.vanVeldhoven@wri.org" xr:uid="{B5800279-C8F5-4A2E-9FFD-B531A40386C2}"/>
    <hyperlink ref="AV81" r:id="rId120" xr:uid="{3FBE59C1-1A41-433D-B915-8676C2544646}"/>
    <hyperlink ref="AV9" r:id="rId121" xr:uid="{1AF0DFE1-1AAA-47B1-8ABC-939BD97DE985}"/>
    <hyperlink ref="Y62" r:id="rId122" xr:uid="{78C20F38-9649-497E-B330-687E281E1B4E}"/>
    <hyperlink ref="AJ62" r:id="rId123" xr:uid="{075C70C0-89A6-49F6-A811-B078CCA955C9}"/>
    <hyperlink ref="AV62" r:id="rId124" xr:uid="{8E490CED-FFCD-49A9-A44F-022097B07EAD}"/>
    <hyperlink ref="AE106:AE108" r:id="rId125" display="d.labonia@governo.it" xr:uid="{45729FCC-9A2F-423B-9329-40A64B6D80F4}"/>
    <hyperlink ref="AP106:AP108" r:id="rId126" display="d.labonia@governo.it" xr:uid="{F20F70E9-7749-4471-9173-0E26C96FECC9}"/>
    <hyperlink ref="AV108" r:id="rId127" xr:uid="{22CDAB7B-58E9-478C-99E8-8BBFA7343EE5}"/>
    <hyperlink ref="AV29" r:id="rId128" xr:uid="{6C64B43D-D3DE-4AFF-9C05-0C60CAA629AD}"/>
    <hyperlink ref="AV83" r:id="rId129" xr:uid="{436A98F7-BAAF-4488-AF40-F7055DB7CB27}"/>
    <hyperlink ref="AV100" r:id="rId130" xr:uid="{2F7F11A8-5B5C-4245-B5CC-A391A3C8658C}"/>
    <hyperlink ref="AV104" r:id="rId131" xr:uid="{B61FB247-B13B-4521-A72B-A9EA3AB2BC15}"/>
    <hyperlink ref="AE21" r:id="rId132" xr:uid="{215B9CED-285E-47A3-8EEA-271180A444CC}"/>
    <hyperlink ref="AV19" r:id="rId133" xr:uid="{4CF4A0A4-98E9-4AD5-B934-CCBA8FA6F0D7}"/>
    <hyperlink ref="AV32" r:id="rId134" xr:uid="{AA09D1BC-DC7E-4FD9-979B-343C843D01F7}"/>
    <hyperlink ref="AV34" r:id="rId135" xr:uid="{0A00B4A8-7807-4081-8FA8-992F8558569D}"/>
    <hyperlink ref="AV23" r:id="rId136" xr:uid="{0D41D384-19B8-4508-AC90-708396A3AB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EACC2-3304-4A40-9617-FFDA343CEA1A}">
  <dimension ref="A1:CB100"/>
  <sheetViews>
    <sheetView tabSelected="1" zoomScale="90" zoomScaleNormal="90" workbookViewId="0">
      <pane xSplit="4" ySplit="2" topLeftCell="E3" activePane="bottomRight" state="frozen"/>
      <selection pane="topRight" activeCell="E1" sqref="E1"/>
      <selection pane="bottomLeft" activeCell="A3" sqref="A3"/>
      <selection pane="bottomRight" activeCell="BE67" sqref="BE67"/>
    </sheetView>
  </sheetViews>
  <sheetFormatPr baseColWidth="10" defaultColWidth="17.33203125" defaultRowHeight="29.25" customHeight="1"/>
  <cols>
    <col min="1" max="1" width="13.5" style="1" customWidth="1"/>
    <col min="2" max="3" width="7.83203125" style="1" customWidth="1"/>
    <col min="4" max="4" width="7.5" style="17" customWidth="1"/>
    <col min="5" max="13" width="7.5" style="1" customWidth="1"/>
    <col min="14" max="19" width="17.33203125" style="1" customWidth="1"/>
    <col min="20" max="20" width="17.33203125" style="208" customWidth="1"/>
    <col min="21" max="39" width="17.33203125" style="1" customWidth="1"/>
    <col min="40" max="40" width="27.5" style="1" customWidth="1"/>
    <col min="41" max="78" width="17.33203125" style="1" customWidth="1"/>
    <col min="79" max="16384" width="17.33203125" style="1"/>
  </cols>
  <sheetData>
    <row r="1" spans="1:80" s="31" customFormat="1" ht="29.25" customHeight="1">
      <c r="A1" s="1095" t="s">
        <v>1283</v>
      </c>
      <c r="B1" s="1095"/>
      <c r="C1" s="1095"/>
      <c r="D1" s="1095"/>
      <c r="E1" s="1095"/>
      <c r="F1" s="1095"/>
      <c r="G1" s="1095"/>
      <c r="H1" s="1095"/>
      <c r="I1" s="1095"/>
      <c r="J1" s="1095"/>
      <c r="K1" s="1095"/>
      <c r="L1" s="1095"/>
      <c r="M1" s="1095"/>
      <c r="N1" s="1095"/>
      <c r="O1" s="1095"/>
      <c r="P1" s="1095"/>
      <c r="Q1" s="1095"/>
      <c r="R1" s="1095"/>
      <c r="S1" s="1096"/>
      <c r="T1" s="1096"/>
      <c r="U1" s="1095"/>
      <c r="V1" s="1095"/>
      <c r="W1" s="1095"/>
      <c r="X1" s="1095"/>
      <c r="Y1" s="1095"/>
      <c r="Z1" s="1095"/>
      <c r="AA1" s="1095"/>
      <c r="AB1" s="1095"/>
      <c r="AC1" s="1095"/>
      <c r="AD1" s="1095"/>
      <c r="AE1" s="1095"/>
      <c r="AF1" s="1095"/>
      <c r="AG1" s="1095"/>
      <c r="AH1" s="1095"/>
      <c r="AI1" s="1095"/>
      <c r="AJ1" s="1095"/>
      <c r="AK1" s="1095"/>
      <c r="AL1" s="1007" t="s">
        <v>1284</v>
      </c>
      <c r="AM1" s="1007"/>
      <c r="AN1" s="1007"/>
      <c r="AO1" s="1007"/>
      <c r="AP1" s="1007"/>
      <c r="AQ1" s="1007"/>
      <c r="AR1" s="1007"/>
      <c r="AS1" s="1007"/>
      <c r="AT1" s="1007"/>
      <c r="AU1" s="1007"/>
      <c r="AV1" s="1007"/>
      <c r="AW1" s="1007"/>
      <c r="AX1" s="1007"/>
      <c r="AY1" s="193"/>
      <c r="AZ1" s="193"/>
      <c r="BA1" s="1008" t="s">
        <v>2</v>
      </c>
      <c r="BB1" s="1008"/>
      <c r="BC1" s="1008"/>
      <c r="BD1" s="1008"/>
      <c r="BE1" s="1093" t="s">
        <v>3</v>
      </c>
      <c r="BF1" s="1093"/>
      <c r="BG1" s="1093"/>
      <c r="BH1" s="1093"/>
      <c r="BI1" s="1093"/>
      <c r="BJ1" s="1093"/>
      <c r="BK1" s="1093"/>
      <c r="BL1" s="1093"/>
      <c r="BM1" s="1093"/>
      <c r="BN1" s="1093"/>
      <c r="BO1" s="1094"/>
      <c r="BP1" s="1094"/>
      <c r="BQ1" s="1094"/>
      <c r="BR1" s="1094"/>
      <c r="BS1" s="1094"/>
      <c r="BT1" s="1094"/>
      <c r="BU1" s="1094"/>
      <c r="BV1" s="1094"/>
      <c r="BW1" s="1094"/>
      <c r="BX1" s="1094"/>
      <c r="BY1" s="1094"/>
      <c r="BZ1" s="1003" t="s">
        <v>4</v>
      </c>
      <c r="CA1" s="1003"/>
      <c r="CB1" s="1003"/>
    </row>
    <row r="2" spans="1:80" s="31" customFormat="1" ht="29.25" customHeight="1">
      <c r="A2" s="198" t="s">
        <v>5</v>
      </c>
      <c r="B2" s="198" t="s">
        <v>7</v>
      </c>
      <c r="C2" s="198" t="s">
        <v>8</v>
      </c>
      <c r="D2" s="198" t="s">
        <v>9</v>
      </c>
      <c r="E2" s="198" t="s">
        <v>10</v>
      </c>
      <c r="F2" s="198" t="s">
        <v>11</v>
      </c>
      <c r="G2" s="198" t="s">
        <v>12</v>
      </c>
      <c r="H2" s="198" t="s">
        <v>13</v>
      </c>
      <c r="I2" s="198" t="s">
        <v>14</v>
      </c>
      <c r="J2" s="198" t="s">
        <v>15</v>
      </c>
      <c r="K2" s="198" t="s">
        <v>16</v>
      </c>
      <c r="L2" s="198" t="s">
        <v>17</v>
      </c>
      <c r="M2" s="198" t="s">
        <v>18</v>
      </c>
      <c r="N2" s="198" t="s">
        <v>19</v>
      </c>
      <c r="O2" s="198" t="s">
        <v>20</v>
      </c>
      <c r="P2" s="198" t="s">
        <v>1285</v>
      </c>
      <c r="Q2" s="199" t="s">
        <v>23</v>
      </c>
      <c r="R2" s="274" t="s">
        <v>1286</v>
      </c>
      <c r="S2" s="199" t="s">
        <v>1287</v>
      </c>
      <c r="T2" s="283" t="s">
        <v>1288</v>
      </c>
      <c r="U2" s="278" t="s">
        <v>27</v>
      </c>
      <c r="V2" s="199" t="s">
        <v>28</v>
      </c>
      <c r="W2" s="199" t="s">
        <v>29</v>
      </c>
      <c r="X2" s="199" t="s">
        <v>30</v>
      </c>
      <c r="Y2" s="199" t="s">
        <v>31</v>
      </c>
      <c r="Z2" s="199" t="s">
        <v>32</v>
      </c>
      <c r="AA2" s="199" t="s">
        <v>1289</v>
      </c>
      <c r="AB2" s="199" t="s">
        <v>1290</v>
      </c>
      <c r="AC2" s="199" t="s">
        <v>38</v>
      </c>
      <c r="AD2" s="199" t="s">
        <v>39</v>
      </c>
      <c r="AE2" s="199" t="s">
        <v>40</v>
      </c>
      <c r="AF2" s="199" t="s">
        <v>41</v>
      </c>
      <c r="AG2" s="199" t="s">
        <v>42</v>
      </c>
      <c r="AH2" s="199" t="s">
        <v>43</v>
      </c>
      <c r="AI2" s="198" t="s">
        <v>47</v>
      </c>
      <c r="AJ2" s="199" t="s">
        <v>48</v>
      </c>
      <c r="AK2" s="199" t="s">
        <v>49</v>
      </c>
      <c r="AL2" s="200" t="s">
        <v>50</v>
      </c>
      <c r="AM2" s="200" t="s">
        <v>51</v>
      </c>
      <c r="AN2" s="200" t="s">
        <v>19</v>
      </c>
      <c r="AO2" s="200" t="s">
        <v>52</v>
      </c>
      <c r="AP2" s="200" t="s">
        <v>53</v>
      </c>
      <c r="AQ2" s="200" t="s">
        <v>54</v>
      </c>
      <c r="AR2" s="200" t="s">
        <v>55</v>
      </c>
      <c r="AS2" s="200" t="s">
        <v>56</v>
      </c>
      <c r="AT2" s="200" t="s">
        <v>57</v>
      </c>
      <c r="AU2" s="200" t="s">
        <v>58</v>
      </c>
      <c r="AV2" s="200" t="s">
        <v>59</v>
      </c>
      <c r="AW2" s="200" t="s">
        <v>60</v>
      </c>
      <c r="AX2" s="200" t="s">
        <v>61</v>
      </c>
      <c r="AY2" s="200" t="s">
        <v>1291</v>
      </c>
      <c r="AZ2" s="200" t="s">
        <v>63</v>
      </c>
      <c r="BA2" s="201" t="s">
        <v>64</v>
      </c>
      <c r="BB2" s="201" t="s">
        <v>65</v>
      </c>
      <c r="BC2" s="201" t="s">
        <v>66</v>
      </c>
      <c r="BD2" s="201" t="s">
        <v>67</v>
      </c>
      <c r="BE2" s="202" t="s">
        <v>68</v>
      </c>
      <c r="BF2" s="202" t="s">
        <v>69</v>
      </c>
      <c r="BG2" s="202" t="s">
        <v>57</v>
      </c>
      <c r="BH2" s="202" t="s">
        <v>70</v>
      </c>
      <c r="BI2" s="202" t="s">
        <v>71</v>
      </c>
      <c r="BJ2" s="202" t="s">
        <v>72</v>
      </c>
      <c r="BK2" s="202" t="s">
        <v>73</v>
      </c>
      <c r="BL2" s="202" t="s">
        <v>70</v>
      </c>
      <c r="BM2" s="202" t="s">
        <v>71</v>
      </c>
      <c r="BN2" s="202" t="s">
        <v>74</v>
      </c>
      <c r="BO2" s="203" t="s">
        <v>1292</v>
      </c>
      <c r="BP2" s="203" t="s">
        <v>1293</v>
      </c>
      <c r="BQ2" s="203" t="s">
        <v>1294</v>
      </c>
      <c r="BR2" s="204">
        <v>45943</v>
      </c>
      <c r="BS2" s="204">
        <v>45944</v>
      </c>
      <c r="BT2" s="204">
        <v>45945</v>
      </c>
      <c r="BU2" s="203" t="s">
        <v>75</v>
      </c>
      <c r="BV2" s="203" t="s">
        <v>76</v>
      </c>
      <c r="BW2" s="203" t="s">
        <v>78</v>
      </c>
      <c r="BX2" s="203" t="s">
        <v>79</v>
      </c>
      <c r="BY2" s="203" t="s">
        <v>80</v>
      </c>
      <c r="BZ2" s="205" t="s">
        <v>81</v>
      </c>
      <c r="CA2" s="205" t="s">
        <v>82</v>
      </c>
      <c r="CB2" s="205" t="s">
        <v>83</v>
      </c>
    </row>
    <row r="3" spans="1:80" ht="29.25" customHeight="1">
      <c r="A3" s="1086" t="s">
        <v>1295</v>
      </c>
      <c r="B3" s="1087">
        <v>45943</v>
      </c>
      <c r="C3" s="1087">
        <v>45946</v>
      </c>
      <c r="D3" s="1083">
        <v>1960</v>
      </c>
      <c r="E3" s="1081" t="s">
        <v>1296</v>
      </c>
      <c r="F3" s="1087" t="s">
        <v>135</v>
      </c>
      <c r="G3" s="1087" t="s">
        <v>1297</v>
      </c>
      <c r="H3" s="1087" t="s">
        <v>88</v>
      </c>
      <c r="I3" s="1087" t="s">
        <v>89</v>
      </c>
      <c r="J3" s="1087" t="s">
        <v>1298</v>
      </c>
      <c r="K3" s="1087" t="s">
        <v>318</v>
      </c>
      <c r="L3" s="1087" t="s">
        <v>88</v>
      </c>
      <c r="M3" s="1087" t="s">
        <v>1299</v>
      </c>
      <c r="N3" s="1087" t="s">
        <v>1300</v>
      </c>
      <c r="O3" s="1087" t="s">
        <v>1301</v>
      </c>
      <c r="P3" s="1087" t="s">
        <v>249</v>
      </c>
      <c r="Q3" s="1087" t="s">
        <v>110</v>
      </c>
      <c r="R3" s="1115" t="s">
        <v>1302</v>
      </c>
      <c r="S3" s="1087" t="s">
        <v>97</v>
      </c>
      <c r="T3" s="1104">
        <v>2</v>
      </c>
      <c r="U3" s="1109" t="s">
        <v>663</v>
      </c>
      <c r="V3" s="1097" t="s">
        <v>663</v>
      </c>
      <c r="W3" s="1097" t="s">
        <v>663</v>
      </c>
      <c r="X3" s="1097" t="s">
        <v>663</v>
      </c>
      <c r="Y3" s="1097" t="s">
        <v>663</v>
      </c>
      <c r="Z3" s="1097" t="s">
        <v>663</v>
      </c>
      <c r="AA3" s="1087" t="s">
        <v>97</v>
      </c>
      <c r="AB3" s="1108">
        <v>2</v>
      </c>
      <c r="AC3" s="1097" t="s">
        <v>663</v>
      </c>
      <c r="AD3" s="1097" t="s">
        <v>663</v>
      </c>
      <c r="AE3" s="1097" t="s">
        <v>663</v>
      </c>
      <c r="AF3" s="1097" t="s">
        <v>663</v>
      </c>
      <c r="AG3" s="1097" t="s">
        <v>663</v>
      </c>
      <c r="AH3" s="1097" t="s">
        <v>663</v>
      </c>
      <c r="AI3" s="1087" t="s">
        <v>376</v>
      </c>
      <c r="AJ3" s="1087" t="s">
        <v>88</v>
      </c>
      <c r="AK3" s="1087" t="s">
        <v>88</v>
      </c>
      <c r="AL3" s="111" t="s">
        <v>663</v>
      </c>
      <c r="AM3" s="111" t="s">
        <v>663</v>
      </c>
      <c r="AN3" s="111" t="s">
        <v>663</v>
      </c>
      <c r="AO3" s="194"/>
      <c r="AP3" s="111"/>
      <c r="AQ3" s="111" t="s">
        <v>98</v>
      </c>
      <c r="AR3" s="111"/>
      <c r="AS3" s="111"/>
      <c r="AT3" s="214"/>
      <c r="AU3" s="111"/>
      <c r="AV3" s="111"/>
      <c r="AW3" s="111"/>
      <c r="AX3" s="111"/>
      <c r="AY3" s="111" t="s">
        <v>98</v>
      </c>
      <c r="AZ3" s="111"/>
      <c r="BA3" s="111"/>
      <c r="BB3" s="111"/>
      <c r="BC3" s="111"/>
      <c r="BD3" s="111"/>
      <c r="BE3" s="111"/>
      <c r="BF3" s="111"/>
      <c r="BG3" s="111"/>
      <c r="BH3" s="111"/>
      <c r="BI3" s="111"/>
      <c r="BJ3" s="111"/>
      <c r="BK3" s="111"/>
      <c r="BL3" s="111"/>
      <c r="BM3" s="111"/>
      <c r="BN3" s="720"/>
      <c r="BO3" s="111"/>
      <c r="BP3" s="111"/>
      <c r="BQ3" s="111"/>
      <c r="BR3" s="456"/>
      <c r="BS3" s="456"/>
      <c r="BT3" s="456"/>
      <c r="BU3" s="111"/>
      <c r="BV3" s="111"/>
      <c r="BW3" s="111">
        <f t="shared" ref="BW3:BW65" si="0">BR3+BS3+BT3</f>
        <v>0</v>
      </c>
      <c r="BX3" s="111"/>
      <c r="BY3" s="111"/>
      <c r="BZ3" s="111"/>
      <c r="CA3" s="111"/>
      <c r="CB3" s="111"/>
    </row>
    <row r="4" spans="1:80" ht="23" customHeight="1">
      <c r="A4" s="1086"/>
      <c r="B4" s="1005"/>
      <c r="C4" s="1005"/>
      <c r="D4" s="1083"/>
      <c r="E4" s="1082" t="s">
        <v>88</v>
      </c>
      <c r="F4" s="1005" t="s">
        <v>88</v>
      </c>
      <c r="G4" s="1005" t="s">
        <v>88</v>
      </c>
      <c r="H4" s="1005" t="s">
        <v>88</v>
      </c>
      <c r="I4" s="1005" t="s">
        <v>88</v>
      </c>
      <c r="J4" s="1005" t="s">
        <v>88</v>
      </c>
      <c r="K4" s="1005" t="s">
        <v>88</v>
      </c>
      <c r="L4" s="1005" t="s">
        <v>88</v>
      </c>
      <c r="M4" s="1005" t="s">
        <v>88</v>
      </c>
      <c r="N4" s="1005" t="s">
        <v>88</v>
      </c>
      <c r="O4" s="1005" t="s">
        <v>88</v>
      </c>
      <c r="P4" s="1005" t="s">
        <v>88</v>
      </c>
      <c r="Q4" s="1005" t="s">
        <v>88</v>
      </c>
      <c r="R4" s="1115"/>
      <c r="S4" s="1005" t="s">
        <v>88</v>
      </c>
      <c r="T4" s="1104" t="s">
        <v>88</v>
      </c>
      <c r="U4" s="1110" t="s">
        <v>88</v>
      </c>
      <c r="V4" s="1098" t="s">
        <v>88</v>
      </c>
      <c r="W4" s="1098" t="s">
        <v>88</v>
      </c>
      <c r="X4" s="1098" t="s">
        <v>88</v>
      </c>
      <c r="Y4" s="1098" t="s">
        <v>88</v>
      </c>
      <c r="Z4" s="1098" t="s">
        <v>88</v>
      </c>
      <c r="AA4" s="1005" t="s">
        <v>88</v>
      </c>
      <c r="AB4" s="1108" t="s">
        <v>88</v>
      </c>
      <c r="AC4" s="1098" t="s">
        <v>88</v>
      </c>
      <c r="AD4" s="1098" t="s">
        <v>88</v>
      </c>
      <c r="AE4" s="1098" t="s">
        <v>88</v>
      </c>
      <c r="AF4" s="1098" t="s">
        <v>88</v>
      </c>
      <c r="AG4" s="1098" t="s">
        <v>88</v>
      </c>
      <c r="AH4" s="1098" t="s">
        <v>88</v>
      </c>
      <c r="AI4" s="1005" t="s">
        <v>88</v>
      </c>
      <c r="AJ4" s="1005" t="s">
        <v>88</v>
      </c>
      <c r="AK4" s="1005" t="s">
        <v>88</v>
      </c>
      <c r="AL4" s="111" t="s">
        <v>663</v>
      </c>
      <c r="AM4" s="111" t="s">
        <v>663</v>
      </c>
      <c r="AN4" s="111" t="s">
        <v>663</v>
      </c>
      <c r="AO4" s="194"/>
      <c r="AP4" s="111"/>
      <c r="AQ4" s="111" t="s">
        <v>98</v>
      </c>
      <c r="AR4" s="221"/>
      <c r="AS4" s="111"/>
      <c r="AT4" s="214"/>
      <c r="AU4" s="111"/>
      <c r="AV4" s="111"/>
      <c r="AW4" s="111"/>
      <c r="AX4" s="111"/>
      <c r="AY4" s="111" t="s">
        <v>98</v>
      </c>
      <c r="AZ4" s="111"/>
      <c r="BA4" s="111"/>
      <c r="BB4" s="111"/>
      <c r="BC4" s="111"/>
      <c r="BD4" s="111"/>
      <c r="BE4" s="111"/>
      <c r="BF4" s="111"/>
      <c r="BG4" s="111"/>
      <c r="BH4" s="111"/>
      <c r="BI4" s="111"/>
      <c r="BJ4" s="111"/>
      <c r="BK4" s="111"/>
      <c r="BL4" s="111"/>
      <c r="BM4" s="111"/>
      <c r="BN4" s="720"/>
      <c r="BO4" s="111"/>
      <c r="BP4" s="111"/>
      <c r="BQ4" s="111"/>
      <c r="BR4" s="456"/>
      <c r="BS4" s="456"/>
      <c r="BT4" s="456"/>
      <c r="BU4" s="111"/>
      <c r="BV4" s="111"/>
      <c r="BW4" s="111">
        <f t="shared" si="0"/>
        <v>0</v>
      </c>
      <c r="BX4" s="111"/>
      <c r="BY4" s="111"/>
      <c r="BZ4" s="111"/>
      <c r="CA4" s="111"/>
      <c r="CB4" s="111"/>
    </row>
    <row r="5" spans="1:80" ht="39.5" customHeight="1">
      <c r="A5" s="195" t="s">
        <v>1295</v>
      </c>
      <c r="B5" s="108">
        <v>45943</v>
      </c>
      <c r="C5" s="108">
        <v>45946</v>
      </c>
      <c r="D5" s="109">
        <v>2005</v>
      </c>
      <c r="E5" s="170" t="s">
        <v>1303</v>
      </c>
      <c r="F5" s="110" t="s">
        <v>135</v>
      </c>
      <c r="G5" s="110" t="s">
        <v>1297</v>
      </c>
      <c r="H5" s="110" t="s">
        <v>88</v>
      </c>
      <c r="I5" s="110" t="s">
        <v>89</v>
      </c>
      <c r="J5" s="110" t="s">
        <v>1304</v>
      </c>
      <c r="K5" s="110" t="s">
        <v>189</v>
      </c>
      <c r="L5" s="110" t="s">
        <v>88</v>
      </c>
      <c r="M5" s="110" t="s">
        <v>1305</v>
      </c>
      <c r="N5" s="110" t="s">
        <v>1306</v>
      </c>
      <c r="O5" s="110" t="s">
        <v>1307</v>
      </c>
      <c r="P5" s="110" t="s">
        <v>108</v>
      </c>
      <c r="Q5" s="111" t="s">
        <v>88</v>
      </c>
      <c r="R5" s="219" t="s">
        <v>88</v>
      </c>
      <c r="S5" s="111" t="s">
        <v>88</v>
      </c>
      <c r="T5" s="279" t="s">
        <v>88</v>
      </c>
      <c r="U5" s="220" t="s">
        <v>88</v>
      </c>
      <c r="V5" s="111" t="s">
        <v>88</v>
      </c>
      <c r="W5" s="111" t="s">
        <v>88</v>
      </c>
      <c r="X5" s="111" t="s">
        <v>88</v>
      </c>
      <c r="Y5" s="111" t="s">
        <v>88</v>
      </c>
      <c r="Z5" s="111" t="s">
        <v>88</v>
      </c>
      <c r="AA5" s="111" t="s">
        <v>88</v>
      </c>
      <c r="AB5" s="154" t="s">
        <v>88</v>
      </c>
      <c r="AC5" s="111" t="s">
        <v>88</v>
      </c>
      <c r="AD5" s="111" t="s">
        <v>88</v>
      </c>
      <c r="AE5" s="111" t="s">
        <v>88</v>
      </c>
      <c r="AF5" s="111" t="s">
        <v>88</v>
      </c>
      <c r="AG5" s="111" t="s">
        <v>88</v>
      </c>
      <c r="AH5" s="111" t="s">
        <v>88</v>
      </c>
      <c r="AI5" s="111" t="s">
        <v>88</v>
      </c>
      <c r="AJ5" s="111" t="s">
        <v>88</v>
      </c>
      <c r="AK5" s="111" t="s">
        <v>88</v>
      </c>
      <c r="AL5" s="446"/>
      <c r="AM5" s="446"/>
      <c r="AN5" s="446"/>
      <c r="AO5" s="952"/>
      <c r="AP5" s="446"/>
      <c r="AQ5" s="953"/>
      <c r="AR5" s="446"/>
      <c r="AS5" s="775"/>
      <c r="AT5" s="954"/>
      <c r="AU5" s="446"/>
      <c r="AV5" s="446"/>
      <c r="AW5" s="446"/>
      <c r="AX5" s="446"/>
      <c r="AY5" s="446"/>
      <c r="AZ5" s="446"/>
      <c r="BA5" s="446"/>
      <c r="BB5" s="446"/>
      <c r="BC5" s="446"/>
      <c r="BD5" s="446"/>
      <c r="BE5" s="446"/>
      <c r="BF5" s="446"/>
      <c r="BG5" s="446"/>
      <c r="BH5" s="446"/>
      <c r="BI5" s="446"/>
      <c r="BJ5" s="446"/>
      <c r="BK5" s="446"/>
      <c r="BL5" s="446"/>
      <c r="BM5" s="446"/>
      <c r="BN5" s="950"/>
      <c r="BO5" s="446"/>
      <c r="BP5" s="446"/>
      <c r="BQ5" s="446"/>
      <c r="BR5" s="446"/>
      <c r="BS5" s="446"/>
      <c r="BT5" s="446"/>
      <c r="BU5" s="446"/>
      <c r="BV5" s="446"/>
      <c r="BW5" s="446">
        <f t="shared" si="0"/>
        <v>0</v>
      </c>
      <c r="BX5" s="446"/>
      <c r="BY5" s="446"/>
      <c r="BZ5" s="446"/>
      <c r="CA5" s="446"/>
      <c r="CB5" s="446"/>
    </row>
    <row r="6" spans="1:80" ht="29.25" customHeight="1">
      <c r="A6" s="1085" t="s">
        <v>1295</v>
      </c>
      <c r="B6" s="1087">
        <v>45943</v>
      </c>
      <c r="C6" s="1087">
        <v>45946</v>
      </c>
      <c r="D6" s="1088">
        <v>2024</v>
      </c>
      <c r="E6" s="1081" t="s">
        <v>1308</v>
      </c>
      <c r="F6" s="1087" t="s">
        <v>167</v>
      </c>
      <c r="G6" s="1087" t="s">
        <v>1297</v>
      </c>
      <c r="H6" s="1087" t="s">
        <v>88</v>
      </c>
      <c r="I6" s="1087" t="s">
        <v>89</v>
      </c>
      <c r="J6" s="1087" t="s">
        <v>1309</v>
      </c>
      <c r="K6" s="1087" t="s">
        <v>318</v>
      </c>
      <c r="L6" s="1087" t="s">
        <v>88</v>
      </c>
      <c r="M6" s="1087" t="s">
        <v>1310</v>
      </c>
      <c r="N6" s="1087" t="s">
        <v>1311</v>
      </c>
      <c r="O6" s="1087" t="s">
        <v>1312</v>
      </c>
      <c r="P6" s="1087" t="s">
        <v>249</v>
      </c>
      <c r="Q6" s="1087" t="s">
        <v>110</v>
      </c>
      <c r="R6" s="1099" t="s">
        <v>1313</v>
      </c>
      <c r="S6" s="1087" t="s">
        <v>562</v>
      </c>
      <c r="T6" s="1104" t="s">
        <v>1314</v>
      </c>
      <c r="U6" s="1105" t="s">
        <v>88</v>
      </c>
      <c r="V6" s="1005" t="s">
        <v>88</v>
      </c>
      <c r="W6" s="1005" t="s">
        <v>88</v>
      </c>
      <c r="X6" s="1005" t="s">
        <v>88</v>
      </c>
      <c r="Y6" s="1005" t="s">
        <v>88</v>
      </c>
      <c r="Z6" s="1005" t="s">
        <v>88</v>
      </c>
      <c r="AA6" s="1005" t="s">
        <v>97</v>
      </c>
      <c r="AB6" s="1108">
        <v>2</v>
      </c>
      <c r="AC6" s="1005" t="s">
        <v>1315</v>
      </c>
      <c r="AD6" s="1005" t="s">
        <v>1316</v>
      </c>
      <c r="AE6" s="1042" t="s">
        <v>1317</v>
      </c>
      <c r="AF6" s="1005" t="s">
        <v>1318</v>
      </c>
      <c r="AG6" s="1005" t="s">
        <v>1319</v>
      </c>
      <c r="AH6" s="1111" t="s">
        <v>1320</v>
      </c>
      <c r="AI6" s="1005" t="s">
        <v>376</v>
      </c>
      <c r="AJ6" s="1005" t="s">
        <v>88</v>
      </c>
      <c r="AK6" s="1119" t="s">
        <v>1321</v>
      </c>
      <c r="AL6" s="331" t="s">
        <v>1315</v>
      </c>
      <c r="AM6" s="331" t="s">
        <v>1316</v>
      </c>
      <c r="AN6" s="331" t="s">
        <v>1317</v>
      </c>
      <c r="AO6" s="340" t="s">
        <v>1322</v>
      </c>
      <c r="AP6" s="340" t="s">
        <v>995</v>
      </c>
      <c r="AQ6" s="346" t="s">
        <v>1006</v>
      </c>
      <c r="AR6" s="340"/>
      <c r="AS6" s="347"/>
      <c r="AT6" s="470">
        <v>45943</v>
      </c>
      <c r="AU6" s="331"/>
      <c r="AV6" s="331"/>
      <c r="AW6" s="470">
        <v>45946</v>
      </c>
      <c r="AX6" s="331"/>
      <c r="AY6" s="331" t="s">
        <v>98</v>
      </c>
      <c r="AZ6" s="331"/>
      <c r="BA6" s="111" t="s">
        <v>98</v>
      </c>
      <c r="BB6" s="111" t="s">
        <v>98</v>
      </c>
      <c r="BC6" s="111" t="s">
        <v>98</v>
      </c>
      <c r="BD6" s="111" t="s">
        <v>98</v>
      </c>
      <c r="BE6" s="951" t="s">
        <v>1323</v>
      </c>
      <c r="BF6" s="446" t="s">
        <v>1324</v>
      </c>
      <c r="BG6" s="446" t="s">
        <v>1324</v>
      </c>
      <c r="BH6" s="446" t="s">
        <v>1324</v>
      </c>
      <c r="BI6" s="446" t="s">
        <v>1324</v>
      </c>
      <c r="BJ6" s="951" t="s">
        <v>1323</v>
      </c>
      <c r="BK6" s="446" t="s">
        <v>1324</v>
      </c>
      <c r="BL6" s="446" t="s">
        <v>1324</v>
      </c>
      <c r="BM6" s="446" t="s">
        <v>1324</v>
      </c>
      <c r="BN6" s="446" t="s">
        <v>1324</v>
      </c>
      <c r="BO6" s="111"/>
      <c r="BP6" s="111"/>
      <c r="BQ6" s="111"/>
      <c r="BR6" s="132">
        <v>1</v>
      </c>
      <c r="BS6" s="132">
        <v>1</v>
      </c>
      <c r="BT6" s="132">
        <v>1</v>
      </c>
      <c r="BU6" s="111" t="s">
        <v>1325</v>
      </c>
      <c r="BV6" s="483">
        <v>45946</v>
      </c>
      <c r="BW6" s="111">
        <f t="shared" ref="BW6:BW8" si="1">BR6+BS6+BT6</f>
        <v>3</v>
      </c>
      <c r="BX6" s="111"/>
      <c r="BY6" s="111"/>
      <c r="BZ6" s="111" t="s">
        <v>1326</v>
      </c>
      <c r="CA6" s="111" t="s">
        <v>1327</v>
      </c>
      <c r="CB6" s="111" t="s">
        <v>1328</v>
      </c>
    </row>
    <row r="7" spans="1:80" ht="23" customHeight="1">
      <c r="A7" s="1086"/>
      <c r="B7" s="1005"/>
      <c r="C7" s="1005"/>
      <c r="D7" s="1088"/>
      <c r="E7" s="1082" t="s">
        <v>88</v>
      </c>
      <c r="F7" s="1005" t="s">
        <v>88</v>
      </c>
      <c r="G7" s="1005" t="s">
        <v>88</v>
      </c>
      <c r="H7" s="1005" t="s">
        <v>88</v>
      </c>
      <c r="I7" s="1005" t="s">
        <v>88</v>
      </c>
      <c r="J7" s="1005" t="s">
        <v>88</v>
      </c>
      <c r="K7" s="1005" t="s">
        <v>88</v>
      </c>
      <c r="L7" s="1005" t="s">
        <v>88</v>
      </c>
      <c r="M7" s="1005" t="s">
        <v>88</v>
      </c>
      <c r="N7" s="1005" t="s">
        <v>88</v>
      </c>
      <c r="O7" s="1005" t="s">
        <v>88</v>
      </c>
      <c r="P7" s="1005" t="s">
        <v>88</v>
      </c>
      <c r="Q7" s="1005" t="s">
        <v>88</v>
      </c>
      <c r="R7" s="1099"/>
      <c r="S7" s="1005" t="s">
        <v>88</v>
      </c>
      <c r="T7" s="1104" t="s">
        <v>88</v>
      </c>
      <c r="U7" s="1106" t="s">
        <v>88</v>
      </c>
      <c r="V7" s="1005" t="s">
        <v>88</v>
      </c>
      <c r="W7" s="1005" t="s">
        <v>88</v>
      </c>
      <c r="X7" s="1005" t="s">
        <v>88</v>
      </c>
      <c r="Y7" s="1005" t="s">
        <v>88</v>
      </c>
      <c r="Z7" s="1005" t="s">
        <v>88</v>
      </c>
      <c r="AA7" s="1005" t="s">
        <v>88</v>
      </c>
      <c r="AB7" s="1108" t="s">
        <v>88</v>
      </c>
      <c r="AC7" s="1005" t="s">
        <v>88</v>
      </c>
      <c r="AD7" s="1005" t="s">
        <v>88</v>
      </c>
      <c r="AE7" s="1111" t="s">
        <v>88</v>
      </c>
      <c r="AF7" s="1005" t="s">
        <v>88</v>
      </c>
      <c r="AG7" s="1005" t="s">
        <v>88</v>
      </c>
      <c r="AH7" s="1111" t="s">
        <v>88</v>
      </c>
      <c r="AI7" s="1005" t="s">
        <v>88</v>
      </c>
      <c r="AJ7" s="1005" t="s">
        <v>88</v>
      </c>
      <c r="AK7" s="1119" t="s">
        <v>88</v>
      </c>
      <c r="AL7" s="331" t="s">
        <v>1318</v>
      </c>
      <c r="AM7" s="344" t="s">
        <v>1329</v>
      </c>
      <c r="AN7" s="343" t="s">
        <v>1330</v>
      </c>
      <c r="AO7" s="334" t="s">
        <v>1331</v>
      </c>
      <c r="AP7" s="334" t="s">
        <v>995</v>
      </c>
      <c r="AQ7" s="346" t="s">
        <v>1006</v>
      </c>
      <c r="AR7" s="340"/>
      <c r="AS7" s="331"/>
      <c r="AT7" s="470">
        <v>45943</v>
      </c>
      <c r="AU7" s="331"/>
      <c r="AV7" s="331"/>
      <c r="AW7" s="470">
        <v>45946</v>
      </c>
      <c r="AX7" s="331"/>
      <c r="AY7" s="331" t="s">
        <v>98</v>
      </c>
      <c r="AZ7" s="331"/>
      <c r="BA7" s="111" t="s">
        <v>98</v>
      </c>
      <c r="BB7" s="111" t="s">
        <v>98</v>
      </c>
      <c r="BC7" s="111" t="s">
        <v>98</v>
      </c>
      <c r="BD7" s="111" t="s">
        <v>98</v>
      </c>
      <c r="BE7" s="951" t="s">
        <v>1323</v>
      </c>
      <c r="BF7" s="446" t="s">
        <v>1324</v>
      </c>
      <c r="BG7" s="446" t="s">
        <v>1324</v>
      </c>
      <c r="BH7" s="446" t="s">
        <v>1324</v>
      </c>
      <c r="BI7" s="446" t="s">
        <v>1324</v>
      </c>
      <c r="BJ7" s="951" t="s">
        <v>1323</v>
      </c>
      <c r="BK7" s="446" t="s">
        <v>1324</v>
      </c>
      <c r="BL7" s="446" t="s">
        <v>1324</v>
      </c>
      <c r="BM7" s="446" t="s">
        <v>1324</v>
      </c>
      <c r="BN7" s="446" t="s">
        <v>1324</v>
      </c>
      <c r="BO7" s="111"/>
      <c r="BP7" s="111"/>
      <c r="BQ7" s="111"/>
      <c r="BR7" s="132">
        <v>1</v>
      </c>
      <c r="BS7" s="132">
        <v>1</v>
      </c>
      <c r="BT7" s="132">
        <v>1</v>
      </c>
      <c r="BU7" s="111" t="s">
        <v>1325</v>
      </c>
      <c r="BV7" s="483">
        <v>45946</v>
      </c>
      <c r="BW7" s="111">
        <f t="shared" si="1"/>
        <v>3</v>
      </c>
      <c r="BX7" s="111"/>
      <c r="BY7" s="111"/>
      <c r="BZ7" s="111" t="s">
        <v>1326</v>
      </c>
      <c r="CA7" s="111" t="s">
        <v>1327</v>
      </c>
      <c r="CB7" s="111" t="s">
        <v>1328</v>
      </c>
    </row>
    <row r="8" spans="1:80" ht="31" customHeight="1">
      <c r="A8" s="195" t="s">
        <v>1295</v>
      </c>
      <c r="B8" s="108">
        <v>45943</v>
      </c>
      <c r="C8" s="108">
        <v>45946</v>
      </c>
      <c r="D8" s="109">
        <v>2066</v>
      </c>
      <c r="E8" s="170" t="s">
        <v>1332</v>
      </c>
      <c r="F8" s="110" t="s">
        <v>135</v>
      </c>
      <c r="G8" s="110" t="s">
        <v>1297</v>
      </c>
      <c r="H8" s="110" t="s">
        <v>88</v>
      </c>
      <c r="I8" s="110" t="s">
        <v>89</v>
      </c>
      <c r="J8" s="110" t="s">
        <v>1333</v>
      </c>
      <c r="K8" s="110" t="s">
        <v>189</v>
      </c>
      <c r="L8" s="110" t="s">
        <v>88</v>
      </c>
      <c r="M8" s="110" t="s">
        <v>1334</v>
      </c>
      <c r="N8" s="286" t="s">
        <v>1335</v>
      </c>
      <c r="O8" s="110" t="s">
        <v>192</v>
      </c>
      <c r="P8" s="110" t="s">
        <v>1336</v>
      </c>
      <c r="Q8" s="111" t="s">
        <v>88</v>
      </c>
      <c r="R8" s="219" t="s">
        <v>88</v>
      </c>
      <c r="S8" s="111" t="s">
        <v>88</v>
      </c>
      <c r="T8" s="279" t="s">
        <v>88</v>
      </c>
      <c r="U8" s="220" t="s">
        <v>88</v>
      </c>
      <c r="V8" s="111" t="s">
        <v>88</v>
      </c>
      <c r="W8" s="111" t="s">
        <v>88</v>
      </c>
      <c r="X8" s="111" t="s">
        <v>88</v>
      </c>
      <c r="Y8" s="111" t="s">
        <v>88</v>
      </c>
      <c r="Z8" s="111" t="s">
        <v>88</v>
      </c>
      <c r="AA8" s="111" t="s">
        <v>88</v>
      </c>
      <c r="AB8" s="154" t="s">
        <v>88</v>
      </c>
      <c r="AC8" s="111" t="s">
        <v>88</v>
      </c>
      <c r="AD8" s="111" t="s">
        <v>88</v>
      </c>
      <c r="AE8" s="111" t="s">
        <v>88</v>
      </c>
      <c r="AF8" s="111" t="s">
        <v>88</v>
      </c>
      <c r="AG8" s="111" t="s">
        <v>88</v>
      </c>
      <c r="AH8" s="111" t="s">
        <v>88</v>
      </c>
      <c r="AI8" s="111" t="s">
        <v>88</v>
      </c>
      <c r="AJ8" s="111" t="s">
        <v>88</v>
      </c>
      <c r="AK8" s="111" t="s">
        <v>88</v>
      </c>
      <c r="AL8" s="446"/>
      <c r="AM8" s="446"/>
      <c r="AN8" s="446"/>
      <c r="AO8" s="952"/>
      <c r="AP8" s="446"/>
      <c r="AQ8" s="953"/>
      <c r="AR8" s="446"/>
      <c r="AS8" s="775"/>
      <c r="AT8" s="954"/>
      <c r="AU8" s="446"/>
      <c r="AV8" s="446"/>
      <c r="AW8" s="446"/>
      <c r="AX8" s="446"/>
      <c r="AY8" s="446"/>
      <c r="AZ8" s="446"/>
      <c r="BA8" s="446"/>
      <c r="BB8" s="446"/>
      <c r="BC8" s="446"/>
      <c r="BD8" s="446"/>
      <c r="BE8" s="446"/>
      <c r="BF8" s="446"/>
      <c r="BG8" s="446"/>
      <c r="BH8" s="446"/>
      <c r="BI8" s="446"/>
      <c r="BJ8" s="446"/>
      <c r="BK8" s="446"/>
      <c r="BL8" s="446"/>
      <c r="BM8" s="446"/>
      <c r="BN8" s="950"/>
      <c r="BO8" s="446"/>
      <c r="BP8" s="446"/>
      <c r="BQ8" s="446"/>
      <c r="BR8" s="446"/>
      <c r="BS8" s="446"/>
      <c r="BT8" s="446"/>
      <c r="BU8" s="446"/>
      <c r="BV8" s="446"/>
      <c r="BW8" s="446">
        <f t="shared" si="1"/>
        <v>0</v>
      </c>
      <c r="BX8" s="446"/>
      <c r="BY8" s="446"/>
      <c r="BZ8" s="446"/>
      <c r="CA8" s="446"/>
      <c r="CB8" s="446"/>
    </row>
    <row r="9" spans="1:80" ht="29.25" customHeight="1">
      <c r="A9" s="1085" t="s">
        <v>1295</v>
      </c>
      <c r="B9" s="1087">
        <v>45943</v>
      </c>
      <c r="C9" s="1087">
        <v>45946</v>
      </c>
      <c r="D9" s="1088">
        <v>2067</v>
      </c>
      <c r="E9" s="1081" t="s">
        <v>1337</v>
      </c>
      <c r="F9" s="1087" t="s">
        <v>167</v>
      </c>
      <c r="G9" s="1087" t="s">
        <v>1297</v>
      </c>
      <c r="H9" s="1087" t="s">
        <v>88</v>
      </c>
      <c r="I9" s="1087" t="s">
        <v>89</v>
      </c>
      <c r="J9" s="1087" t="s">
        <v>1338</v>
      </c>
      <c r="K9" s="1087" t="s">
        <v>1339</v>
      </c>
      <c r="L9" s="1087" t="s">
        <v>88</v>
      </c>
      <c r="M9" s="1087" t="s">
        <v>1340</v>
      </c>
      <c r="N9" s="1087" t="s">
        <v>1341</v>
      </c>
      <c r="O9" s="1087" t="s">
        <v>1342</v>
      </c>
      <c r="P9" s="1087" t="s">
        <v>140</v>
      </c>
      <c r="Q9" s="1087" t="s">
        <v>97</v>
      </c>
      <c r="R9" s="1099" t="s">
        <v>98</v>
      </c>
      <c r="S9" s="1087" t="s">
        <v>97</v>
      </c>
      <c r="T9" s="1104">
        <v>2</v>
      </c>
      <c r="U9" s="1105" t="s">
        <v>1343</v>
      </c>
      <c r="V9" s="1087" t="s">
        <v>1344</v>
      </c>
      <c r="W9" s="1041" t="s">
        <v>1345</v>
      </c>
      <c r="X9" s="1087" t="s">
        <v>1346</v>
      </c>
      <c r="Y9" s="1087" t="s">
        <v>1347</v>
      </c>
      <c r="Z9" s="1041" t="s">
        <v>1348</v>
      </c>
      <c r="AA9" s="1087" t="s">
        <v>97</v>
      </c>
      <c r="AB9" s="1108">
        <v>2</v>
      </c>
      <c r="AC9" s="1087" t="s">
        <v>1343</v>
      </c>
      <c r="AD9" s="1087" t="s">
        <v>1344</v>
      </c>
      <c r="AE9" s="1015" t="s">
        <v>1345</v>
      </c>
      <c r="AF9" s="1087" t="s">
        <v>1346</v>
      </c>
      <c r="AG9" s="1087" t="s">
        <v>1347</v>
      </c>
      <c r="AH9" s="1015" t="s">
        <v>1348</v>
      </c>
      <c r="AI9" s="1087" t="s">
        <v>1349</v>
      </c>
      <c r="AJ9" s="1087" t="s">
        <v>88</v>
      </c>
      <c r="AK9" s="1087" t="s">
        <v>88</v>
      </c>
      <c r="AL9" s="331" t="s">
        <v>1343</v>
      </c>
      <c r="AM9" s="331" t="s">
        <v>1344</v>
      </c>
      <c r="AN9" s="331" t="s">
        <v>1345</v>
      </c>
      <c r="AO9" s="332" t="s">
        <v>1350</v>
      </c>
      <c r="AP9" s="349" t="s">
        <v>995</v>
      </c>
      <c r="AQ9" s="331" t="s">
        <v>98</v>
      </c>
      <c r="AR9" s="344" t="s">
        <v>121</v>
      </c>
      <c r="AS9" s="381" t="s">
        <v>1351</v>
      </c>
      <c r="AT9" s="333">
        <v>45943</v>
      </c>
      <c r="AU9" s="381" t="s">
        <v>1352</v>
      </c>
      <c r="AV9" s="381" t="s">
        <v>1351</v>
      </c>
      <c r="AW9" s="333">
        <v>45945</v>
      </c>
      <c r="AX9" s="381" t="s">
        <v>1352</v>
      </c>
      <c r="AY9" s="331" t="s">
        <v>98</v>
      </c>
      <c r="AZ9" s="331"/>
      <c r="BA9" s="111" t="s">
        <v>98</v>
      </c>
      <c r="BB9" s="111" t="s">
        <v>98</v>
      </c>
      <c r="BC9" s="111" t="s">
        <v>98</v>
      </c>
      <c r="BD9" s="111" t="s">
        <v>98</v>
      </c>
      <c r="BE9" s="391" t="s">
        <v>1351</v>
      </c>
      <c r="BF9" s="111" t="s">
        <v>126</v>
      </c>
      <c r="BG9" s="705">
        <v>45943</v>
      </c>
      <c r="BH9" s="706">
        <v>0.58333333333333337</v>
      </c>
      <c r="BI9" s="697" t="s">
        <v>1353</v>
      </c>
      <c r="BJ9" s="391" t="s">
        <v>1351</v>
      </c>
      <c r="BK9" s="705">
        <v>45946</v>
      </c>
      <c r="BL9" s="706">
        <v>0.4861111111111111</v>
      </c>
      <c r="BM9" s="697" t="s">
        <v>264</v>
      </c>
      <c r="BN9" s="704" t="s">
        <v>1354</v>
      </c>
      <c r="BO9" s="111"/>
      <c r="BP9" s="111"/>
      <c r="BQ9" s="111"/>
      <c r="BR9" s="132">
        <v>1</v>
      </c>
      <c r="BS9" s="132">
        <v>1</v>
      </c>
      <c r="BT9" s="132">
        <v>1</v>
      </c>
      <c r="BU9" s="111" t="s">
        <v>1325</v>
      </c>
      <c r="BV9" s="483">
        <v>45946</v>
      </c>
      <c r="BW9" s="111">
        <f t="shared" si="0"/>
        <v>3</v>
      </c>
      <c r="BX9" s="111"/>
      <c r="BY9" s="111"/>
      <c r="BZ9" s="480" t="s">
        <v>1355</v>
      </c>
      <c r="CA9" s="480" t="s">
        <v>266</v>
      </c>
      <c r="CB9" s="480" t="s">
        <v>267</v>
      </c>
    </row>
    <row r="10" spans="1:80" ht="23" customHeight="1">
      <c r="A10" s="1086"/>
      <c r="B10" s="1005"/>
      <c r="C10" s="1005"/>
      <c r="D10" s="1088"/>
      <c r="E10" s="1082" t="s">
        <v>88</v>
      </c>
      <c r="F10" s="1005" t="s">
        <v>88</v>
      </c>
      <c r="G10" s="1005" t="s">
        <v>88</v>
      </c>
      <c r="H10" s="1005" t="s">
        <v>88</v>
      </c>
      <c r="I10" s="1005" t="s">
        <v>88</v>
      </c>
      <c r="J10" s="1005" t="s">
        <v>88</v>
      </c>
      <c r="K10" s="1005" t="s">
        <v>88</v>
      </c>
      <c r="L10" s="1005" t="s">
        <v>88</v>
      </c>
      <c r="M10" s="1005" t="s">
        <v>88</v>
      </c>
      <c r="N10" s="1005" t="s">
        <v>88</v>
      </c>
      <c r="O10" s="1005" t="s">
        <v>88</v>
      </c>
      <c r="P10" s="1005" t="s">
        <v>88</v>
      </c>
      <c r="Q10" s="1005" t="s">
        <v>88</v>
      </c>
      <c r="R10" s="1099"/>
      <c r="S10" s="1005" t="s">
        <v>88</v>
      </c>
      <c r="T10" s="1104" t="s">
        <v>88</v>
      </c>
      <c r="U10" s="1106" t="s">
        <v>88</v>
      </c>
      <c r="V10" s="1005" t="s">
        <v>88</v>
      </c>
      <c r="W10" s="1111" t="s">
        <v>88</v>
      </c>
      <c r="X10" s="1005" t="s">
        <v>88</v>
      </c>
      <c r="Y10" s="1005" t="s">
        <v>88</v>
      </c>
      <c r="Z10" s="1111" t="s">
        <v>88</v>
      </c>
      <c r="AA10" s="1005" t="s">
        <v>88</v>
      </c>
      <c r="AB10" s="1108" t="s">
        <v>88</v>
      </c>
      <c r="AC10" s="1087" t="s">
        <v>88</v>
      </c>
      <c r="AD10" s="1087" t="s">
        <v>88</v>
      </c>
      <c r="AE10" s="1087" t="s">
        <v>88</v>
      </c>
      <c r="AF10" s="1087" t="s">
        <v>88</v>
      </c>
      <c r="AG10" s="1087" t="s">
        <v>88</v>
      </c>
      <c r="AH10" s="1087" t="s">
        <v>88</v>
      </c>
      <c r="AI10" s="1005" t="s">
        <v>88</v>
      </c>
      <c r="AJ10" s="1005" t="s">
        <v>88</v>
      </c>
      <c r="AK10" s="1005" t="s">
        <v>88</v>
      </c>
      <c r="AL10" s="331" t="s">
        <v>1346</v>
      </c>
      <c r="AM10" s="331" t="s">
        <v>1347</v>
      </c>
      <c r="AN10" s="331" t="s">
        <v>1348</v>
      </c>
      <c r="AO10" s="332" t="s">
        <v>1356</v>
      </c>
      <c r="AP10" s="331" t="s">
        <v>995</v>
      </c>
      <c r="AQ10" s="331" t="s">
        <v>98</v>
      </c>
      <c r="AR10" s="344" t="s">
        <v>121</v>
      </c>
      <c r="AS10" s="381" t="s">
        <v>1357</v>
      </c>
      <c r="AT10" s="348">
        <v>45943</v>
      </c>
      <c r="AU10" s="381" t="s">
        <v>1358</v>
      </c>
      <c r="AV10" s="381" t="s">
        <v>384</v>
      </c>
      <c r="AW10" s="348">
        <v>45946</v>
      </c>
      <c r="AX10" s="381" t="s">
        <v>444</v>
      </c>
      <c r="AY10" s="331" t="s">
        <v>98</v>
      </c>
      <c r="AZ10" s="484" t="s">
        <v>1359</v>
      </c>
      <c r="BA10" s="111" t="s">
        <v>98</v>
      </c>
      <c r="BB10" s="111" t="s">
        <v>98</v>
      </c>
      <c r="BC10" s="111" t="s">
        <v>98</v>
      </c>
      <c r="BD10" s="111" t="s">
        <v>98</v>
      </c>
      <c r="BE10" s="507" t="s">
        <v>1357</v>
      </c>
      <c r="BF10" s="111" t="s">
        <v>126</v>
      </c>
      <c r="BG10" s="508">
        <v>45943</v>
      </c>
      <c r="BH10" s="509">
        <v>0.40625</v>
      </c>
      <c r="BI10" s="510" t="s">
        <v>1360</v>
      </c>
      <c r="BJ10" s="507" t="s">
        <v>1357</v>
      </c>
      <c r="BK10" s="508">
        <v>45946</v>
      </c>
      <c r="BL10" s="509">
        <v>0.40972222222222221</v>
      </c>
      <c r="BM10" s="510" t="s">
        <v>1361</v>
      </c>
      <c r="BN10" s="704">
        <v>542.78</v>
      </c>
      <c r="BO10" s="111"/>
      <c r="BP10" s="111"/>
      <c r="BQ10" s="111"/>
      <c r="BR10" s="132">
        <v>1</v>
      </c>
      <c r="BS10" s="132">
        <v>1</v>
      </c>
      <c r="BT10" s="132">
        <v>1</v>
      </c>
      <c r="BU10" s="111" t="s">
        <v>1325</v>
      </c>
      <c r="BV10" s="483">
        <v>45946</v>
      </c>
      <c r="BW10" s="111">
        <f t="shared" si="0"/>
        <v>3</v>
      </c>
      <c r="BX10" s="111"/>
      <c r="BY10" s="111"/>
      <c r="BZ10" s="111"/>
      <c r="CA10" s="111"/>
      <c r="CB10" s="111"/>
    </row>
    <row r="11" spans="1:80" ht="33.5" customHeight="1">
      <c r="A11" s="195" t="s">
        <v>1295</v>
      </c>
      <c r="B11" s="108">
        <v>45943</v>
      </c>
      <c r="C11" s="108">
        <v>45946</v>
      </c>
      <c r="D11" s="109">
        <v>2073</v>
      </c>
      <c r="E11" s="170" t="s">
        <v>1362</v>
      </c>
      <c r="F11" s="110" t="s">
        <v>86</v>
      </c>
      <c r="G11" s="110" t="s">
        <v>1297</v>
      </c>
      <c r="H11" s="110" t="s">
        <v>88</v>
      </c>
      <c r="I11" s="110" t="s">
        <v>89</v>
      </c>
      <c r="J11" s="110" t="s">
        <v>1363</v>
      </c>
      <c r="K11" s="110" t="s">
        <v>189</v>
      </c>
      <c r="L11" s="110" t="s">
        <v>88</v>
      </c>
      <c r="M11" s="110" t="s">
        <v>1364</v>
      </c>
      <c r="N11" s="110" t="s">
        <v>1365</v>
      </c>
      <c r="O11" s="110" t="s">
        <v>1366</v>
      </c>
      <c r="P11" s="110" t="s">
        <v>140</v>
      </c>
      <c r="Q11" s="111" t="s">
        <v>88</v>
      </c>
      <c r="R11" s="219" t="s">
        <v>88</v>
      </c>
      <c r="S11" s="111" t="s">
        <v>88</v>
      </c>
      <c r="T11" s="279" t="s">
        <v>88</v>
      </c>
      <c r="U11" s="220" t="s">
        <v>88</v>
      </c>
      <c r="V11" s="111" t="s">
        <v>88</v>
      </c>
      <c r="W11" s="111" t="s">
        <v>88</v>
      </c>
      <c r="X11" s="111" t="s">
        <v>88</v>
      </c>
      <c r="Y11" s="111" t="s">
        <v>88</v>
      </c>
      <c r="Z11" s="111" t="s">
        <v>88</v>
      </c>
      <c r="AA11" s="111" t="s">
        <v>88</v>
      </c>
      <c r="AB11" s="154" t="s">
        <v>88</v>
      </c>
      <c r="AC11" s="111" t="s">
        <v>88</v>
      </c>
      <c r="AD11" s="111" t="s">
        <v>88</v>
      </c>
      <c r="AE11" s="111" t="s">
        <v>88</v>
      </c>
      <c r="AF11" s="111" t="s">
        <v>88</v>
      </c>
      <c r="AG11" s="111" t="s">
        <v>88</v>
      </c>
      <c r="AH11" s="111" t="s">
        <v>88</v>
      </c>
      <c r="AI11" s="111" t="s">
        <v>88</v>
      </c>
      <c r="AJ11" s="111" t="s">
        <v>88</v>
      </c>
      <c r="AK11" s="111" t="s">
        <v>88</v>
      </c>
      <c r="AL11" s="446"/>
      <c r="AM11" s="446"/>
      <c r="AN11" s="446"/>
      <c r="AO11" s="952"/>
      <c r="AP11" s="446"/>
      <c r="AQ11" s="953"/>
      <c r="AR11" s="446"/>
      <c r="AS11" s="775"/>
      <c r="AT11" s="954"/>
      <c r="AU11" s="446"/>
      <c r="AV11" s="446"/>
      <c r="AW11" s="446"/>
      <c r="AX11" s="446"/>
      <c r="AY11" s="446"/>
      <c r="AZ11" s="446"/>
      <c r="BA11" s="446"/>
      <c r="BB11" s="446"/>
      <c r="BC11" s="446"/>
      <c r="BD11" s="446"/>
      <c r="BE11" s="446"/>
      <c r="BF11" s="446"/>
      <c r="BG11" s="446"/>
      <c r="BH11" s="446"/>
      <c r="BI11" s="446"/>
      <c r="BJ11" s="446"/>
      <c r="BK11" s="446"/>
      <c r="BL11" s="446"/>
      <c r="BM11" s="446"/>
      <c r="BN11" s="950"/>
      <c r="BO11" s="446"/>
      <c r="BP11" s="446"/>
      <c r="BQ11" s="446"/>
      <c r="BR11" s="446"/>
      <c r="BS11" s="446"/>
      <c r="BT11" s="446"/>
      <c r="BU11" s="446"/>
      <c r="BV11" s="446"/>
      <c r="BW11" s="446">
        <f t="shared" ref="BW11" si="2">BR11+BS11+BT11</f>
        <v>0</v>
      </c>
      <c r="BX11" s="446"/>
      <c r="BY11" s="446"/>
      <c r="BZ11" s="446"/>
      <c r="CA11" s="446"/>
      <c r="CB11" s="446"/>
    </row>
    <row r="12" spans="1:80" ht="29.25" customHeight="1">
      <c r="A12" s="1085" t="s">
        <v>1295</v>
      </c>
      <c r="B12" s="1087">
        <v>45943</v>
      </c>
      <c r="C12" s="1087">
        <v>45946</v>
      </c>
      <c r="D12" s="1088">
        <v>2092</v>
      </c>
      <c r="E12" s="1081" t="s">
        <v>1367</v>
      </c>
      <c r="F12" s="1087" t="s">
        <v>167</v>
      </c>
      <c r="G12" s="1087" t="s">
        <v>1297</v>
      </c>
      <c r="H12" s="1087" t="s">
        <v>88</v>
      </c>
      <c r="I12" s="1087" t="s">
        <v>89</v>
      </c>
      <c r="J12" s="1087" t="s">
        <v>1368</v>
      </c>
      <c r="K12" s="1087" t="s">
        <v>360</v>
      </c>
      <c r="L12" s="1087" t="s">
        <v>88</v>
      </c>
      <c r="M12" s="1087" t="s">
        <v>1369</v>
      </c>
      <c r="N12" s="1087" t="s">
        <v>1370</v>
      </c>
      <c r="O12" s="1087" t="s">
        <v>1371</v>
      </c>
      <c r="P12" s="1087" t="s">
        <v>140</v>
      </c>
      <c r="Q12" s="1087" t="s">
        <v>97</v>
      </c>
      <c r="R12" s="1100" t="s">
        <v>1372</v>
      </c>
      <c r="S12" s="1087" t="s">
        <v>97</v>
      </c>
      <c r="T12" s="1104">
        <v>2</v>
      </c>
      <c r="U12" s="1118" t="s">
        <v>1373</v>
      </c>
      <c r="V12" s="963" t="s">
        <v>1374</v>
      </c>
      <c r="W12" s="1088" t="s">
        <v>1375</v>
      </c>
      <c r="X12" s="1087" t="s">
        <v>1376</v>
      </c>
      <c r="Y12" s="1087" t="s">
        <v>1377</v>
      </c>
      <c r="Z12" s="1088" t="s">
        <v>1378</v>
      </c>
      <c r="AA12" s="1087" t="s">
        <v>97</v>
      </c>
      <c r="AB12" s="1108">
        <v>2</v>
      </c>
      <c r="AC12" s="1087" t="s">
        <v>1373</v>
      </c>
      <c r="AD12" s="1087" t="s">
        <v>1374</v>
      </c>
      <c r="AE12" s="1087" t="s">
        <v>1375</v>
      </c>
      <c r="AF12" s="1087" t="s">
        <v>1376</v>
      </c>
      <c r="AG12" s="1087" t="s">
        <v>1377</v>
      </c>
      <c r="AH12" s="1087" t="s">
        <v>1378</v>
      </c>
      <c r="AI12" s="1087" t="s">
        <v>1379</v>
      </c>
      <c r="AJ12" s="1087" t="s">
        <v>88</v>
      </c>
      <c r="AK12" s="1087" t="s">
        <v>88</v>
      </c>
      <c r="AL12" s="331" t="s">
        <v>1373</v>
      </c>
      <c r="AM12" s="331" t="s">
        <v>1374</v>
      </c>
      <c r="AN12" s="331" t="s">
        <v>1375</v>
      </c>
      <c r="AO12" s="336">
        <v>34690059344</v>
      </c>
      <c r="AP12" s="337" t="s">
        <v>995</v>
      </c>
      <c r="AQ12" s="331" t="s">
        <v>98</v>
      </c>
      <c r="AR12" s="337" t="s">
        <v>121</v>
      </c>
      <c r="AS12" s="350" t="s">
        <v>1380</v>
      </c>
      <c r="AT12" s="351">
        <v>45943</v>
      </c>
      <c r="AU12" s="337" t="s">
        <v>499</v>
      </c>
      <c r="AV12" s="350" t="s">
        <v>1380</v>
      </c>
      <c r="AW12" s="348">
        <v>45946</v>
      </c>
      <c r="AX12" s="337" t="s">
        <v>1125</v>
      </c>
      <c r="AY12" s="331" t="s">
        <v>98</v>
      </c>
      <c r="AZ12" s="331"/>
      <c r="BA12" s="111" t="s">
        <v>98</v>
      </c>
      <c r="BB12" s="111" t="s">
        <v>98</v>
      </c>
      <c r="BC12" s="111" t="s">
        <v>98</v>
      </c>
      <c r="BD12" s="111" t="s">
        <v>98</v>
      </c>
      <c r="BE12" s="511" t="s">
        <v>1380</v>
      </c>
      <c r="BF12" s="111" t="s">
        <v>126</v>
      </c>
      <c r="BG12" s="508">
        <v>45943</v>
      </c>
      <c r="BH12" s="509">
        <v>0.63541666666666663</v>
      </c>
      <c r="BI12" s="510" t="s">
        <v>1381</v>
      </c>
      <c r="BJ12" s="511" t="s">
        <v>1380</v>
      </c>
      <c r="BK12" s="508">
        <v>45946</v>
      </c>
      <c r="BL12" s="509">
        <v>0.44791666666666669</v>
      </c>
      <c r="BM12" s="510" t="s">
        <v>1382</v>
      </c>
      <c r="BN12" s="704">
        <v>321.02</v>
      </c>
      <c r="BO12" s="111"/>
      <c r="BP12" s="111"/>
      <c r="BQ12" s="111"/>
      <c r="BR12" s="132">
        <v>1</v>
      </c>
      <c r="BS12" s="132">
        <v>1</v>
      </c>
      <c r="BT12" s="132">
        <v>1</v>
      </c>
      <c r="BU12" s="111" t="s">
        <v>1325</v>
      </c>
      <c r="BV12" s="483">
        <v>45946</v>
      </c>
      <c r="BW12" s="111">
        <f t="shared" si="0"/>
        <v>3</v>
      </c>
      <c r="BX12" s="111"/>
      <c r="BY12" s="111"/>
      <c r="BZ12" s="111"/>
      <c r="CA12" s="111"/>
      <c r="CB12" s="111"/>
    </row>
    <row r="13" spans="1:80" ht="23" customHeight="1">
      <c r="A13" s="1086"/>
      <c r="B13" s="1005"/>
      <c r="C13" s="1005"/>
      <c r="D13" s="1088"/>
      <c r="E13" s="1082" t="s">
        <v>88</v>
      </c>
      <c r="F13" s="1005" t="s">
        <v>88</v>
      </c>
      <c r="G13" s="1005" t="s">
        <v>88</v>
      </c>
      <c r="H13" s="1005" t="s">
        <v>88</v>
      </c>
      <c r="I13" s="1005" t="s">
        <v>88</v>
      </c>
      <c r="J13" s="1005" t="s">
        <v>88</v>
      </c>
      <c r="K13" s="1005" t="s">
        <v>88</v>
      </c>
      <c r="L13" s="1005" t="s">
        <v>88</v>
      </c>
      <c r="M13" s="1005" t="s">
        <v>88</v>
      </c>
      <c r="N13" s="1005" t="s">
        <v>88</v>
      </c>
      <c r="O13" s="1005" t="s">
        <v>88</v>
      </c>
      <c r="P13" s="1005" t="s">
        <v>88</v>
      </c>
      <c r="Q13" s="1005" t="s">
        <v>88</v>
      </c>
      <c r="R13" s="1100"/>
      <c r="S13" s="1005" t="s">
        <v>88</v>
      </c>
      <c r="T13" s="1104" t="s">
        <v>88</v>
      </c>
      <c r="U13" s="1118"/>
      <c r="V13" s="963" t="s">
        <v>88</v>
      </c>
      <c r="W13" s="1088" t="s">
        <v>88</v>
      </c>
      <c r="X13" s="1005" t="s">
        <v>88</v>
      </c>
      <c r="Y13" s="1005" t="s">
        <v>88</v>
      </c>
      <c r="Z13" s="1088" t="s">
        <v>88</v>
      </c>
      <c r="AA13" s="1005" t="s">
        <v>88</v>
      </c>
      <c r="AB13" s="1108" t="s">
        <v>88</v>
      </c>
      <c r="AC13" s="1005" t="s">
        <v>88</v>
      </c>
      <c r="AD13" s="1005" t="s">
        <v>88</v>
      </c>
      <c r="AE13" s="1005" t="s">
        <v>88</v>
      </c>
      <c r="AF13" s="1005" t="s">
        <v>88</v>
      </c>
      <c r="AG13" s="1005" t="s">
        <v>88</v>
      </c>
      <c r="AH13" s="1005" t="s">
        <v>88</v>
      </c>
      <c r="AI13" s="1005" t="s">
        <v>88</v>
      </c>
      <c r="AJ13" s="1005" t="s">
        <v>88</v>
      </c>
      <c r="AK13" s="1005" t="s">
        <v>88</v>
      </c>
      <c r="AL13" s="350" t="s">
        <v>1383</v>
      </c>
      <c r="AM13" s="331" t="s">
        <v>1384</v>
      </c>
      <c r="AN13" s="349" t="s">
        <v>1378</v>
      </c>
      <c r="AO13" s="352">
        <v>34620421759</v>
      </c>
      <c r="AP13" s="350" t="s">
        <v>1385</v>
      </c>
      <c r="AQ13" s="331" t="s">
        <v>98</v>
      </c>
      <c r="AR13" s="350" t="s">
        <v>121</v>
      </c>
      <c r="AS13" s="350" t="s">
        <v>1380</v>
      </c>
      <c r="AT13" s="351">
        <v>45943</v>
      </c>
      <c r="AU13" s="350" t="s">
        <v>445</v>
      </c>
      <c r="AV13" s="350" t="s">
        <v>1380</v>
      </c>
      <c r="AW13" s="353">
        <v>45946</v>
      </c>
      <c r="AX13" s="350" t="s">
        <v>1125</v>
      </c>
      <c r="AY13" s="331" t="s">
        <v>98</v>
      </c>
      <c r="AZ13" s="331"/>
      <c r="BA13" s="111" t="s">
        <v>98</v>
      </c>
      <c r="BB13" s="111" t="s">
        <v>98</v>
      </c>
      <c r="BC13" s="111" t="s">
        <v>98</v>
      </c>
      <c r="BD13" s="111" t="s">
        <v>98</v>
      </c>
      <c r="BE13" s="511" t="s">
        <v>1380</v>
      </c>
      <c r="BF13" s="111" t="s">
        <v>126</v>
      </c>
      <c r="BG13" s="508">
        <v>45943</v>
      </c>
      <c r="BH13" s="509">
        <v>0.63541666666666663</v>
      </c>
      <c r="BI13" s="510" t="s">
        <v>1381</v>
      </c>
      <c r="BJ13" s="511" t="s">
        <v>1380</v>
      </c>
      <c r="BK13" s="508">
        <v>45946</v>
      </c>
      <c r="BL13" s="509">
        <v>0.44791666666666669</v>
      </c>
      <c r="BM13" s="510" t="s">
        <v>1382</v>
      </c>
      <c r="BN13" s="704">
        <v>321.02</v>
      </c>
      <c r="BO13" s="111"/>
      <c r="BP13" s="111"/>
      <c r="BQ13" s="111"/>
      <c r="BR13" s="132">
        <v>1</v>
      </c>
      <c r="BS13" s="132">
        <v>1</v>
      </c>
      <c r="BT13" s="132">
        <v>1</v>
      </c>
      <c r="BU13" s="111" t="s">
        <v>1325</v>
      </c>
      <c r="BV13" s="483">
        <v>45946</v>
      </c>
      <c r="BW13" s="111">
        <f t="shared" si="0"/>
        <v>3</v>
      </c>
      <c r="BX13" s="111"/>
      <c r="BY13" s="111"/>
      <c r="BZ13" s="111"/>
      <c r="CA13" s="111"/>
      <c r="CB13" s="111"/>
    </row>
    <row r="14" spans="1:80" s="673" customFormat="1" ht="23" customHeight="1">
      <c r="A14" s="1089" t="s">
        <v>1295</v>
      </c>
      <c r="B14" s="1091">
        <v>45943</v>
      </c>
      <c r="C14" s="1091">
        <v>45946</v>
      </c>
      <c r="D14" s="1092">
        <v>2099</v>
      </c>
      <c r="E14" s="1091" t="s">
        <v>1386</v>
      </c>
      <c r="F14" s="1091" t="s">
        <v>86</v>
      </c>
      <c r="G14" s="1091" t="s">
        <v>1297</v>
      </c>
      <c r="H14" s="1091" t="s">
        <v>88</v>
      </c>
      <c r="I14" s="1091" t="s">
        <v>89</v>
      </c>
      <c r="J14" s="1091" t="s">
        <v>1387</v>
      </c>
      <c r="K14" s="1091" t="s">
        <v>1388</v>
      </c>
      <c r="L14" s="1091" t="s">
        <v>88</v>
      </c>
      <c r="M14" s="1091" t="s">
        <v>1389</v>
      </c>
      <c r="N14" s="1091" t="s">
        <v>1390</v>
      </c>
      <c r="O14" s="1091" t="s">
        <v>1391</v>
      </c>
      <c r="P14" s="1091" t="s">
        <v>249</v>
      </c>
      <c r="Q14" s="1091" t="s">
        <v>251</v>
      </c>
      <c r="R14" s="1101" t="s">
        <v>98</v>
      </c>
      <c r="S14" s="1113" t="s">
        <v>97</v>
      </c>
      <c r="T14" s="1117">
        <v>2</v>
      </c>
      <c r="U14" s="1112" t="s">
        <v>1392</v>
      </c>
      <c r="V14" s="1113" t="s">
        <v>1393</v>
      </c>
      <c r="W14" s="1114" t="s">
        <v>1394</v>
      </c>
      <c r="X14" s="1113" t="s">
        <v>1395</v>
      </c>
      <c r="Y14" s="1113" t="s">
        <v>1396</v>
      </c>
      <c r="Z14" s="1114" t="s">
        <v>1397</v>
      </c>
      <c r="AA14" s="1113" t="s">
        <v>97</v>
      </c>
      <c r="AB14" s="1120">
        <v>2</v>
      </c>
      <c r="AC14" s="1113" t="s">
        <v>1392</v>
      </c>
      <c r="AD14" s="1113" t="s">
        <v>1393</v>
      </c>
      <c r="AE14" s="1113" t="s">
        <v>1394</v>
      </c>
      <c r="AF14" s="1113" t="s">
        <v>1395</v>
      </c>
      <c r="AG14" s="1113" t="s">
        <v>1396</v>
      </c>
      <c r="AH14" s="1113" t="s">
        <v>1397</v>
      </c>
      <c r="AI14" s="1113" t="s">
        <v>88</v>
      </c>
      <c r="AJ14" s="1113" t="s">
        <v>88</v>
      </c>
      <c r="AK14" s="1113" t="s">
        <v>1398</v>
      </c>
      <c r="AL14" s="449" t="s">
        <v>1392</v>
      </c>
      <c r="AM14" s="449" t="s">
        <v>1393</v>
      </c>
      <c r="AN14" s="449" t="s">
        <v>1394</v>
      </c>
      <c r="AO14" s="450"/>
      <c r="AP14" s="449"/>
      <c r="AQ14" s="449" t="s">
        <v>1006</v>
      </c>
      <c r="AR14" s="449"/>
      <c r="AS14" s="449"/>
      <c r="AT14" s="451"/>
      <c r="AU14" s="449"/>
      <c r="AV14" s="449"/>
      <c r="AW14" s="449"/>
      <c r="AX14" s="449"/>
      <c r="AY14" s="449" t="s">
        <v>1006</v>
      </c>
      <c r="AZ14" s="449"/>
      <c r="BA14" s="449"/>
      <c r="BB14" s="449"/>
      <c r="BC14" s="449"/>
      <c r="BD14" s="449"/>
      <c r="BE14" s="449"/>
      <c r="BF14" s="449"/>
      <c r="BG14" s="449"/>
      <c r="BH14" s="449"/>
      <c r="BI14" s="449"/>
      <c r="BJ14" s="449"/>
      <c r="BK14" s="449"/>
      <c r="BL14" s="449"/>
      <c r="BM14" s="449"/>
      <c r="BN14" s="805"/>
      <c r="BO14" s="449"/>
      <c r="BP14" s="449"/>
      <c r="BQ14" s="449"/>
      <c r="BR14" s="449"/>
      <c r="BS14" s="449"/>
      <c r="BT14" s="449"/>
      <c r="BU14" s="449"/>
      <c r="BV14" s="449"/>
      <c r="BW14" s="449">
        <f t="shared" si="0"/>
        <v>0</v>
      </c>
      <c r="BX14" s="449"/>
      <c r="BY14" s="449"/>
      <c r="BZ14" s="449"/>
      <c r="CA14" s="449"/>
      <c r="CB14" s="449"/>
    </row>
    <row r="15" spans="1:80" s="673" customFormat="1" ht="23" customHeight="1">
      <c r="A15" s="1090"/>
      <c r="B15" s="1090"/>
      <c r="C15" s="1090"/>
      <c r="D15" s="1092"/>
      <c r="E15" s="1090" t="s">
        <v>88</v>
      </c>
      <c r="F15" s="1090" t="s">
        <v>88</v>
      </c>
      <c r="G15" s="1090" t="s">
        <v>88</v>
      </c>
      <c r="H15" s="1090" t="s">
        <v>88</v>
      </c>
      <c r="I15" s="1090" t="s">
        <v>88</v>
      </c>
      <c r="J15" s="1090" t="s">
        <v>88</v>
      </c>
      <c r="K15" s="1090" t="s">
        <v>88</v>
      </c>
      <c r="L15" s="1090" t="s">
        <v>88</v>
      </c>
      <c r="M15" s="1090" t="s">
        <v>88</v>
      </c>
      <c r="N15" s="1090" t="s">
        <v>88</v>
      </c>
      <c r="O15" s="1090" t="s">
        <v>88</v>
      </c>
      <c r="P15" s="1090" t="s">
        <v>88</v>
      </c>
      <c r="Q15" s="1090" t="s">
        <v>88</v>
      </c>
      <c r="R15" s="1101"/>
      <c r="S15" s="1113" t="s">
        <v>88</v>
      </c>
      <c r="T15" s="1117" t="s">
        <v>88</v>
      </c>
      <c r="U15" s="1112" t="s">
        <v>88</v>
      </c>
      <c r="V15" s="1113" t="s">
        <v>88</v>
      </c>
      <c r="W15" s="1114" t="s">
        <v>88</v>
      </c>
      <c r="X15" s="1113" t="s">
        <v>88</v>
      </c>
      <c r="Y15" s="1113" t="s">
        <v>88</v>
      </c>
      <c r="Z15" s="1114" t="s">
        <v>88</v>
      </c>
      <c r="AA15" s="1113" t="s">
        <v>88</v>
      </c>
      <c r="AB15" s="1120" t="s">
        <v>88</v>
      </c>
      <c r="AC15" s="1113" t="s">
        <v>88</v>
      </c>
      <c r="AD15" s="1113" t="s">
        <v>88</v>
      </c>
      <c r="AE15" s="1113" t="s">
        <v>88</v>
      </c>
      <c r="AF15" s="1113" t="s">
        <v>88</v>
      </c>
      <c r="AG15" s="1113" t="s">
        <v>88</v>
      </c>
      <c r="AH15" s="1113" t="s">
        <v>88</v>
      </c>
      <c r="AI15" s="1113" t="s">
        <v>88</v>
      </c>
      <c r="AJ15" s="1113" t="s">
        <v>88</v>
      </c>
      <c r="AK15" s="1113" t="s">
        <v>88</v>
      </c>
      <c r="AL15" s="449" t="s">
        <v>1395</v>
      </c>
      <c r="AM15" s="449" t="s">
        <v>1396</v>
      </c>
      <c r="AN15" s="449" t="s">
        <v>1397</v>
      </c>
      <c r="AO15" s="450"/>
      <c r="AP15" s="449"/>
      <c r="AQ15" s="449" t="s">
        <v>1006</v>
      </c>
      <c r="AR15" s="449"/>
      <c r="AS15" s="449"/>
      <c r="AT15" s="451"/>
      <c r="AU15" s="449"/>
      <c r="AV15" s="449"/>
      <c r="AW15" s="449"/>
      <c r="AX15" s="449"/>
      <c r="AY15" s="449" t="s">
        <v>1006</v>
      </c>
      <c r="AZ15" s="449"/>
      <c r="BA15" s="449"/>
      <c r="BB15" s="449"/>
      <c r="BC15" s="449"/>
      <c r="BD15" s="449"/>
      <c r="BE15" s="449"/>
      <c r="BF15" s="449"/>
      <c r="BG15" s="449"/>
      <c r="BH15" s="449"/>
      <c r="BI15" s="449"/>
      <c r="BJ15" s="449"/>
      <c r="BK15" s="449"/>
      <c r="BL15" s="449"/>
      <c r="BM15" s="449"/>
      <c r="BN15" s="805"/>
      <c r="BO15" s="449"/>
      <c r="BP15" s="449"/>
      <c r="BQ15" s="449"/>
      <c r="BR15" s="449"/>
      <c r="BS15" s="449"/>
      <c r="BT15" s="449"/>
      <c r="BU15" s="449"/>
      <c r="BV15" s="449"/>
      <c r="BW15" s="449">
        <f t="shared" si="0"/>
        <v>0</v>
      </c>
      <c r="BX15" s="449"/>
      <c r="BY15" s="449"/>
      <c r="BZ15" s="449"/>
      <c r="CA15" s="449"/>
      <c r="CB15" s="449"/>
    </row>
    <row r="16" spans="1:80" ht="29.25" customHeight="1">
      <c r="A16" s="1085" t="s">
        <v>1295</v>
      </c>
      <c r="B16" s="1087">
        <v>45943</v>
      </c>
      <c r="C16" s="1087">
        <v>45946</v>
      </c>
      <c r="D16" s="1088">
        <v>2104</v>
      </c>
      <c r="E16" s="1081" t="s">
        <v>1399</v>
      </c>
      <c r="F16" s="1087" t="s">
        <v>167</v>
      </c>
      <c r="G16" s="1087" t="s">
        <v>1297</v>
      </c>
      <c r="H16" s="1087" t="s">
        <v>88</v>
      </c>
      <c r="I16" s="1087" t="s">
        <v>89</v>
      </c>
      <c r="J16" s="1087" t="s">
        <v>594</v>
      </c>
      <c r="K16" s="1087" t="s">
        <v>189</v>
      </c>
      <c r="L16" s="1087" t="s">
        <v>88</v>
      </c>
      <c r="M16" s="1087" t="s">
        <v>1400</v>
      </c>
      <c r="N16" s="1087" t="s">
        <v>1401</v>
      </c>
      <c r="O16" s="1087" t="s">
        <v>1402</v>
      </c>
      <c r="P16" s="1087" t="s">
        <v>827</v>
      </c>
      <c r="Q16" s="964" t="s">
        <v>110</v>
      </c>
      <c r="R16" s="1099" t="s">
        <v>1403</v>
      </c>
      <c r="S16" s="1016" t="s">
        <v>97</v>
      </c>
      <c r="T16" s="1104">
        <v>2</v>
      </c>
      <c r="U16" s="1122" t="s">
        <v>1404</v>
      </c>
      <c r="V16" s="964" t="s">
        <v>1405</v>
      </c>
      <c r="W16" s="1121" t="s">
        <v>1406</v>
      </c>
      <c r="X16" s="964" t="s">
        <v>1407</v>
      </c>
      <c r="Y16" s="964" t="s">
        <v>1408</v>
      </c>
      <c r="Z16" s="1121" t="s">
        <v>1409</v>
      </c>
      <c r="AA16" s="964" t="s">
        <v>97</v>
      </c>
      <c r="AB16" s="1123">
        <v>2</v>
      </c>
      <c r="AC16" s="964" t="s">
        <v>1404</v>
      </c>
      <c r="AD16" s="964" t="s">
        <v>1405</v>
      </c>
      <c r="AE16" s="964" t="s">
        <v>1406</v>
      </c>
      <c r="AF16" s="964" t="s">
        <v>1407</v>
      </c>
      <c r="AG16" s="964" t="s">
        <v>1408</v>
      </c>
      <c r="AH16" s="964" t="s">
        <v>1409</v>
      </c>
      <c r="AI16" s="1016" t="s">
        <v>88</v>
      </c>
      <c r="AJ16" s="964" t="s">
        <v>88</v>
      </c>
      <c r="AK16" s="964" t="s">
        <v>88</v>
      </c>
      <c r="AL16" s="331" t="s">
        <v>1404</v>
      </c>
      <c r="AM16" s="331" t="s">
        <v>1405</v>
      </c>
      <c r="AN16" s="331" t="s">
        <v>1406</v>
      </c>
      <c r="AO16" s="336">
        <v>38631393038</v>
      </c>
      <c r="AP16" s="331" t="s">
        <v>995</v>
      </c>
      <c r="AQ16" s="331" t="s">
        <v>98</v>
      </c>
      <c r="AR16" s="331" t="s">
        <v>121</v>
      </c>
      <c r="AS16" s="354" t="s">
        <v>1410</v>
      </c>
      <c r="AT16" s="351">
        <v>45943</v>
      </c>
      <c r="AU16" s="331" t="s">
        <v>1411</v>
      </c>
      <c r="AV16" s="354" t="s">
        <v>1410</v>
      </c>
      <c r="AW16" s="348">
        <v>45946</v>
      </c>
      <c r="AX16" s="331" t="s">
        <v>1412</v>
      </c>
      <c r="AY16" s="331" t="s">
        <v>98</v>
      </c>
      <c r="AZ16" s="344" t="s">
        <v>1413</v>
      </c>
      <c r="BA16" s="111" t="s">
        <v>98</v>
      </c>
      <c r="BB16" s="111" t="s">
        <v>98</v>
      </c>
      <c r="BC16" s="111" t="s">
        <v>98</v>
      </c>
      <c r="BD16" s="111" t="s">
        <v>98</v>
      </c>
      <c r="BE16" s="507" t="s">
        <v>1410</v>
      </c>
      <c r="BF16" s="111" t="s">
        <v>126</v>
      </c>
      <c r="BG16" s="508">
        <v>45943</v>
      </c>
      <c r="BH16" s="509">
        <v>0.28472222222222221</v>
      </c>
      <c r="BI16" s="510" t="s">
        <v>1414</v>
      </c>
      <c r="BJ16" s="507" t="s">
        <v>1410</v>
      </c>
      <c r="BK16" s="508">
        <v>45946</v>
      </c>
      <c r="BL16" s="509">
        <v>0.85416666666666663</v>
      </c>
      <c r="BM16" s="510" t="s">
        <v>1415</v>
      </c>
      <c r="BN16" s="704">
        <v>425.84</v>
      </c>
      <c r="BO16" s="111"/>
      <c r="BP16" s="111"/>
      <c r="BQ16" s="111"/>
      <c r="BR16" s="132">
        <v>1</v>
      </c>
      <c r="BS16" s="132">
        <v>1</v>
      </c>
      <c r="BT16" s="132">
        <v>1</v>
      </c>
      <c r="BU16" s="111" t="s">
        <v>1325</v>
      </c>
      <c r="BV16" s="483">
        <v>45946</v>
      </c>
      <c r="BW16" s="111">
        <f t="shared" si="0"/>
        <v>3</v>
      </c>
      <c r="BX16" s="111"/>
      <c r="BY16" s="111"/>
      <c r="BZ16" s="111"/>
      <c r="CA16" s="111"/>
      <c r="CB16" s="111"/>
    </row>
    <row r="17" spans="1:80" ht="23" customHeight="1">
      <c r="A17" s="1086"/>
      <c r="B17" s="1005"/>
      <c r="C17" s="1005"/>
      <c r="D17" s="1088"/>
      <c r="E17" s="1082" t="s">
        <v>88</v>
      </c>
      <c r="F17" s="1005" t="s">
        <v>88</v>
      </c>
      <c r="G17" s="1005" t="s">
        <v>88</v>
      </c>
      <c r="H17" s="1005" t="s">
        <v>88</v>
      </c>
      <c r="I17" s="1005" t="s">
        <v>88</v>
      </c>
      <c r="J17" s="1005" t="s">
        <v>88</v>
      </c>
      <c r="K17" s="1005" t="s">
        <v>88</v>
      </c>
      <c r="L17" s="1005" t="s">
        <v>88</v>
      </c>
      <c r="M17" s="1005" t="s">
        <v>88</v>
      </c>
      <c r="N17" s="1005" t="s">
        <v>88</v>
      </c>
      <c r="O17" s="1005" t="s">
        <v>88</v>
      </c>
      <c r="P17" s="1005" t="s">
        <v>88</v>
      </c>
      <c r="Q17" s="964"/>
      <c r="R17" s="1099"/>
      <c r="S17" s="1016"/>
      <c r="T17" s="1104" t="s">
        <v>88</v>
      </c>
      <c r="U17" s="1122" t="s">
        <v>88</v>
      </c>
      <c r="V17" s="964" t="s">
        <v>88</v>
      </c>
      <c r="W17" s="1121"/>
      <c r="X17" s="964" t="s">
        <v>88</v>
      </c>
      <c r="Y17" s="964" t="s">
        <v>88</v>
      </c>
      <c r="Z17" s="1121" t="s">
        <v>88</v>
      </c>
      <c r="AA17" s="964" t="s">
        <v>88</v>
      </c>
      <c r="AB17" s="1123" t="s">
        <v>88</v>
      </c>
      <c r="AC17" s="964" t="s">
        <v>88</v>
      </c>
      <c r="AD17" s="964" t="s">
        <v>88</v>
      </c>
      <c r="AE17" s="964" t="s">
        <v>88</v>
      </c>
      <c r="AF17" s="964" t="s">
        <v>88</v>
      </c>
      <c r="AG17" s="964" t="s">
        <v>88</v>
      </c>
      <c r="AH17" s="964" t="s">
        <v>88</v>
      </c>
      <c r="AI17" s="1016"/>
      <c r="AJ17" s="964" t="s">
        <v>88</v>
      </c>
      <c r="AK17" s="964" t="s">
        <v>88</v>
      </c>
      <c r="AL17" s="331" t="s">
        <v>1407</v>
      </c>
      <c r="AM17" s="331" t="s">
        <v>1408</v>
      </c>
      <c r="AN17" s="331" t="s">
        <v>1409</v>
      </c>
      <c r="AO17" s="352">
        <v>38631279026</v>
      </c>
      <c r="AP17" s="354" t="s">
        <v>995</v>
      </c>
      <c r="AQ17" s="331" t="s">
        <v>98</v>
      </c>
      <c r="AR17" s="354" t="s">
        <v>121</v>
      </c>
      <c r="AS17" s="354" t="s">
        <v>1410</v>
      </c>
      <c r="AT17" s="351">
        <v>45943</v>
      </c>
      <c r="AU17" s="354" t="s">
        <v>708</v>
      </c>
      <c r="AV17" s="354" t="s">
        <v>1410</v>
      </c>
      <c r="AW17" s="348">
        <v>45946</v>
      </c>
      <c r="AX17" s="354" t="s">
        <v>708</v>
      </c>
      <c r="AY17" s="331" t="s">
        <v>98</v>
      </c>
      <c r="AZ17" s="331"/>
      <c r="BA17" s="111" t="s">
        <v>98</v>
      </c>
      <c r="BB17" s="111" t="s">
        <v>98</v>
      </c>
      <c r="BC17" s="111" t="s">
        <v>98</v>
      </c>
      <c r="BD17" s="111" t="s">
        <v>98</v>
      </c>
      <c r="BE17" s="507" t="s">
        <v>1410</v>
      </c>
      <c r="BF17" s="111" t="s">
        <v>126</v>
      </c>
      <c r="BG17" s="512">
        <v>45943</v>
      </c>
      <c r="BH17" s="513">
        <v>0.4513888888888889</v>
      </c>
      <c r="BI17" s="510" t="s">
        <v>1416</v>
      </c>
      <c r="BJ17" s="507" t="s">
        <v>1410</v>
      </c>
      <c r="BK17" s="512">
        <v>45946</v>
      </c>
      <c r="BL17" s="513">
        <v>0.67013888888888884</v>
      </c>
      <c r="BM17" s="514" t="s">
        <v>1417</v>
      </c>
      <c r="BN17" s="724">
        <v>541.02</v>
      </c>
      <c r="BO17" s="111"/>
      <c r="BP17" s="111"/>
      <c r="BQ17" s="111"/>
      <c r="BR17" s="132">
        <v>1</v>
      </c>
      <c r="BS17" s="132">
        <v>1</v>
      </c>
      <c r="BT17" s="132">
        <v>1</v>
      </c>
      <c r="BU17" s="111" t="s">
        <v>1325</v>
      </c>
      <c r="BV17" s="483">
        <v>45946</v>
      </c>
      <c r="BW17" s="111">
        <f t="shared" si="0"/>
        <v>3</v>
      </c>
      <c r="BX17" s="111"/>
      <c r="BY17" s="111"/>
      <c r="BZ17" s="111"/>
      <c r="CA17" s="111"/>
      <c r="CB17" s="111"/>
    </row>
    <row r="18" spans="1:80" ht="29.25" customHeight="1">
      <c r="A18" s="1085" t="s">
        <v>1295</v>
      </c>
      <c r="B18" s="1087">
        <v>45943</v>
      </c>
      <c r="C18" s="1087">
        <v>45946</v>
      </c>
      <c r="D18" s="1088">
        <v>2139</v>
      </c>
      <c r="E18" s="1081" t="s">
        <v>1418</v>
      </c>
      <c r="F18" s="1087" t="s">
        <v>135</v>
      </c>
      <c r="G18" s="1087" t="s">
        <v>1297</v>
      </c>
      <c r="H18" s="1087" t="s">
        <v>88</v>
      </c>
      <c r="I18" s="1087" t="s">
        <v>89</v>
      </c>
      <c r="J18" s="1087" t="s">
        <v>1419</v>
      </c>
      <c r="K18" s="1087" t="s">
        <v>189</v>
      </c>
      <c r="L18" s="1087" t="s">
        <v>88</v>
      </c>
      <c r="M18" s="1087" t="s">
        <v>1420</v>
      </c>
      <c r="N18" s="1087" t="s">
        <v>1421</v>
      </c>
      <c r="O18" s="1087" t="s">
        <v>1422</v>
      </c>
      <c r="P18" s="1087" t="s">
        <v>140</v>
      </c>
      <c r="Q18" s="964" t="s">
        <v>97</v>
      </c>
      <c r="R18" s="1099" t="s">
        <v>110</v>
      </c>
      <c r="S18" s="964" t="s">
        <v>97</v>
      </c>
      <c r="T18" s="1104">
        <v>2</v>
      </c>
      <c r="U18" s="1122" t="s">
        <v>1423</v>
      </c>
      <c r="V18" s="964" t="s">
        <v>1424</v>
      </c>
      <c r="W18" s="1006" t="s">
        <v>1425</v>
      </c>
      <c r="X18" s="964" t="s">
        <v>1426</v>
      </c>
      <c r="Y18" s="964" t="s">
        <v>1427</v>
      </c>
      <c r="Z18" s="1006" t="s">
        <v>1428</v>
      </c>
      <c r="AA18" s="964" t="s">
        <v>97</v>
      </c>
      <c r="AB18" s="1123">
        <v>2</v>
      </c>
      <c r="AC18" s="964" t="s">
        <v>1423</v>
      </c>
      <c r="AD18" s="964" t="s">
        <v>1424</v>
      </c>
      <c r="AE18" s="964" t="s">
        <v>1425</v>
      </c>
      <c r="AF18" s="964" t="s">
        <v>1426</v>
      </c>
      <c r="AG18" s="964" t="s">
        <v>1427</v>
      </c>
      <c r="AH18" s="964" t="s">
        <v>1428</v>
      </c>
      <c r="AI18" s="964" t="s">
        <v>1379</v>
      </c>
      <c r="AJ18" s="964" t="s">
        <v>88</v>
      </c>
      <c r="AK18" s="964" t="s">
        <v>88</v>
      </c>
      <c r="AL18" s="331" t="s">
        <v>1423</v>
      </c>
      <c r="AM18" s="331" t="s">
        <v>1424</v>
      </c>
      <c r="AN18" s="331" t="s">
        <v>1425</v>
      </c>
      <c r="AO18" s="336">
        <v>46705446606</v>
      </c>
      <c r="AP18" s="331" t="s">
        <v>995</v>
      </c>
      <c r="AQ18" s="331" t="s">
        <v>98</v>
      </c>
      <c r="AR18" s="331" t="s">
        <v>121</v>
      </c>
      <c r="AS18" s="349" t="s">
        <v>1429</v>
      </c>
      <c r="AT18" s="351">
        <v>45942</v>
      </c>
      <c r="AU18" s="349">
        <v>18.2</v>
      </c>
      <c r="AV18" s="349" t="s">
        <v>1429</v>
      </c>
      <c r="AW18" s="348">
        <v>45945</v>
      </c>
      <c r="AX18" s="349">
        <v>21</v>
      </c>
      <c r="AY18" s="331" t="s">
        <v>98</v>
      </c>
      <c r="AZ18" s="331" t="s">
        <v>1430</v>
      </c>
      <c r="BA18" s="111" t="s">
        <v>98</v>
      </c>
      <c r="BB18" s="111" t="s">
        <v>98</v>
      </c>
      <c r="BC18" s="111" t="s">
        <v>98</v>
      </c>
      <c r="BD18" s="111" t="s">
        <v>98</v>
      </c>
      <c r="BE18" s="391" t="s">
        <v>1429</v>
      </c>
      <c r="BF18" s="111" t="s">
        <v>126</v>
      </c>
      <c r="BG18" s="705">
        <v>45943</v>
      </c>
      <c r="BH18" s="706">
        <v>0.29166666666666669</v>
      </c>
      <c r="BI18" s="697" t="s">
        <v>1431</v>
      </c>
      <c r="BJ18" s="391" t="s">
        <v>1429</v>
      </c>
      <c r="BK18" s="705">
        <v>45945</v>
      </c>
      <c r="BL18" s="706">
        <v>0.875</v>
      </c>
      <c r="BM18" s="697" t="s">
        <v>1432</v>
      </c>
      <c r="BN18" s="707" t="s">
        <v>1433</v>
      </c>
      <c r="BO18" s="111"/>
      <c r="BP18" s="111"/>
      <c r="BQ18" s="111"/>
      <c r="BR18" s="132">
        <v>1</v>
      </c>
      <c r="BS18" s="132">
        <v>1</v>
      </c>
      <c r="BT18" s="619">
        <v>0</v>
      </c>
      <c r="BU18" s="111" t="s">
        <v>1325</v>
      </c>
      <c r="BV18" s="483">
        <v>45945</v>
      </c>
      <c r="BW18" s="111">
        <f t="shared" si="0"/>
        <v>2</v>
      </c>
      <c r="BX18" s="111"/>
      <c r="BY18" s="111"/>
      <c r="BZ18" s="391" t="s">
        <v>1434</v>
      </c>
      <c r="CA18" s="111" t="s">
        <v>1435</v>
      </c>
      <c r="CB18" s="111"/>
    </row>
    <row r="19" spans="1:80" ht="59.25" customHeight="1">
      <c r="A19" s="1086"/>
      <c r="B19" s="1005"/>
      <c r="C19" s="1005"/>
      <c r="D19" s="1088"/>
      <c r="E19" s="1082" t="s">
        <v>88</v>
      </c>
      <c r="F19" s="1005" t="s">
        <v>88</v>
      </c>
      <c r="G19" s="1005" t="s">
        <v>88</v>
      </c>
      <c r="H19" s="1005" t="s">
        <v>88</v>
      </c>
      <c r="I19" s="1005" t="s">
        <v>88</v>
      </c>
      <c r="J19" s="1005" t="s">
        <v>88</v>
      </c>
      <c r="K19" s="1005" t="s">
        <v>88</v>
      </c>
      <c r="L19" s="1005" t="s">
        <v>88</v>
      </c>
      <c r="M19" s="1005" t="s">
        <v>88</v>
      </c>
      <c r="N19" s="1005" t="s">
        <v>88</v>
      </c>
      <c r="O19" s="1005" t="s">
        <v>88</v>
      </c>
      <c r="P19" s="1005" t="s">
        <v>88</v>
      </c>
      <c r="Q19" s="964"/>
      <c r="R19" s="1099"/>
      <c r="S19" s="964" t="s">
        <v>88</v>
      </c>
      <c r="T19" s="1104" t="s">
        <v>88</v>
      </c>
      <c r="U19" s="1122" t="s">
        <v>88</v>
      </c>
      <c r="V19" s="964" t="s">
        <v>88</v>
      </c>
      <c r="W19" s="1006" t="s">
        <v>88</v>
      </c>
      <c r="X19" s="964" t="s">
        <v>88</v>
      </c>
      <c r="Y19" s="964" t="s">
        <v>88</v>
      </c>
      <c r="Z19" s="1006" t="s">
        <v>88</v>
      </c>
      <c r="AA19" s="964" t="s">
        <v>88</v>
      </c>
      <c r="AB19" s="1123" t="s">
        <v>88</v>
      </c>
      <c r="AC19" s="964" t="s">
        <v>88</v>
      </c>
      <c r="AD19" s="964" t="s">
        <v>88</v>
      </c>
      <c r="AE19" s="964" t="s">
        <v>88</v>
      </c>
      <c r="AF19" s="964" t="s">
        <v>88</v>
      </c>
      <c r="AG19" s="964" t="s">
        <v>88</v>
      </c>
      <c r="AH19" s="964" t="s">
        <v>88</v>
      </c>
      <c r="AI19" s="964" t="s">
        <v>88</v>
      </c>
      <c r="AJ19" s="964" t="s">
        <v>88</v>
      </c>
      <c r="AK19" s="964" t="s">
        <v>88</v>
      </c>
      <c r="AL19" s="331" t="s">
        <v>1426</v>
      </c>
      <c r="AM19" s="331" t="s">
        <v>1436</v>
      </c>
      <c r="AN19" s="331" t="s">
        <v>1428</v>
      </c>
      <c r="AO19" s="352">
        <v>34604551586</v>
      </c>
      <c r="AP19" s="354" t="s">
        <v>995</v>
      </c>
      <c r="AQ19" s="331" t="s">
        <v>98</v>
      </c>
      <c r="AR19" s="354" t="s">
        <v>121</v>
      </c>
      <c r="AS19" s="354" t="s">
        <v>1437</v>
      </c>
      <c r="AT19" s="351">
        <v>45943</v>
      </c>
      <c r="AU19" s="358">
        <v>0.33333333333333331</v>
      </c>
      <c r="AV19" s="354" t="s">
        <v>1437</v>
      </c>
      <c r="AW19" s="348">
        <v>45945</v>
      </c>
      <c r="AX19" s="358">
        <v>0.83333333333333337</v>
      </c>
      <c r="AY19" s="331" t="s">
        <v>98</v>
      </c>
      <c r="AZ19" s="331" t="s">
        <v>1438</v>
      </c>
      <c r="BA19" s="111" t="s">
        <v>98</v>
      </c>
      <c r="BB19" s="111" t="s">
        <v>98</v>
      </c>
      <c r="BC19" s="111" t="s">
        <v>98</v>
      </c>
      <c r="BD19" s="111" t="s">
        <v>98</v>
      </c>
      <c r="BE19" s="716" t="s">
        <v>1437</v>
      </c>
      <c r="BF19" s="111" t="s">
        <v>126</v>
      </c>
      <c r="BG19" s="705">
        <v>45943</v>
      </c>
      <c r="BH19" s="706">
        <v>0.37152777777777779</v>
      </c>
      <c r="BI19" s="697" t="s">
        <v>1439</v>
      </c>
      <c r="BJ19" s="716" t="s">
        <v>1437</v>
      </c>
      <c r="BK19" s="705">
        <v>45946</v>
      </c>
      <c r="BL19" s="706">
        <v>0.58680555555555558</v>
      </c>
      <c r="BM19" s="697" t="s">
        <v>1440</v>
      </c>
      <c r="BN19" s="707" t="s">
        <v>1441</v>
      </c>
      <c r="BO19" s="111"/>
      <c r="BP19" s="111"/>
      <c r="BQ19" s="111"/>
      <c r="BR19" s="132">
        <v>1</v>
      </c>
      <c r="BS19" s="132">
        <v>1</v>
      </c>
      <c r="BT19" s="132">
        <v>1</v>
      </c>
      <c r="BU19" s="111" t="s">
        <v>1325</v>
      </c>
      <c r="BV19" s="483">
        <v>45946</v>
      </c>
      <c r="BW19" s="111">
        <f t="shared" si="0"/>
        <v>3</v>
      </c>
      <c r="BX19" s="111"/>
      <c r="BY19" s="111"/>
      <c r="BZ19" s="391" t="s">
        <v>1442</v>
      </c>
      <c r="CA19" s="111" t="s">
        <v>1443</v>
      </c>
      <c r="CB19" s="111"/>
    </row>
    <row r="20" spans="1:80" ht="29.25" customHeight="1">
      <c r="A20" s="1085" t="s">
        <v>1295</v>
      </c>
      <c r="B20" s="1087">
        <v>45943</v>
      </c>
      <c r="C20" s="1087">
        <v>45946</v>
      </c>
      <c r="D20" s="1083">
        <v>2140</v>
      </c>
      <c r="E20" s="1081" t="s">
        <v>1444</v>
      </c>
      <c r="F20" s="1087" t="s">
        <v>86</v>
      </c>
      <c r="G20" s="1087" t="s">
        <v>1297</v>
      </c>
      <c r="H20" s="1087" t="s">
        <v>88</v>
      </c>
      <c r="I20" s="1087" t="s">
        <v>89</v>
      </c>
      <c r="J20" s="1087" t="s">
        <v>1445</v>
      </c>
      <c r="K20" s="1087" t="s">
        <v>318</v>
      </c>
      <c r="L20" s="1087" t="s">
        <v>88</v>
      </c>
      <c r="M20" s="1087" t="s">
        <v>1446</v>
      </c>
      <c r="N20" s="1087" t="s">
        <v>1447</v>
      </c>
      <c r="O20" s="1087" t="s">
        <v>1448</v>
      </c>
      <c r="P20" s="1087" t="s">
        <v>1449</v>
      </c>
      <c r="Q20" s="964" t="s">
        <v>97</v>
      </c>
      <c r="R20" s="1099" t="s">
        <v>110</v>
      </c>
      <c r="S20" s="964" t="s">
        <v>97</v>
      </c>
      <c r="T20" s="1104">
        <v>2</v>
      </c>
      <c r="U20" s="1122" t="s">
        <v>1450</v>
      </c>
      <c r="V20" s="964" t="s">
        <v>1451</v>
      </c>
      <c r="W20" s="1006" t="s">
        <v>1452</v>
      </c>
      <c r="X20" s="964" t="s">
        <v>1453</v>
      </c>
      <c r="Y20" s="964" t="s">
        <v>1454</v>
      </c>
      <c r="Z20" s="1006" t="s">
        <v>1455</v>
      </c>
      <c r="AA20" s="964" t="s">
        <v>97</v>
      </c>
      <c r="AB20" s="1123">
        <v>2</v>
      </c>
      <c r="AC20" s="964" t="s">
        <v>1450</v>
      </c>
      <c r="AD20" s="964" t="s">
        <v>1451</v>
      </c>
      <c r="AE20" s="964" t="s">
        <v>1452</v>
      </c>
      <c r="AF20" s="964" t="s">
        <v>1453</v>
      </c>
      <c r="AG20" s="964" t="s">
        <v>1454</v>
      </c>
      <c r="AH20" s="964" t="s">
        <v>1455</v>
      </c>
      <c r="AI20" s="964" t="s">
        <v>1379</v>
      </c>
      <c r="AJ20" s="964" t="s">
        <v>88</v>
      </c>
      <c r="AK20" s="964" t="s">
        <v>88</v>
      </c>
      <c r="AL20" s="331" t="s">
        <v>1450</v>
      </c>
      <c r="AM20" s="331" t="s">
        <v>1451</v>
      </c>
      <c r="AN20" s="331" t="s">
        <v>1452</v>
      </c>
      <c r="AO20" s="336">
        <v>33767602651</v>
      </c>
      <c r="AP20" s="337" t="s">
        <v>1456</v>
      </c>
      <c r="AQ20" s="331" t="s">
        <v>98</v>
      </c>
      <c r="AR20" s="337" t="s">
        <v>154</v>
      </c>
      <c r="AS20" s="350" t="s">
        <v>1457</v>
      </c>
      <c r="AT20" s="351">
        <v>45943</v>
      </c>
      <c r="AU20" s="339">
        <v>0.35833333333333334</v>
      </c>
      <c r="AV20" s="350" t="s">
        <v>1457</v>
      </c>
      <c r="AW20" s="348">
        <v>45946</v>
      </c>
      <c r="AX20" s="339">
        <v>0.55347222222222225</v>
      </c>
      <c r="AY20" s="331" t="s">
        <v>98</v>
      </c>
      <c r="AZ20" s="337" t="s">
        <v>1458</v>
      </c>
      <c r="BA20" s="111" t="s">
        <v>98</v>
      </c>
      <c r="BB20" s="111" t="s">
        <v>98</v>
      </c>
      <c r="BC20" s="111" t="s">
        <v>98</v>
      </c>
      <c r="BD20" s="111" t="s">
        <v>98</v>
      </c>
      <c r="BE20" s="511" t="s">
        <v>1457</v>
      </c>
      <c r="BF20" s="111" t="s">
        <v>425</v>
      </c>
      <c r="BG20" s="508">
        <v>45943</v>
      </c>
      <c r="BH20" s="692">
        <v>0.33750000000000002</v>
      </c>
      <c r="BI20" s="693" t="s">
        <v>1459</v>
      </c>
      <c r="BJ20" s="511" t="s">
        <v>1457</v>
      </c>
      <c r="BK20" s="508">
        <v>45946</v>
      </c>
      <c r="BL20" s="509">
        <v>0.55347222222222225</v>
      </c>
      <c r="BM20" s="510" t="s">
        <v>1460</v>
      </c>
      <c r="BN20" s="707" t="s">
        <v>1461</v>
      </c>
      <c r="BO20" s="111"/>
      <c r="BP20" s="111"/>
      <c r="BQ20" s="111"/>
      <c r="BR20" s="132">
        <v>1</v>
      </c>
      <c r="BS20" s="132">
        <v>1</v>
      </c>
      <c r="BT20" s="132">
        <v>1</v>
      </c>
      <c r="BU20" s="111" t="s">
        <v>1325</v>
      </c>
      <c r="BV20" s="483">
        <v>45946</v>
      </c>
      <c r="BW20" s="111">
        <f t="shared" si="0"/>
        <v>3</v>
      </c>
      <c r="BX20" s="111"/>
      <c r="BY20" s="111"/>
      <c r="BZ20" s="111"/>
      <c r="CA20" s="111"/>
      <c r="CB20" s="111"/>
    </row>
    <row r="21" spans="1:80" ht="23" customHeight="1">
      <c r="A21" s="1086"/>
      <c r="B21" s="1005"/>
      <c r="C21" s="1005"/>
      <c r="D21" s="1083"/>
      <c r="E21" s="1082" t="s">
        <v>88</v>
      </c>
      <c r="F21" s="1005" t="s">
        <v>88</v>
      </c>
      <c r="G21" s="1005" t="s">
        <v>88</v>
      </c>
      <c r="H21" s="1005" t="s">
        <v>88</v>
      </c>
      <c r="I21" s="1005" t="s">
        <v>88</v>
      </c>
      <c r="J21" s="1005" t="s">
        <v>88</v>
      </c>
      <c r="K21" s="1005" t="s">
        <v>88</v>
      </c>
      <c r="L21" s="1005" t="s">
        <v>88</v>
      </c>
      <c r="M21" s="1005" t="s">
        <v>88</v>
      </c>
      <c r="N21" s="1005" t="s">
        <v>88</v>
      </c>
      <c r="O21" s="1005" t="s">
        <v>88</v>
      </c>
      <c r="P21" s="1005" t="s">
        <v>88</v>
      </c>
      <c r="Q21" s="964"/>
      <c r="R21" s="1099"/>
      <c r="S21" s="964" t="s">
        <v>88</v>
      </c>
      <c r="T21" s="1104" t="s">
        <v>88</v>
      </c>
      <c r="U21" s="1122" t="s">
        <v>88</v>
      </c>
      <c r="V21" s="964" t="s">
        <v>88</v>
      </c>
      <c r="W21" s="1006" t="s">
        <v>88</v>
      </c>
      <c r="X21" s="964" t="s">
        <v>88</v>
      </c>
      <c r="Y21" s="964" t="s">
        <v>88</v>
      </c>
      <c r="Z21" s="1006" t="s">
        <v>88</v>
      </c>
      <c r="AA21" s="964" t="s">
        <v>88</v>
      </c>
      <c r="AB21" s="1123" t="s">
        <v>88</v>
      </c>
      <c r="AC21" s="964" t="s">
        <v>88</v>
      </c>
      <c r="AD21" s="964" t="s">
        <v>88</v>
      </c>
      <c r="AE21" s="964" t="s">
        <v>88</v>
      </c>
      <c r="AF21" s="964" t="s">
        <v>88</v>
      </c>
      <c r="AG21" s="964" t="s">
        <v>88</v>
      </c>
      <c r="AH21" s="964" t="s">
        <v>88</v>
      </c>
      <c r="AI21" s="964" t="s">
        <v>88</v>
      </c>
      <c r="AJ21" s="964" t="s">
        <v>88</v>
      </c>
      <c r="AK21" s="964" t="s">
        <v>88</v>
      </c>
      <c r="AL21" s="331" t="s">
        <v>1453</v>
      </c>
      <c r="AM21" s="331" t="s">
        <v>1454</v>
      </c>
      <c r="AN21" s="331" t="s">
        <v>1455</v>
      </c>
      <c r="AO21" s="352">
        <v>33788077851</v>
      </c>
      <c r="AP21" s="350" t="s">
        <v>995</v>
      </c>
      <c r="AQ21" s="331" t="s">
        <v>98</v>
      </c>
      <c r="AR21" s="350" t="s">
        <v>154</v>
      </c>
      <c r="AS21" s="350" t="s">
        <v>1462</v>
      </c>
      <c r="AT21" s="351">
        <v>45943</v>
      </c>
      <c r="AU21" s="355">
        <v>0.43819444444444444</v>
      </c>
      <c r="AV21" s="350" t="s">
        <v>1462</v>
      </c>
      <c r="AW21" s="348">
        <v>45946</v>
      </c>
      <c r="AX21" s="355">
        <v>0.55347222222222225</v>
      </c>
      <c r="AY21" s="331" t="s">
        <v>98</v>
      </c>
      <c r="AZ21" s="331"/>
      <c r="BA21" s="111" t="s">
        <v>98</v>
      </c>
      <c r="BB21" s="111" t="s">
        <v>98</v>
      </c>
      <c r="BC21" s="111" t="s">
        <v>98</v>
      </c>
      <c r="BD21" s="111" t="s">
        <v>98</v>
      </c>
      <c r="BE21" s="511" t="s">
        <v>1462</v>
      </c>
      <c r="BF21" s="111" t="s">
        <v>425</v>
      </c>
      <c r="BG21" s="508">
        <v>45943</v>
      </c>
      <c r="BH21" s="509">
        <v>0.36944444444444446</v>
      </c>
      <c r="BI21" s="510" t="s">
        <v>1459</v>
      </c>
      <c r="BJ21" s="511" t="s">
        <v>1462</v>
      </c>
      <c r="BK21" s="508">
        <v>45946</v>
      </c>
      <c r="BL21" s="509">
        <v>0.55347222222222225</v>
      </c>
      <c r="BM21" s="510" t="s">
        <v>1460</v>
      </c>
      <c r="BN21" s="704">
        <v>343</v>
      </c>
      <c r="BO21" s="111"/>
      <c r="BP21" s="111"/>
      <c r="BQ21" s="111"/>
      <c r="BR21" s="132">
        <v>1</v>
      </c>
      <c r="BS21" s="132">
        <v>1</v>
      </c>
      <c r="BT21" s="132">
        <v>1</v>
      </c>
      <c r="BU21" s="111" t="s">
        <v>1325</v>
      </c>
      <c r="BV21" s="483">
        <v>45946</v>
      </c>
      <c r="BW21" s="111">
        <f t="shared" si="0"/>
        <v>3</v>
      </c>
      <c r="BX21" s="111"/>
      <c r="BY21" s="111"/>
      <c r="BZ21" s="111"/>
      <c r="CA21" s="111"/>
      <c r="CB21" s="111"/>
    </row>
    <row r="22" spans="1:80" ht="23" customHeight="1">
      <c r="A22" s="195" t="s">
        <v>1295</v>
      </c>
      <c r="B22" s="108">
        <v>45943</v>
      </c>
      <c r="C22" s="108">
        <v>45946</v>
      </c>
      <c r="D22" s="109">
        <v>2144</v>
      </c>
      <c r="E22" s="170" t="s">
        <v>1463</v>
      </c>
      <c r="F22" s="110" t="s">
        <v>135</v>
      </c>
      <c r="G22" s="110" t="s">
        <v>1297</v>
      </c>
      <c r="H22" s="110" t="s">
        <v>88</v>
      </c>
      <c r="I22" s="110" t="s">
        <v>89</v>
      </c>
      <c r="J22" s="110" t="s">
        <v>594</v>
      </c>
      <c r="K22" s="110" t="s">
        <v>189</v>
      </c>
      <c r="L22" s="110" t="s">
        <v>88</v>
      </c>
      <c r="M22" s="110" t="s">
        <v>1464</v>
      </c>
      <c r="N22" s="116" t="s">
        <v>1465</v>
      </c>
      <c r="O22" s="110" t="s">
        <v>1402</v>
      </c>
      <c r="P22" s="110" t="s">
        <v>108</v>
      </c>
      <c r="Q22" s="111" t="s">
        <v>88</v>
      </c>
      <c r="R22" s="219" t="s">
        <v>88</v>
      </c>
      <c r="S22" s="111" t="s">
        <v>88</v>
      </c>
      <c r="T22" s="279" t="s">
        <v>88</v>
      </c>
      <c r="U22" s="220" t="s">
        <v>88</v>
      </c>
      <c r="V22" s="111" t="s">
        <v>88</v>
      </c>
      <c r="W22" s="111" t="s">
        <v>88</v>
      </c>
      <c r="X22" s="111" t="s">
        <v>88</v>
      </c>
      <c r="Y22" s="111" t="s">
        <v>88</v>
      </c>
      <c r="Z22" s="111" t="s">
        <v>88</v>
      </c>
      <c r="AA22" s="111" t="s">
        <v>88</v>
      </c>
      <c r="AB22" s="154" t="s">
        <v>88</v>
      </c>
      <c r="AC22" s="111" t="s">
        <v>88</v>
      </c>
      <c r="AD22" s="111" t="s">
        <v>88</v>
      </c>
      <c r="AE22" s="111" t="s">
        <v>88</v>
      </c>
      <c r="AF22" s="111" t="s">
        <v>88</v>
      </c>
      <c r="AG22" s="111" t="s">
        <v>88</v>
      </c>
      <c r="AH22" s="111" t="s">
        <v>88</v>
      </c>
      <c r="AI22" s="111" t="s">
        <v>88</v>
      </c>
      <c r="AJ22" s="111" t="s">
        <v>88</v>
      </c>
      <c r="AK22" s="111" t="s">
        <v>88</v>
      </c>
      <c r="AL22" s="446"/>
      <c r="AM22" s="446"/>
      <c r="AN22" s="446"/>
      <c r="AO22" s="952"/>
      <c r="AP22" s="446"/>
      <c r="AQ22" s="953"/>
      <c r="AR22" s="446"/>
      <c r="AS22" s="775"/>
      <c r="AT22" s="954"/>
      <c r="AU22" s="446"/>
      <c r="AV22" s="446"/>
      <c r="AW22" s="446"/>
      <c r="AX22" s="446"/>
      <c r="AY22" s="446"/>
      <c r="AZ22" s="446"/>
      <c r="BA22" s="446"/>
      <c r="BB22" s="446"/>
      <c r="BC22" s="446"/>
      <c r="BD22" s="446"/>
      <c r="BE22" s="446"/>
      <c r="BF22" s="446"/>
      <c r="BG22" s="446"/>
      <c r="BH22" s="446"/>
      <c r="BI22" s="446"/>
      <c r="BJ22" s="446"/>
      <c r="BK22" s="446"/>
      <c r="BL22" s="446"/>
      <c r="BM22" s="446"/>
      <c r="BN22" s="950"/>
      <c r="BO22" s="446"/>
      <c r="BP22" s="446"/>
      <c r="BQ22" s="446"/>
      <c r="BR22" s="446"/>
      <c r="BS22" s="446"/>
      <c r="BT22" s="446"/>
      <c r="BU22" s="446"/>
      <c r="BV22" s="446"/>
      <c r="BW22" s="446">
        <f t="shared" ref="BW22" si="3">BR22+BS22+BT22</f>
        <v>0</v>
      </c>
      <c r="BX22" s="446"/>
      <c r="BY22" s="446"/>
      <c r="BZ22" s="446"/>
      <c r="CA22" s="446"/>
      <c r="CB22" s="446"/>
    </row>
    <row r="23" spans="1:80" ht="29.25" customHeight="1">
      <c r="A23" s="1085" t="s">
        <v>1295</v>
      </c>
      <c r="B23" s="1087">
        <v>45943</v>
      </c>
      <c r="C23" s="1087">
        <v>45946</v>
      </c>
      <c r="D23" s="1083">
        <v>2149</v>
      </c>
      <c r="E23" s="1081" t="s">
        <v>1466</v>
      </c>
      <c r="F23" s="1087" t="s">
        <v>135</v>
      </c>
      <c r="G23" s="1087" t="s">
        <v>1297</v>
      </c>
      <c r="H23" s="1087" t="s">
        <v>88</v>
      </c>
      <c r="I23" s="1087" t="s">
        <v>89</v>
      </c>
      <c r="J23" s="1087" t="s">
        <v>1467</v>
      </c>
      <c r="K23" s="1087" t="s">
        <v>1468</v>
      </c>
      <c r="L23" s="1087" t="s">
        <v>88</v>
      </c>
      <c r="M23" s="1087" t="s">
        <v>1469</v>
      </c>
      <c r="N23" s="1087" t="s">
        <v>1470</v>
      </c>
      <c r="O23" s="1087" t="s">
        <v>1471</v>
      </c>
      <c r="P23" s="1087" t="s">
        <v>877</v>
      </c>
      <c r="Q23" s="1087" t="s">
        <v>110</v>
      </c>
      <c r="R23" s="1099" t="s">
        <v>110</v>
      </c>
      <c r="S23" s="964" t="s">
        <v>97</v>
      </c>
      <c r="T23" s="1104">
        <v>2</v>
      </c>
      <c r="U23" s="1118" t="s">
        <v>1472</v>
      </c>
      <c r="V23" s="963" t="s">
        <v>1473</v>
      </c>
      <c r="W23" s="1006" t="s">
        <v>1474</v>
      </c>
      <c r="X23" s="964" t="s">
        <v>1056</v>
      </c>
      <c r="Y23" s="964" t="s">
        <v>1475</v>
      </c>
      <c r="Z23" s="1006" t="s">
        <v>1476</v>
      </c>
      <c r="AA23" s="964" t="s">
        <v>97</v>
      </c>
      <c r="AB23" s="1123">
        <v>2</v>
      </c>
      <c r="AC23" s="964" t="s">
        <v>1472</v>
      </c>
      <c r="AD23" s="964" t="s">
        <v>1473</v>
      </c>
      <c r="AE23" s="964" t="s">
        <v>1474</v>
      </c>
      <c r="AF23" s="964" t="s">
        <v>1056</v>
      </c>
      <c r="AG23" s="964" t="s">
        <v>1475</v>
      </c>
      <c r="AH23" s="964" t="s">
        <v>1476</v>
      </c>
      <c r="AI23" s="964" t="s">
        <v>1477</v>
      </c>
      <c r="AJ23" s="964" t="s">
        <v>88</v>
      </c>
      <c r="AK23" s="964" t="s">
        <v>88</v>
      </c>
      <c r="AL23" s="331" t="s">
        <v>1472</v>
      </c>
      <c r="AM23" s="331" t="s">
        <v>1473</v>
      </c>
      <c r="AN23" s="331" t="s">
        <v>1474</v>
      </c>
      <c r="AO23" s="336">
        <v>351961526866</v>
      </c>
      <c r="AP23" s="337" t="s">
        <v>995</v>
      </c>
      <c r="AQ23" s="331" t="s">
        <v>98</v>
      </c>
      <c r="AR23" s="337" t="s">
        <v>121</v>
      </c>
      <c r="AS23" s="350" t="s">
        <v>1478</v>
      </c>
      <c r="AT23" s="351">
        <v>45943</v>
      </c>
      <c r="AU23" s="337" t="s">
        <v>1479</v>
      </c>
      <c r="AV23" s="350" t="s">
        <v>1478</v>
      </c>
      <c r="AW23" s="348">
        <v>45946</v>
      </c>
      <c r="AX23" s="337" t="s">
        <v>1480</v>
      </c>
      <c r="AY23" s="331" t="s">
        <v>98</v>
      </c>
      <c r="AZ23" s="331"/>
      <c r="BA23" s="111" t="s">
        <v>98</v>
      </c>
      <c r="BB23" s="111" t="s">
        <v>98</v>
      </c>
      <c r="BC23" s="111" t="s">
        <v>98</v>
      </c>
      <c r="BD23" s="111" t="s">
        <v>98</v>
      </c>
      <c r="BE23" s="511" t="s">
        <v>1478</v>
      </c>
      <c r="BF23" s="111" t="s">
        <v>126</v>
      </c>
      <c r="BG23" s="508">
        <v>45943</v>
      </c>
      <c r="BH23" s="509">
        <v>0.34375</v>
      </c>
      <c r="BI23" s="510" t="s">
        <v>1481</v>
      </c>
      <c r="BJ23" s="511" t="s">
        <v>1478</v>
      </c>
      <c r="BK23" s="508">
        <v>45946</v>
      </c>
      <c r="BL23" s="509">
        <v>0.5625</v>
      </c>
      <c r="BM23" s="510" t="s">
        <v>1482</v>
      </c>
      <c r="BN23" s="704">
        <v>274.77999999999997</v>
      </c>
      <c r="BO23" s="111"/>
      <c r="BP23" s="111"/>
      <c r="BQ23" s="111"/>
      <c r="BR23" s="132">
        <v>1</v>
      </c>
      <c r="BS23" s="132">
        <v>1</v>
      </c>
      <c r="BT23" s="132">
        <v>1</v>
      </c>
      <c r="BU23" s="111" t="s">
        <v>1325</v>
      </c>
      <c r="BV23" s="483">
        <v>45946</v>
      </c>
      <c r="BW23" s="111">
        <f t="shared" si="0"/>
        <v>3</v>
      </c>
      <c r="BX23" s="111"/>
      <c r="BY23" s="111"/>
      <c r="BZ23" s="111"/>
      <c r="CA23" s="111"/>
      <c r="CB23" s="111"/>
    </row>
    <row r="24" spans="1:80" ht="23" customHeight="1">
      <c r="A24" s="1086"/>
      <c r="B24" s="1005"/>
      <c r="C24" s="1005"/>
      <c r="D24" s="1083"/>
      <c r="E24" s="1082" t="s">
        <v>88</v>
      </c>
      <c r="F24" s="1005" t="s">
        <v>88</v>
      </c>
      <c r="G24" s="1005" t="s">
        <v>88</v>
      </c>
      <c r="H24" s="1005" t="s">
        <v>88</v>
      </c>
      <c r="I24" s="1005" t="s">
        <v>88</v>
      </c>
      <c r="J24" s="1005" t="s">
        <v>88</v>
      </c>
      <c r="K24" s="1005" t="s">
        <v>88</v>
      </c>
      <c r="L24" s="1005" t="s">
        <v>88</v>
      </c>
      <c r="M24" s="1005" t="s">
        <v>88</v>
      </c>
      <c r="N24" s="1005" t="s">
        <v>88</v>
      </c>
      <c r="O24" s="1005" t="s">
        <v>88</v>
      </c>
      <c r="P24" s="1005" t="s">
        <v>88</v>
      </c>
      <c r="Q24" s="1005" t="s">
        <v>88</v>
      </c>
      <c r="R24" s="1099" t="s">
        <v>88</v>
      </c>
      <c r="S24" s="964" t="s">
        <v>88</v>
      </c>
      <c r="T24" s="1104" t="s">
        <v>88</v>
      </c>
      <c r="U24" s="1118" t="s">
        <v>88</v>
      </c>
      <c r="V24" s="963" t="s">
        <v>88</v>
      </c>
      <c r="W24" s="1006" t="s">
        <v>88</v>
      </c>
      <c r="X24" s="964" t="s">
        <v>88</v>
      </c>
      <c r="Y24" s="964" t="s">
        <v>88</v>
      </c>
      <c r="Z24" s="1006" t="s">
        <v>88</v>
      </c>
      <c r="AA24" s="964" t="s">
        <v>88</v>
      </c>
      <c r="AB24" s="1123" t="s">
        <v>88</v>
      </c>
      <c r="AC24" s="964" t="s">
        <v>88</v>
      </c>
      <c r="AD24" s="964" t="s">
        <v>88</v>
      </c>
      <c r="AE24" s="964" t="s">
        <v>88</v>
      </c>
      <c r="AF24" s="964" t="s">
        <v>88</v>
      </c>
      <c r="AG24" s="964" t="s">
        <v>88</v>
      </c>
      <c r="AH24" s="964" t="s">
        <v>88</v>
      </c>
      <c r="AI24" s="964" t="s">
        <v>88</v>
      </c>
      <c r="AJ24" s="964" t="s">
        <v>88</v>
      </c>
      <c r="AK24" s="964" t="s">
        <v>88</v>
      </c>
      <c r="AL24" s="331" t="s">
        <v>1056</v>
      </c>
      <c r="AM24" s="331" t="s">
        <v>1475</v>
      </c>
      <c r="AN24" s="331" t="s">
        <v>1476</v>
      </c>
      <c r="AO24" s="352" t="s">
        <v>1483</v>
      </c>
      <c r="AP24" s="350" t="s">
        <v>995</v>
      </c>
      <c r="AQ24" s="331" t="s">
        <v>98</v>
      </c>
      <c r="AR24" s="350" t="s">
        <v>121</v>
      </c>
      <c r="AS24" s="350" t="s">
        <v>1478</v>
      </c>
      <c r="AT24" s="351">
        <v>45943</v>
      </c>
      <c r="AU24" s="350" t="s">
        <v>1484</v>
      </c>
      <c r="AV24" s="350" t="s">
        <v>1478</v>
      </c>
      <c r="AW24" s="348">
        <v>45946</v>
      </c>
      <c r="AX24" s="350" t="s">
        <v>1485</v>
      </c>
      <c r="AY24" s="331" t="s">
        <v>98</v>
      </c>
      <c r="AZ24" s="337"/>
      <c r="BA24" s="111" t="s">
        <v>98</v>
      </c>
      <c r="BB24" s="111" t="s">
        <v>98</v>
      </c>
      <c r="BC24" s="111" t="s">
        <v>98</v>
      </c>
      <c r="BD24" s="111" t="s">
        <v>98</v>
      </c>
      <c r="BE24" s="511" t="s">
        <v>1478</v>
      </c>
      <c r="BF24" s="111" t="s">
        <v>126</v>
      </c>
      <c r="BG24" s="512">
        <v>45943</v>
      </c>
      <c r="BH24" s="513">
        <v>0.34375</v>
      </c>
      <c r="BI24" s="514" t="s">
        <v>1481</v>
      </c>
      <c r="BJ24" s="511" t="s">
        <v>1478</v>
      </c>
      <c r="BK24" s="512">
        <v>45946</v>
      </c>
      <c r="BL24" s="513">
        <v>0.5625</v>
      </c>
      <c r="BM24" s="514" t="s">
        <v>1482</v>
      </c>
      <c r="BN24" s="724">
        <v>274.77999999999997</v>
      </c>
      <c r="BO24" s="111"/>
      <c r="BP24" s="111"/>
      <c r="BQ24" s="111"/>
      <c r="BR24" s="132">
        <v>1</v>
      </c>
      <c r="BS24" s="132">
        <v>1</v>
      </c>
      <c r="BT24" s="132">
        <v>1</v>
      </c>
      <c r="BU24" s="111" t="s">
        <v>1325</v>
      </c>
      <c r="BV24" s="483">
        <v>45946</v>
      </c>
      <c r="BW24" s="111">
        <f t="shared" si="0"/>
        <v>3</v>
      </c>
      <c r="BX24" s="111"/>
      <c r="BY24" s="111"/>
      <c r="BZ24" s="111"/>
      <c r="CA24" s="111"/>
      <c r="CB24" s="111"/>
    </row>
    <row r="25" spans="1:80" ht="30.5" customHeight="1">
      <c r="A25" s="195" t="s">
        <v>1295</v>
      </c>
      <c r="B25" s="108">
        <v>45943</v>
      </c>
      <c r="C25" s="108">
        <v>45946</v>
      </c>
      <c r="D25" s="109">
        <v>2197</v>
      </c>
      <c r="E25" s="170" t="s">
        <v>1486</v>
      </c>
      <c r="F25" s="110" t="s">
        <v>135</v>
      </c>
      <c r="G25" s="110" t="s">
        <v>1297</v>
      </c>
      <c r="H25" s="110" t="s">
        <v>88</v>
      </c>
      <c r="I25" s="110" t="s">
        <v>89</v>
      </c>
      <c r="J25" s="110" t="s">
        <v>941</v>
      </c>
      <c r="K25" s="110" t="s">
        <v>318</v>
      </c>
      <c r="L25" s="110" t="s">
        <v>88</v>
      </c>
      <c r="M25" s="110" t="s">
        <v>1487</v>
      </c>
      <c r="N25" s="110" t="s">
        <v>1488</v>
      </c>
      <c r="O25" s="110" t="s">
        <v>1489</v>
      </c>
      <c r="P25" s="110" t="s">
        <v>249</v>
      </c>
      <c r="Q25" s="111" t="s">
        <v>88</v>
      </c>
      <c r="R25" s="219" t="s">
        <v>88</v>
      </c>
      <c r="S25" s="111" t="s">
        <v>88</v>
      </c>
      <c r="T25" s="279" t="s">
        <v>88</v>
      </c>
      <c r="U25" s="220" t="s">
        <v>88</v>
      </c>
      <c r="V25" s="111" t="s">
        <v>88</v>
      </c>
      <c r="W25" s="111" t="s">
        <v>88</v>
      </c>
      <c r="X25" s="111" t="s">
        <v>88</v>
      </c>
      <c r="Y25" s="111" t="s">
        <v>88</v>
      </c>
      <c r="Z25" s="111" t="s">
        <v>88</v>
      </c>
      <c r="AA25" s="111" t="s">
        <v>88</v>
      </c>
      <c r="AB25" s="154" t="s">
        <v>88</v>
      </c>
      <c r="AC25" s="111" t="s">
        <v>88</v>
      </c>
      <c r="AD25" s="111" t="s">
        <v>88</v>
      </c>
      <c r="AE25" s="111" t="s">
        <v>88</v>
      </c>
      <c r="AF25" s="111" t="s">
        <v>88</v>
      </c>
      <c r="AG25" s="111" t="s">
        <v>88</v>
      </c>
      <c r="AH25" s="111" t="s">
        <v>88</v>
      </c>
      <c r="AI25" s="111" t="s">
        <v>88</v>
      </c>
      <c r="AJ25" s="111" t="s">
        <v>88</v>
      </c>
      <c r="AK25" s="111" t="s">
        <v>88</v>
      </c>
      <c r="AL25" s="446"/>
      <c r="AM25" s="446"/>
      <c r="AN25" s="446"/>
      <c r="AO25" s="952"/>
      <c r="AP25" s="446"/>
      <c r="AQ25" s="953"/>
      <c r="AR25" s="446"/>
      <c r="AS25" s="775"/>
      <c r="AT25" s="954"/>
      <c r="AU25" s="446"/>
      <c r="AV25" s="446"/>
      <c r="AW25" s="446"/>
      <c r="AX25" s="446"/>
      <c r="AY25" s="446"/>
      <c r="AZ25" s="446"/>
      <c r="BA25" s="446"/>
      <c r="BB25" s="446"/>
      <c r="BC25" s="446"/>
      <c r="BD25" s="446"/>
      <c r="BE25" s="446"/>
      <c r="BF25" s="446"/>
      <c r="BG25" s="446"/>
      <c r="BH25" s="446"/>
      <c r="BI25" s="446"/>
      <c r="BJ25" s="446"/>
      <c r="BK25" s="446"/>
      <c r="BL25" s="446"/>
      <c r="BM25" s="446"/>
      <c r="BN25" s="950"/>
      <c r="BO25" s="446"/>
      <c r="BP25" s="446"/>
      <c r="BQ25" s="446"/>
      <c r="BR25" s="446"/>
      <c r="BS25" s="446"/>
      <c r="BT25" s="446"/>
      <c r="BU25" s="446"/>
      <c r="BV25" s="446"/>
      <c r="BW25" s="446">
        <f t="shared" ref="BW25:BW27" si="4">BR25+BS25+BT25</f>
        <v>0</v>
      </c>
      <c r="BX25" s="446"/>
      <c r="BY25" s="446"/>
      <c r="BZ25" s="446"/>
      <c r="CA25" s="446"/>
      <c r="CB25" s="446"/>
    </row>
    <row r="26" spans="1:80" ht="30.5" customHeight="1">
      <c r="A26" s="195" t="s">
        <v>1295</v>
      </c>
      <c r="B26" s="108">
        <v>45943</v>
      </c>
      <c r="C26" s="108">
        <v>45946</v>
      </c>
      <c r="D26" s="109">
        <v>2213</v>
      </c>
      <c r="E26" s="170" t="s">
        <v>1490</v>
      </c>
      <c r="F26" s="110" t="s">
        <v>135</v>
      </c>
      <c r="G26" s="110" t="s">
        <v>1297</v>
      </c>
      <c r="H26" s="110" t="s">
        <v>88</v>
      </c>
      <c r="I26" s="110" t="s">
        <v>89</v>
      </c>
      <c r="J26" s="110" t="s">
        <v>1491</v>
      </c>
      <c r="K26" s="110" t="s">
        <v>104</v>
      </c>
      <c r="L26" s="110" t="s">
        <v>88</v>
      </c>
      <c r="M26" s="110" t="s">
        <v>1492</v>
      </c>
      <c r="N26" s="110" t="s">
        <v>1493</v>
      </c>
      <c r="O26" s="110" t="s">
        <v>192</v>
      </c>
      <c r="P26" s="110" t="s">
        <v>1494</v>
      </c>
      <c r="Q26" s="111" t="s">
        <v>88</v>
      </c>
      <c r="R26" s="219" t="s">
        <v>88</v>
      </c>
      <c r="S26" s="111" t="s">
        <v>88</v>
      </c>
      <c r="T26" s="279" t="s">
        <v>88</v>
      </c>
      <c r="U26" s="220" t="s">
        <v>88</v>
      </c>
      <c r="V26" s="111" t="s">
        <v>88</v>
      </c>
      <c r="W26" s="111" t="s">
        <v>88</v>
      </c>
      <c r="X26" s="111" t="s">
        <v>88</v>
      </c>
      <c r="Y26" s="111" t="s">
        <v>88</v>
      </c>
      <c r="Z26" s="111" t="s">
        <v>88</v>
      </c>
      <c r="AA26" s="111" t="s">
        <v>88</v>
      </c>
      <c r="AB26" s="154" t="s">
        <v>88</v>
      </c>
      <c r="AC26" s="111" t="s">
        <v>88</v>
      </c>
      <c r="AD26" s="111" t="s">
        <v>88</v>
      </c>
      <c r="AE26" s="111" t="s">
        <v>88</v>
      </c>
      <c r="AF26" s="111" t="s">
        <v>88</v>
      </c>
      <c r="AG26" s="111" t="s">
        <v>88</v>
      </c>
      <c r="AH26" s="111" t="s">
        <v>88</v>
      </c>
      <c r="AI26" s="111" t="s">
        <v>88</v>
      </c>
      <c r="AJ26" s="111" t="s">
        <v>88</v>
      </c>
      <c r="AK26" s="111" t="s">
        <v>88</v>
      </c>
      <c r="AL26" s="446"/>
      <c r="AM26" s="446"/>
      <c r="AN26" s="446"/>
      <c r="AO26" s="952"/>
      <c r="AP26" s="446"/>
      <c r="AQ26" s="953"/>
      <c r="AR26" s="446"/>
      <c r="AS26" s="775"/>
      <c r="AT26" s="954"/>
      <c r="AU26" s="446"/>
      <c r="AV26" s="446"/>
      <c r="AW26" s="446"/>
      <c r="AX26" s="446"/>
      <c r="AY26" s="446"/>
      <c r="AZ26" s="446"/>
      <c r="BA26" s="446"/>
      <c r="BB26" s="446"/>
      <c r="BC26" s="446"/>
      <c r="BD26" s="446"/>
      <c r="BE26" s="446"/>
      <c r="BF26" s="446"/>
      <c r="BG26" s="446"/>
      <c r="BH26" s="446"/>
      <c r="BI26" s="446"/>
      <c r="BJ26" s="446"/>
      <c r="BK26" s="446"/>
      <c r="BL26" s="446"/>
      <c r="BM26" s="446"/>
      <c r="BN26" s="950"/>
      <c r="BO26" s="446"/>
      <c r="BP26" s="446"/>
      <c r="BQ26" s="446"/>
      <c r="BR26" s="446"/>
      <c r="BS26" s="446"/>
      <c r="BT26" s="446"/>
      <c r="BU26" s="446"/>
      <c r="BV26" s="446"/>
      <c r="BW26" s="446">
        <f t="shared" si="4"/>
        <v>0</v>
      </c>
      <c r="BX26" s="446"/>
      <c r="BY26" s="446"/>
      <c r="BZ26" s="446"/>
      <c r="CA26" s="446"/>
      <c r="CB26" s="446"/>
    </row>
    <row r="27" spans="1:80" ht="33" customHeight="1">
      <c r="A27" s="195" t="s">
        <v>1295</v>
      </c>
      <c r="B27" s="108">
        <v>45943</v>
      </c>
      <c r="C27" s="108">
        <v>45946</v>
      </c>
      <c r="D27" s="109">
        <v>2222</v>
      </c>
      <c r="E27" s="170" t="s">
        <v>1495</v>
      </c>
      <c r="F27" s="110" t="s">
        <v>167</v>
      </c>
      <c r="G27" s="110" t="s">
        <v>1297</v>
      </c>
      <c r="H27" s="110" t="s">
        <v>88</v>
      </c>
      <c r="I27" s="110" t="s">
        <v>89</v>
      </c>
      <c r="J27" s="110" t="s">
        <v>1496</v>
      </c>
      <c r="K27" s="110" t="s">
        <v>1497</v>
      </c>
      <c r="L27" s="110" t="s">
        <v>88</v>
      </c>
      <c r="M27" s="110" t="s">
        <v>1498</v>
      </c>
      <c r="N27" s="110" t="s">
        <v>1499</v>
      </c>
      <c r="O27" s="110" t="s">
        <v>1500</v>
      </c>
      <c r="P27" s="110" t="s">
        <v>249</v>
      </c>
      <c r="Q27" s="111" t="s">
        <v>88</v>
      </c>
      <c r="R27" s="219" t="s">
        <v>88</v>
      </c>
      <c r="S27" s="111" t="s">
        <v>88</v>
      </c>
      <c r="T27" s="279" t="s">
        <v>88</v>
      </c>
      <c r="U27" s="220" t="s">
        <v>88</v>
      </c>
      <c r="V27" s="111" t="s">
        <v>88</v>
      </c>
      <c r="W27" s="111" t="s">
        <v>88</v>
      </c>
      <c r="X27" s="111" t="s">
        <v>88</v>
      </c>
      <c r="Y27" s="111" t="s">
        <v>88</v>
      </c>
      <c r="Z27" s="111" t="s">
        <v>88</v>
      </c>
      <c r="AA27" s="111" t="s">
        <v>88</v>
      </c>
      <c r="AB27" s="154" t="s">
        <v>88</v>
      </c>
      <c r="AC27" s="111" t="s">
        <v>88</v>
      </c>
      <c r="AD27" s="111" t="s">
        <v>88</v>
      </c>
      <c r="AE27" s="111" t="s">
        <v>88</v>
      </c>
      <c r="AF27" s="111" t="s">
        <v>88</v>
      </c>
      <c r="AG27" s="111" t="s">
        <v>88</v>
      </c>
      <c r="AH27" s="111" t="s">
        <v>88</v>
      </c>
      <c r="AI27" s="111" t="s">
        <v>88</v>
      </c>
      <c r="AJ27" s="111" t="s">
        <v>88</v>
      </c>
      <c r="AK27" s="111" t="s">
        <v>88</v>
      </c>
      <c r="AL27" s="446"/>
      <c r="AM27" s="446"/>
      <c r="AN27" s="446"/>
      <c r="AO27" s="952"/>
      <c r="AP27" s="446"/>
      <c r="AQ27" s="953"/>
      <c r="AR27" s="446"/>
      <c r="AS27" s="775"/>
      <c r="AT27" s="954"/>
      <c r="AU27" s="446"/>
      <c r="AV27" s="446"/>
      <c r="AW27" s="446"/>
      <c r="AX27" s="446"/>
      <c r="AY27" s="446"/>
      <c r="AZ27" s="446"/>
      <c r="BA27" s="446"/>
      <c r="BB27" s="446"/>
      <c r="BC27" s="446"/>
      <c r="BD27" s="446"/>
      <c r="BE27" s="446"/>
      <c r="BF27" s="446"/>
      <c r="BG27" s="446"/>
      <c r="BH27" s="446"/>
      <c r="BI27" s="446"/>
      <c r="BJ27" s="446"/>
      <c r="BK27" s="446"/>
      <c r="BL27" s="446"/>
      <c r="BM27" s="446"/>
      <c r="BN27" s="950"/>
      <c r="BO27" s="446"/>
      <c r="BP27" s="446"/>
      <c r="BQ27" s="446"/>
      <c r="BR27" s="446"/>
      <c r="BS27" s="446"/>
      <c r="BT27" s="446"/>
      <c r="BU27" s="446"/>
      <c r="BV27" s="446"/>
      <c r="BW27" s="446">
        <f t="shared" si="4"/>
        <v>0</v>
      </c>
      <c r="BX27" s="446"/>
      <c r="BY27" s="446"/>
      <c r="BZ27" s="446"/>
      <c r="CA27" s="446"/>
      <c r="CB27" s="446"/>
    </row>
    <row r="28" spans="1:80" ht="29.25" customHeight="1">
      <c r="A28" s="1085" t="s">
        <v>1295</v>
      </c>
      <c r="B28" s="1087">
        <v>45943</v>
      </c>
      <c r="C28" s="1087">
        <v>45946</v>
      </c>
      <c r="D28" s="1083">
        <v>2240</v>
      </c>
      <c r="E28" s="1081" t="s">
        <v>1501</v>
      </c>
      <c r="F28" s="1087" t="s">
        <v>86</v>
      </c>
      <c r="G28" s="1087" t="s">
        <v>1297</v>
      </c>
      <c r="H28" s="1087" t="s">
        <v>88</v>
      </c>
      <c r="I28" s="1087" t="s">
        <v>89</v>
      </c>
      <c r="J28" s="1087" t="s">
        <v>1502</v>
      </c>
      <c r="K28" s="1087" t="s">
        <v>1503</v>
      </c>
      <c r="L28" s="1087" t="s">
        <v>88</v>
      </c>
      <c r="M28" s="1087" t="s">
        <v>1504</v>
      </c>
      <c r="N28" s="1087" t="s">
        <v>1505</v>
      </c>
      <c r="O28" s="1087" t="s">
        <v>1506</v>
      </c>
      <c r="P28" s="1087" t="s">
        <v>249</v>
      </c>
      <c r="Q28" s="111" t="s">
        <v>251</v>
      </c>
      <c r="R28" s="275" t="s">
        <v>110</v>
      </c>
      <c r="S28" s="111" t="s">
        <v>97</v>
      </c>
      <c r="T28" s="279">
        <v>2</v>
      </c>
      <c r="U28" s="220" t="s">
        <v>1507</v>
      </c>
      <c r="V28" s="111" t="s">
        <v>1508</v>
      </c>
      <c r="W28" s="114" t="s">
        <v>1509</v>
      </c>
      <c r="X28" s="112" t="s">
        <v>1315</v>
      </c>
      <c r="Y28" s="112" t="s">
        <v>1510</v>
      </c>
      <c r="Z28" s="114" t="s">
        <v>1511</v>
      </c>
      <c r="AA28" s="111" t="s">
        <v>97</v>
      </c>
      <c r="AB28" s="154">
        <v>2</v>
      </c>
      <c r="AC28" s="111" t="s">
        <v>1507</v>
      </c>
      <c r="AD28" s="111" t="s">
        <v>1508</v>
      </c>
      <c r="AE28" s="286" t="s">
        <v>1509</v>
      </c>
      <c r="AF28" s="111" t="s">
        <v>1315</v>
      </c>
      <c r="AG28" s="111" t="s">
        <v>1510</v>
      </c>
      <c r="AH28" s="111" t="s">
        <v>1511</v>
      </c>
      <c r="AI28" s="111" t="s">
        <v>88</v>
      </c>
      <c r="AJ28" s="111" t="s">
        <v>88</v>
      </c>
      <c r="AK28" s="111" t="s">
        <v>88</v>
      </c>
      <c r="AL28" s="337" t="s">
        <v>1512</v>
      </c>
      <c r="AM28" s="331" t="s">
        <v>1508</v>
      </c>
      <c r="AN28" s="331" t="s">
        <v>1509</v>
      </c>
      <c r="AO28" s="336" t="s">
        <v>1513</v>
      </c>
      <c r="AP28" s="337" t="s">
        <v>995</v>
      </c>
      <c r="AQ28" s="346" t="s">
        <v>98</v>
      </c>
      <c r="AR28" s="337" t="s">
        <v>121</v>
      </c>
      <c r="AS28" s="337" t="s">
        <v>1514</v>
      </c>
      <c r="AT28" s="333">
        <v>45943</v>
      </c>
      <c r="AU28" s="337" t="s">
        <v>1515</v>
      </c>
      <c r="AV28" s="337" t="s">
        <v>1514</v>
      </c>
      <c r="AW28" s="356">
        <v>45946</v>
      </c>
      <c r="AX28" s="337" t="s">
        <v>1516</v>
      </c>
      <c r="AY28" s="331" t="s">
        <v>98</v>
      </c>
      <c r="AZ28" s="337" t="s">
        <v>1517</v>
      </c>
      <c r="BA28" s="111" t="s">
        <v>98</v>
      </c>
      <c r="BB28" s="111" t="s">
        <v>98</v>
      </c>
      <c r="BC28" s="111" t="s">
        <v>98</v>
      </c>
      <c r="BD28" s="111" t="s">
        <v>98</v>
      </c>
      <c r="BE28" s="515" t="s">
        <v>1514</v>
      </c>
      <c r="BF28" s="111" t="s">
        <v>126</v>
      </c>
      <c r="BG28" s="508">
        <v>45943</v>
      </c>
      <c r="BH28" s="509">
        <v>0.22916666666666666</v>
      </c>
      <c r="BI28" s="510" t="s">
        <v>1518</v>
      </c>
      <c r="BJ28" s="515" t="s">
        <v>1514</v>
      </c>
      <c r="BK28" s="508">
        <v>45946</v>
      </c>
      <c r="BL28" s="509">
        <v>0.4861111111111111</v>
      </c>
      <c r="BM28" s="510" t="s">
        <v>264</v>
      </c>
      <c r="BN28" s="704">
        <v>544.55999999999995</v>
      </c>
      <c r="BO28" s="111"/>
      <c r="BP28" s="111"/>
      <c r="BQ28" s="111"/>
      <c r="BR28" s="132">
        <v>1</v>
      </c>
      <c r="BS28" s="132">
        <v>1</v>
      </c>
      <c r="BT28" s="132">
        <v>1</v>
      </c>
      <c r="BU28" s="111" t="s">
        <v>1325</v>
      </c>
      <c r="BV28" s="483">
        <v>45946</v>
      </c>
      <c r="BW28" s="111">
        <f t="shared" si="0"/>
        <v>3</v>
      </c>
      <c r="BX28" s="111"/>
      <c r="BY28" s="111"/>
      <c r="BZ28" s="111"/>
      <c r="CA28" s="111"/>
      <c r="CB28" s="111"/>
    </row>
    <row r="29" spans="1:80" ht="23" customHeight="1">
      <c r="A29" s="1086"/>
      <c r="B29" s="1005"/>
      <c r="C29" s="1005"/>
      <c r="D29" s="1083"/>
      <c r="E29" s="1082" t="s">
        <v>88</v>
      </c>
      <c r="F29" s="1005" t="s">
        <v>88</v>
      </c>
      <c r="G29" s="1005" t="s">
        <v>88</v>
      </c>
      <c r="H29" s="1005" t="s">
        <v>88</v>
      </c>
      <c r="I29" s="1005" t="s">
        <v>88</v>
      </c>
      <c r="J29" s="1005" t="s">
        <v>88</v>
      </c>
      <c r="K29" s="1005" t="s">
        <v>88</v>
      </c>
      <c r="L29" s="1005" t="s">
        <v>88</v>
      </c>
      <c r="M29" s="1005" t="s">
        <v>88</v>
      </c>
      <c r="N29" s="1005" t="s">
        <v>88</v>
      </c>
      <c r="O29" s="1005" t="s">
        <v>88</v>
      </c>
      <c r="P29" s="1005" t="s">
        <v>88</v>
      </c>
      <c r="Q29" s="111" t="s">
        <v>88</v>
      </c>
      <c r="R29" s="219" t="s">
        <v>88</v>
      </c>
      <c r="S29" s="111" t="s">
        <v>88</v>
      </c>
      <c r="T29" s="279" t="s">
        <v>88</v>
      </c>
      <c r="U29" s="220" t="s">
        <v>88</v>
      </c>
      <c r="V29" s="111" t="s">
        <v>88</v>
      </c>
      <c r="W29" s="115" t="s">
        <v>88</v>
      </c>
      <c r="X29" s="111" t="s">
        <v>88</v>
      </c>
      <c r="Y29" s="111" t="s">
        <v>88</v>
      </c>
      <c r="Z29" s="115" t="s">
        <v>88</v>
      </c>
      <c r="AA29" s="111" t="s">
        <v>88</v>
      </c>
      <c r="AB29" s="154" t="s">
        <v>88</v>
      </c>
      <c r="AC29" s="111" t="s">
        <v>88</v>
      </c>
      <c r="AD29" s="111" t="s">
        <v>88</v>
      </c>
      <c r="AE29" s="115" t="s">
        <v>88</v>
      </c>
      <c r="AF29" s="111" t="s">
        <v>88</v>
      </c>
      <c r="AG29" s="111" t="s">
        <v>88</v>
      </c>
      <c r="AH29" s="111" t="s">
        <v>88</v>
      </c>
      <c r="AI29" s="111" t="s">
        <v>88</v>
      </c>
      <c r="AJ29" s="111" t="s">
        <v>88</v>
      </c>
      <c r="AK29" s="111" t="s">
        <v>88</v>
      </c>
      <c r="AL29" s="331" t="s">
        <v>1315</v>
      </c>
      <c r="AM29" s="331" t="s">
        <v>1510</v>
      </c>
      <c r="AN29" s="331" t="s">
        <v>1511</v>
      </c>
      <c r="AO29" s="366" t="s">
        <v>1519</v>
      </c>
      <c r="AP29" s="366" t="s">
        <v>995</v>
      </c>
      <c r="AQ29" s="346" t="s">
        <v>98</v>
      </c>
      <c r="AR29" s="340" t="s">
        <v>579</v>
      </c>
      <c r="AS29" s="340" t="s">
        <v>1520</v>
      </c>
      <c r="AT29" s="333">
        <v>45945</v>
      </c>
      <c r="AU29" s="340" t="s">
        <v>1094</v>
      </c>
      <c r="AV29" s="340" t="s">
        <v>1520</v>
      </c>
      <c r="AW29" s="356">
        <v>45946</v>
      </c>
      <c r="AX29" s="366" t="s">
        <v>1521</v>
      </c>
      <c r="AY29" s="331" t="s">
        <v>98</v>
      </c>
      <c r="AZ29" s="331"/>
      <c r="BA29" s="111"/>
      <c r="BB29" s="111"/>
      <c r="BC29" s="111"/>
      <c r="BD29" s="111"/>
      <c r="BE29" s="111"/>
      <c r="BF29" s="111"/>
      <c r="BG29" s="111"/>
      <c r="BH29" s="111"/>
      <c r="BI29" s="111"/>
      <c r="BJ29" s="111"/>
      <c r="BK29" s="111"/>
      <c r="BL29" s="111"/>
      <c r="BM29" s="111"/>
      <c r="BN29" s="720"/>
      <c r="BO29" s="111"/>
      <c r="BP29" s="111"/>
      <c r="BQ29" s="111"/>
      <c r="BR29" s="111"/>
      <c r="BS29" s="111"/>
      <c r="BT29" s="737"/>
      <c r="BU29" s="111"/>
      <c r="BV29" s="111"/>
      <c r="BW29" s="111">
        <f t="shared" si="0"/>
        <v>0</v>
      </c>
      <c r="BX29" s="111"/>
      <c r="BY29" s="111"/>
      <c r="BZ29" s="391" t="s">
        <v>1522</v>
      </c>
      <c r="CA29" s="111" t="s">
        <v>1523</v>
      </c>
      <c r="CB29" s="111"/>
    </row>
    <row r="30" spans="1:80" ht="29.25" customHeight="1">
      <c r="A30" s="1085" t="s">
        <v>1295</v>
      </c>
      <c r="B30" s="1087">
        <v>45943</v>
      </c>
      <c r="C30" s="1087">
        <v>45946</v>
      </c>
      <c r="D30" s="1083">
        <v>2241</v>
      </c>
      <c r="E30" s="1081" t="s">
        <v>1524</v>
      </c>
      <c r="F30" s="1087" t="s">
        <v>86</v>
      </c>
      <c r="G30" s="1087" t="s">
        <v>1297</v>
      </c>
      <c r="H30" s="1087" t="s">
        <v>88</v>
      </c>
      <c r="I30" s="1087" t="s">
        <v>89</v>
      </c>
      <c r="J30" s="1087" t="s">
        <v>1525</v>
      </c>
      <c r="K30" s="1087" t="s">
        <v>189</v>
      </c>
      <c r="L30" s="1087" t="s">
        <v>88</v>
      </c>
      <c r="M30" s="1087" t="s">
        <v>1526</v>
      </c>
      <c r="N30" s="1087" t="s">
        <v>1527</v>
      </c>
      <c r="O30" s="1087" t="s">
        <v>1528</v>
      </c>
      <c r="P30" s="1087" t="s">
        <v>140</v>
      </c>
      <c r="Q30" s="1087" t="s">
        <v>251</v>
      </c>
      <c r="R30" s="1099" t="s">
        <v>98</v>
      </c>
      <c r="S30" s="1087" t="s">
        <v>97</v>
      </c>
      <c r="T30" s="1104">
        <v>2</v>
      </c>
      <c r="U30" s="1105" t="s">
        <v>1529</v>
      </c>
      <c r="V30" s="1087" t="s">
        <v>1530</v>
      </c>
      <c r="W30" s="1041" t="s">
        <v>1531</v>
      </c>
      <c r="X30" s="1087" t="s">
        <v>1532</v>
      </c>
      <c r="Y30" s="1087" t="s">
        <v>1533</v>
      </c>
      <c r="Z30" s="1041" t="s">
        <v>1534</v>
      </c>
      <c r="AA30" s="1087" t="s">
        <v>97</v>
      </c>
      <c r="AB30" s="1108">
        <v>2</v>
      </c>
      <c r="AC30" s="1087" t="s">
        <v>1529</v>
      </c>
      <c r="AD30" s="1087" t="s">
        <v>1530</v>
      </c>
      <c r="AE30" s="1015" t="s">
        <v>1531</v>
      </c>
      <c r="AF30" s="1087" t="s">
        <v>1532</v>
      </c>
      <c r="AG30" s="1087" t="s">
        <v>1533</v>
      </c>
      <c r="AH30" s="1015" t="s">
        <v>1534</v>
      </c>
      <c r="AI30" s="1087" t="s">
        <v>376</v>
      </c>
      <c r="AJ30" s="1087" t="s">
        <v>88</v>
      </c>
      <c r="AK30" s="1087" t="s">
        <v>88</v>
      </c>
      <c r="AL30" s="331" t="s">
        <v>1529</v>
      </c>
      <c r="AM30" s="331" t="s">
        <v>1530</v>
      </c>
      <c r="AN30" s="331" t="s">
        <v>1531</v>
      </c>
      <c r="AO30" s="332">
        <v>4917631646232</v>
      </c>
      <c r="AP30" s="331" t="s">
        <v>995</v>
      </c>
      <c r="AQ30" s="346" t="s">
        <v>98</v>
      </c>
      <c r="AR30" s="349" t="s">
        <v>154</v>
      </c>
      <c r="AS30" s="349" t="s">
        <v>1535</v>
      </c>
      <c r="AT30" s="333">
        <v>45943</v>
      </c>
      <c r="AU30" s="379">
        <v>0.51736111111111116</v>
      </c>
      <c r="AV30" s="349" t="s">
        <v>1535</v>
      </c>
      <c r="AW30" s="356">
        <v>45949</v>
      </c>
      <c r="AX30" s="379">
        <v>0.51736111111111116</v>
      </c>
      <c r="AY30" s="331" t="s">
        <v>98</v>
      </c>
      <c r="AZ30" s="484" t="s">
        <v>1536</v>
      </c>
      <c r="BA30" s="111" t="s">
        <v>98</v>
      </c>
      <c r="BB30" s="111" t="s">
        <v>98</v>
      </c>
      <c r="BC30" s="111" t="s">
        <v>98</v>
      </c>
      <c r="BD30" s="111" t="s">
        <v>98</v>
      </c>
      <c r="BE30" s="391" t="s">
        <v>1535</v>
      </c>
      <c r="BF30" s="111" t="s">
        <v>126</v>
      </c>
      <c r="BG30" s="705">
        <v>45943</v>
      </c>
      <c r="BH30" s="706">
        <v>0.51736111111111116</v>
      </c>
      <c r="BI30" s="697" t="s">
        <v>1537</v>
      </c>
      <c r="BJ30" s="391" t="s">
        <v>1535</v>
      </c>
      <c r="BK30" s="709">
        <v>45949</v>
      </c>
      <c r="BL30" s="706">
        <v>0.51736111111111116</v>
      </c>
      <c r="BM30" s="697" t="s">
        <v>1538</v>
      </c>
      <c r="BN30" s="707" t="s">
        <v>1539</v>
      </c>
      <c r="BO30" s="111"/>
      <c r="BP30" s="111"/>
      <c r="BQ30" s="111"/>
      <c r="BR30" s="132">
        <v>1</v>
      </c>
      <c r="BS30" s="132">
        <v>1</v>
      </c>
      <c r="BT30" s="132">
        <v>1</v>
      </c>
      <c r="BU30" s="111" t="s">
        <v>1325</v>
      </c>
      <c r="BV30" s="483">
        <v>45946</v>
      </c>
      <c r="BW30" s="111">
        <f t="shared" si="0"/>
        <v>3</v>
      </c>
      <c r="BX30" s="111"/>
      <c r="BY30" s="111"/>
      <c r="BZ30" s="680" t="s">
        <v>1540</v>
      </c>
      <c r="CA30" s="111" t="s">
        <v>1541</v>
      </c>
      <c r="CB30" s="111"/>
    </row>
    <row r="31" spans="1:80" ht="44.5" customHeight="1">
      <c r="A31" s="1086"/>
      <c r="B31" s="1005"/>
      <c r="C31" s="1005"/>
      <c r="D31" s="1083"/>
      <c r="E31" s="1082" t="s">
        <v>88</v>
      </c>
      <c r="F31" s="1005" t="s">
        <v>88</v>
      </c>
      <c r="G31" s="1005" t="s">
        <v>88</v>
      </c>
      <c r="H31" s="1005" t="s">
        <v>88</v>
      </c>
      <c r="I31" s="1005" t="s">
        <v>88</v>
      </c>
      <c r="J31" s="1005" t="s">
        <v>88</v>
      </c>
      <c r="K31" s="1005" t="s">
        <v>88</v>
      </c>
      <c r="L31" s="1005" t="s">
        <v>88</v>
      </c>
      <c r="M31" s="1005" t="s">
        <v>88</v>
      </c>
      <c r="N31" s="1005" t="s">
        <v>88</v>
      </c>
      <c r="O31" s="1005" t="s">
        <v>88</v>
      </c>
      <c r="P31" s="1005" t="s">
        <v>88</v>
      </c>
      <c r="Q31" s="1005" t="s">
        <v>88</v>
      </c>
      <c r="R31" s="1099"/>
      <c r="S31" s="1005" t="s">
        <v>88</v>
      </c>
      <c r="T31" s="1104" t="s">
        <v>88</v>
      </c>
      <c r="U31" s="1106" t="s">
        <v>88</v>
      </c>
      <c r="V31" s="1005" t="s">
        <v>88</v>
      </c>
      <c r="W31" s="1111" t="s">
        <v>88</v>
      </c>
      <c r="X31" s="1005" t="s">
        <v>88</v>
      </c>
      <c r="Y31" s="1005" t="s">
        <v>88</v>
      </c>
      <c r="Z31" s="1111"/>
      <c r="AA31" s="1005" t="s">
        <v>88</v>
      </c>
      <c r="AB31" s="1108" t="s">
        <v>88</v>
      </c>
      <c r="AC31" s="1005" t="s">
        <v>88</v>
      </c>
      <c r="AD31" s="1005" t="s">
        <v>88</v>
      </c>
      <c r="AE31" s="1005" t="s">
        <v>88</v>
      </c>
      <c r="AF31" s="1005" t="s">
        <v>88</v>
      </c>
      <c r="AG31" s="1005" t="s">
        <v>88</v>
      </c>
      <c r="AH31" s="1005"/>
      <c r="AI31" s="1005" t="s">
        <v>88</v>
      </c>
      <c r="AJ31" s="1005" t="s">
        <v>88</v>
      </c>
      <c r="AK31" s="1005" t="s">
        <v>88</v>
      </c>
      <c r="AL31" s="331" t="s">
        <v>1532</v>
      </c>
      <c r="AM31" s="331" t="s">
        <v>1533</v>
      </c>
      <c r="AN31" s="331" t="s">
        <v>1534</v>
      </c>
      <c r="AO31" s="332">
        <v>4917676678810</v>
      </c>
      <c r="AP31" s="331" t="s">
        <v>995</v>
      </c>
      <c r="AQ31" s="346" t="s">
        <v>98</v>
      </c>
      <c r="AR31" s="349" t="s">
        <v>154</v>
      </c>
      <c r="AS31" s="349" t="s">
        <v>1542</v>
      </c>
      <c r="AT31" s="333">
        <v>45943</v>
      </c>
      <c r="AU31" s="349" t="s">
        <v>1543</v>
      </c>
      <c r="AV31" s="349" t="s">
        <v>1542</v>
      </c>
      <c r="AW31" s="356">
        <v>45946</v>
      </c>
      <c r="AX31" s="349" t="s">
        <v>1544</v>
      </c>
      <c r="AY31" s="331" t="s">
        <v>98</v>
      </c>
      <c r="AZ31" s="484" t="s">
        <v>1545</v>
      </c>
      <c r="BA31" s="111" t="s">
        <v>98</v>
      </c>
      <c r="BB31" s="111" t="s">
        <v>98</v>
      </c>
      <c r="BC31" s="111" t="s">
        <v>98</v>
      </c>
      <c r="BD31" s="111" t="s">
        <v>98</v>
      </c>
      <c r="BE31" s="507" t="s">
        <v>1542</v>
      </c>
      <c r="BF31" s="111" t="s">
        <v>425</v>
      </c>
      <c r="BG31" s="508">
        <v>45943</v>
      </c>
      <c r="BH31" s="509">
        <v>0.37291666666666667</v>
      </c>
      <c r="BI31" s="510" t="s">
        <v>1546</v>
      </c>
      <c r="BJ31" s="507" t="s">
        <v>1542</v>
      </c>
      <c r="BK31" s="508">
        <v>45946</v>
      </c>
      <c r="BL31" s="509">
        <v>0.68194444444444446</v>
      </c>
      <c r="BM31" s="510" t="s">
        <v>1547</v>
      </c>
      <c r="BN31" s="704">
        <v>367.98</v>
      </c>
      <c r="BO31" s="111"/>
      <c r="BP31" s="111"/>
      <c r="BQ31" s="111"/>
      <c r="BR31" s="132">
        <v>1</v>
      </c>
      <c r="BS31" s="132">
        <v>1</v>
      </c>
      <c r="BT31" s="132">
        <v>1</v>
      </c>
      <c r="BU31" s="111" t="s">
        <v>1325</v>
      </c>
      <c r="BV31" s="483">
        <v>45946</v>
      </c>
      <c r="BW31" s="111">
        <f t="shared" si="0"/>
        <v>3</v>
      </c>
      <c r="BX31" s="111"/>
      <c r="BY31" s="111"/>
      <c r="BZ31" s="111"/>
      <c r="CA31" s="111"/>
      <c r="CB31" s="111"/>
    </row>
    <row r="32" spans="1:80" ht="29.25" customHeight="1">
      <c r="A32" s="195" t="s">
        <v>1295</v>
      </c>
      <c r="B32" s="108">
        <v>45943</v>
      </c>
      <c r="C32" s="108">
        <v>45946</v>
      </c>
      <c r="D32" s="109">
        <v>2249</v>
      </c>
      <c r="E32" s="170" t="s">
        <v>1548</v>
      </c>
      <c r="F32" s="110" t="s">
        <v>86</v>
      </c>
      <c r="G32" s="110" t="s">
        <v>1297</v>
      </c>
      <c r="H32" s="110" t="s">
        <v>88</v>
      </c>
      <c r="I32" s="110" t="s">
        <v>89</v>
      </c>
      <c r="J32" s="110" t="s">
        <v>1549</v>
      </c>
      <c r="K32" s="110" t="s">
        <v>1550</v>
      </c>
      <c r="L32" s="110" t="s">
        <v>88</v>
      </c>
      <c r="M32" s="110" t="s">
        <v>1551</v>
      </c>
      <c r="N32" s="110" t="s">
        <v>1552</v>
      </c>
      <c r="O32" s="110" t="s">
        <v>1553</v>
      </c>
      <c r="P32" s="110" t="s">
        <v>570</v>
      </c>
      <c r="Q32" s="111" t="s">
        <v>251</v>
      </c>
      <c r="R32" s="276" t="s">
        <v>561</v>
      </c>
      <c r="S32" s="111" t="s">
        <v>88</v>
      </c>
      <c r="T32" s="279">
        <v>0</v>
      </c>
      <c r="U32" s="220" t="s">
        <v>88</v>
      </c>
      <c r="V32" s="111" t="s">
        <v>88</v>
      </c>
      <c r="W32" s="111" t="s">
        <v>88</v>
      </c>
      <c r="X32" s="111" t="s">
        <v>88</v>
      </c>
      <c r="Y32" s="111" t="s">
        <v>88</v>
      </c>
      <c r="Z32" s="111" t="s">
        <v>88</v>
      </c>
      <c r="AA32" s="111" t="s">
        <v>88</v>
      </c>
      <c r="AB32" s="154">
        <v>0</v>
      </c>
      <c r="AC32" s="111" t="s">
        <v>88</v>
      </c>
      <c r="AD32" s="111" t="s">
        <v>88</v>
      </c>
      <c r="AE32" s="111" t="s">
        <v>88</v>
      </c>
      <c r="AF32" s="111" t="s">
        <v>88</v>
      </c>
      <c r="AG32" s="111" t="s">
        <v>88</v>
      </c>
      <c r="AH32" s="111" t="s">
        <v>88</v>
      </c>
      <c r="AI32" s="111" t="s">
        <v>1554</v>
      </c>
      <c r="AJ32" s="111" t="s">
        <v>88</v>
      </c>
      <c r="AK32" s="111" t="s">
        <v>88</v>
      </c>
      <c r="AL32" s="446"/>
      <c r="AM32" s="446"/>
      <c r="AN32" s="446"/>
      <c r="AO32" s="952"/>
      <c r="AP32" s="446"/>
      <c r="AQ32" s="953"/>
      <c r="AR32" s="446"/>
      <c r="AS32" s="775"/>
      <c r="AT32" s="954"/>
      <c r="AU32" s="446"/>
      <c r="AV32" s="446"/>
      <c r="AW32" s="446"/>
      <c r="AX32" s="446"/>
      <c r="AY32" s="446"/>
      <c r="AZ32" s="446"/>
      <c r="BA32" s="446"/>
      <c r="BB32" s="446"/>
      <c r="BC32" s="446"/>
      <c r="BD32" s="446"/>
      <c r="BE32" s="446"/>
      <c r="BF32" s="446"/>
      <c r="BG32" s="446"/>
      <c r="BH32" s="446"/>
      <c r="BI32" s="446"/>
      <c r="BJ32" s="446"/>
      <c r="BK32" s="446"/>
      <c r="BL32" s="446"/>
      <c r="BM32" s="446"/>
      <c r="BN32" s="950"/>
      <c r="BO32" s="446"/>
      <c r="BP32" s="446"/>
      <c r="BQ32" s="446"/>
      <c r="BR32" s="446"/>
      <c r="BS32" s="446"/>
      <c r="BT32" s="446"/>
      <c r="BU32" s="446"/>
      <c r="BV32" s="446"/>
      <c r="BW32" s="446">
        <f t="shared" ref="BW32:BW33" si="5">BR32+BS32+BT32</f>
        <v>0</v>
      </c>
      <c r="BX32" s="446"/>
      <c r="BY32" s="446"/>
      <c r="BZ32" s="446"/>
      <c r="CA32" s="446"/>
      <c r="CB32" s="446"/>
    </row>
    <row r="33" spans="1:80" ht="44.5" customHeight="1">
      <c r="A33" s="195" t="s">
        <v>1295</v>
      </c>
      <c r="B33" s="108">
        <v>45943</v>
      </c>
      <c r="C33" s="108">
        <v>45946</v>
      </c>
      <c r="D33" s="109">
        <v>2280</v>
      </c>
      <c r="E33" s="170" t="s">
        <v>1555</v>
      </c>
      <c r="F33" s="110" t="s">
        <v>135</v>
      </c>
      <c r="G33" s="110" t="s">
        <v>1297</v>
      </c>
      <c r="H33" s="110" t="s">
        <v>88</v>
      </c>
      <c r="I33" s="110" t="s">
        <v>89</v>
      </c>
      <c r="J33" s="110" t="s">
        <v>395</v>
      </c>
      <c r="K33" s="110" t="s">
        <v>189</v>
      </c>
      <c r="L33" s="110" t="s">
        <v>88</v>
      </c>
      <c r="M33" s="110" t="s">
        <v>1556</v>
      </c>
      <c r="N33" s="110" t="s">
        <v>1557</v>
      </c>
      <c r="O33" s="110" t="s">
        <v>192</v>
      </c>
      <c r="P33" s="110" t="s">
        <v>1558</v>
      </c>
      <c r="Q33" s="111" t="s">
        <v>88</v>
      </c>
      <c r="R33" s="219" t="s">
        <v>88</v>
      </c>
      <c r="S33" s="111" t="s">
        <v>88</v>
      </c>
      <c r="T33" s="279" t="s">
        <v>88</v>
      </c>
      <c r="U33" s="220" t="s">
        <v>88</v>
      </c>
      <c r="V33" s="111" t="s">
        <v>88</v>
      </c>
      <c r="W33" s="111" t="s">
        <v>88</v>
      </c>
      <c r="X33" s="111" t="s">
        <v>88</v>
      </c>
      <c r="Y33" s="111" t="s">
        <v>88</v>
      </c>
      <c r="Z33" s="111" t="s">
        <v>88</v>
      </c>
      <c r="AA33" s="111" t="s">
        <v>88</v>
      </c>
      <c r="AB33" s="154" t="s">
        <v>88</v>
      </c>
      <c r="AC33" s="111" t="s">
        <v>88</v>
      </c>
      <c r="AD33" s="111" t="s">
        <v>88</v>
      </c>
      <c r="AE33" s="111" t="s">
        <v>88</v>
      </c>
      <c r="AF33" s="111" t="s">
        <v>88</v>
      </c>
      <c r="AG33" s="111" t="s">
        <v>88</v>
      </c>
      <c r="AH33" s="111" t="s">
        <v>88</v>
      </c>
      <c r="AI33" s="111" t="s">
        <v>88</v>
      </c>
      <c r="AJ33" s="111" t="s">
        <v>88</v>
      </c>
      <c r="AK33" s="111" t="s">
        <v>88</v>
      </c>
      <c r="AL33" s="446"/>
      <c r="AM33" s="446"/>
      <c r="AN33" s="446"/>
      <c r="AO33" s="952"/>
      <c r="AP33" s="446"/>
      <c r="AQ33" s="953"/>
      <c r="AR33" s="446"/>
      <c r="AS33" s="775"/>
      <c r="AT33" s="954"/>
      <c r="AU33" s="446"/>
      <c r="AV33" s="446"/>
      <c r="AW33" s="446"/>
      <c r="AX33" s="446"/>
      <c r="AY33" s="446"/>
      <c r="AZ33" s="446"/>
      <c r="BA33" s="446"/>
      <c r="BB33" s="446"/>
      <c r="BC33" s="446"/>
      <c r="BD33" s="446"/>
      <c r="BE33" s="446"/>
      <c r="BF33" s="446"/>
      <c r="BG33" s="446"/>
      <c r="BH33" s="446"/>
      <c r="BI33" s="446"/>
      <c r="BJ33" s="446"/>
      <c r="BK33" s="446"/>
      <c r="BL33" s="446"/>
      <c r="BM33" s="446"/>
      <c r="BN33" s="950"/>
      <c r="BO33" s="446"/>
      <c r="BP33" s="446"/>
      <c r="BQ33" s="446"/>
      <c r="BR33" s="446"/>
      <c r="BS33" s="446"/>
      <c r="BT33" s="446"/>
      <c r="BU33" s="446"/>
      <c r="BV33" s="446"/>
      <c r="BW33" s="446">
        <f t="shared" si="5"/>
        <v>0</v>
      </c>
      <c r="BX33" s="446"/>
      <c r="BY33" s="446"/>
      <c r="BZ33" s="446"/>
      <c r="CA33" s="446"/>
      <c r="CB33" s="446"/>
    </row>
    <row r="34" spans="1:80" ht="29.25" customHeight="1">
      <c r="A34" s="1085" t="s">
        <v>1295</v>
      </c>
      <c r="B34" s="1087">
        <v>45943</v>
      </c>
      <c r="C34" s="1087">
        <v>45946</v>
      </c>
      <c r="D34" s="1083">
        <v>2290</v>
      </c>
      <c r="E34" s="1081" t="s">
        <v>1559</v>
      </c>
      <c r="F34" s="1087" t="s">
        <v>86</v>
      </c>
      <c r="G34" s="1087" t="s">
        <v>1297</v>
      </c>
      <c r="H34" s="1087" t="s">
        <v>88</v>
      </c>
      <c r="I34" s="1087" t="s">
        <v>89</v>
      </c>
      <c r="J34" s="1087" t="s">
        <v>1560</v>
      </c>
      <c r="K34" s="1087" t="s">
        <v>1468</v>
      </c>
      <c r="L34" s="1087" t="s">
        <v>88</v>
      </c>
      <c r="M34" s="1087" t="s">
        <v>1561</v>
      </c>
      <c r="N34" s="1087" t="s">
        <v>1562</v>
      </c>
      <c r="O34" s="1087" t="s">
        <v>591</v>
      </c>
      <c r="P34" s="1087" t="s">
        <v>660</v>
      </c>
      <c r="Q34" s="1087" t="s">
        <v>251</v>
      </c>
      <c r="R34" s="1099" t="s">
        <v>110</v>
      </c>
      <c r="S34" s="1087" t="s">
        <v>97</v>
      </c>
      <c r="T34" s="1104" t="s">
        <v>1563</v>
      </c>
      <c r="U34" s="1105" t="s">
        <v>1564</v>
      </c>
      <c r="V34" s="1087" t="s">
        <v>1565</v>
      </c>
      <c r="W34" s="1006" t="s">
        <v>1566</v>
      </c>
      <c r="X34" s="1091" t="s">
        <v>1567</v>
      </c>
      <c r="Y34" s="1091" t="s">
        <v>1568</v>
      </c>
      <c r="Z34" s="1113" t="s">
        <v>1569</v>
      </c>
      <c r="AA34" s="1087" t="s">
        <v>97</v>
      </c>
      <c r="AB34" s="1108" t="s">
        <v>1563</v>
      </c>
      <c r="AC34" s="1087" t="s">
        <v>1564</v>
      </c>
      <c r="AD34" s="1087" t="s">
        <v>1565</v>
      </c>
      <c r="AE34" s="1087" t="s">
        <v>1566</v>
      </c>
      <c r="AF34" s="1091" t="s">
        <v>1567</v>
      </c>
      <c r="AG34" s="1091" t="s">
        <v>1568</v>
      </c>
      <c r="AH34" s="1091" t="s">
        <v>1569</v>
      </c>
      <c r="AI34" s="1087" t="s">
        <v>88</v>
      </c>
      <c r="AJ34" s="1087" t="s">
        <v>88</v>
      </c>
      <c r="AK34" s="1087" t="s">
        <v>88</v>
      </c>
      <c r="AL34" s="331" t="s">
        <v>1564</v>
      </c>
      <c r="AM34" s="331" t="s">
        <v>1565</v>
      </c>
      <c r="AN34" s="331" t="s">
        <v>1566</v>
      </c>
      <c r="AO34" s="336">
        <v>460703011831</v>
      </c>
      <c r="AP34" s="337" t="s">
        <v>995</v>
      </c>
      <c r="AQ34" s="331" t="s">
        <v>98</v>
      </c>
      <c r="AR34" s="337" t="s">
        <v>121</v>
      </c>
      <c r="AS34" s="350" t="s">
        <v>1570</v>
      </c>
      <c r="AT34" s="351">
        <v>45943</v>
      </c>
      <c r="AU34" s="337" t="s">
        <v>1125</v>
      </c>
      <c r="AV34" s="350" t="s">
        <v>1570</v>
      </c>
      <c r="AW34" s="357">
        <v>45946</v>
      </c>
      <c r="AX34" s="337" t="s">
        <v>1571</v>
      </c>
      <c r="AY34" s="331" t="s">
        <v>98</v>
      </c>
      <c r="AZ34" s="337" t="s">
        <v>1572</v>
      </c>
      <c r="BA34" s="111" t="s">
        <v>98</v>
      </c>
      <c r="BB34" s="111" t="s">
        <v>98</v>
      </c>
      <c r="BC34" s="111" t="s">
        <v>98</v>
      </c>
      <c r="BD34" s="111" t="s">
        <v>98</v>
      </c>
      <c r="BE34" s="511" t="s">
        <v>1570</v>
      </c>
      <c r="BF34" s="111" t="s">
        <v>126</v>
      </c>
      <c r="BG34" s="108">
        <v>45942</v>
      </c>
      <c r="BH34" s="692">
        <v>0.72916666666666663</v>
      </c>
      <c r="BI34" s="111" t="s">
        <v>1573</v>
      </c>
      <c r="BJ34" s="511" t="s">
        <v>1570</v>
      </c>
      <c r="BK34" s="508">
        <v>45946</v>
      </c>
      <c r="BL34" s="692">
        <v>0.60416666666666663</v>
      </c>
      <c r="BM34" s="111" t="s">
        <v>1574</v>
      </c>
      <c r="BN34" s="704" t="s">
        <v>1575</v>
      </c>
      <c r="BO34" s="111"/>
      <c r="BP34" s="111"/>
      <c r="BQ34" s="111"/>
      <c r="BR34" s="132">
        <v>1</v>
      </c>
      <c r="BS34" s="132">
        <v>1</v>
      </c>
      <c r="BT34" s="132">
        <v>1</v>
      </c>
      <c r="BU34" s="111" t="s">
        <v>1325</v>
      </c>
      <c r="BV34" s="483">
        <v>45946</v>
      </c>
      <c r="BW34" s="111">
        <f t="shared" si="0"/>
        <v>3</v>
      </c>
      <c r="BX34" s="111"/>
      <c r="BY34" s="111"/>
      <c r="BZ34" s="111"/>
      <c r="CA34" s="111"/>
      <c r="CB34" s="111"/>
    </row>
    <row r="35" spans="1:80" ht="23" customHeight="1">
      <c r="A35" s="1086"/>
      <c r="B35" s="1005"/>
      <c r="C35" s="1005"/>
      <c r="D35" s="1083"/>
      <c r="E35" s="1082" t="s">
        <v>88</v>
      </c>
      <c r="F35" s="1005" t="s">
        <v>88</v>
      </c>
      <c r="G35" s="1005" t="s">
        <v>88</v>
      </c>
      <c r="H35" s="1005" t="s">
        <v>88</v>
      </c>
      <c r="I35" s="1005" t="s">
        <v>88</v>
      </c>
      <c r="J35" s="1005" t="s">
        <v>88</v>
      </c>
      <c r="K35" s="1005" t="s">
        <v>88</v>
      </c>
      <c r="L35" s="1005" t="s">
        <v>88</v>
      </c>
      <c r="M35" s="1005" t="s">
        <v>88</v>
      </c>
      <c r="N35" s="1005" t="s">
        <v>88</v>
      </c>
      <c r="O35" s="1005" t="s">
        <v>88</v>
      </c>
      <c r="P35" s="1005" t="s">
        <v>88</v>
      </c>
      <c r="Q35" s="1005" t="s">
        <v>88</v>
      </c>
      <c r="R35" s="1099" t="s">
        <v>88</v>
      </c>
      <c r="S35" s="1005" t="s">
        <v>88</v>
      </c>
      <c r="T35" s="1104" t="s">
        <v>88</v>
      </c>
      <c r="U35" s="1106" t="s">
        <v>88</v>
      </c>
      <c r="V35" s="1005" t="s">
        <v>88</v>
      </c>
      <c r="W35" s="1006" t="s">
        <v>88</v>
      </c>
      <c r="X35" s="1090" t="s">
        <v>88</v>
      </c>
      <c r="Y35" s="1090" t="s">
        <v>88</v>
      </c>
      <c r="Z35" s="1113" t="s">
        <v>88</v>
      </c>
      <c r="AA35" s="1005" t="s">
        <v>88</v>
      </c>
      <c r="AB35" s="1108" t="s">
        <v>88</v>
      </c>
      <c r="AC35" s="1005" t="s">
        <v>88</v>
      </c>
      <c r="AD35" s="1005" t="s">
        <v>88</v>
      </c>
      <c r="AE35" s="1005" t="s">
        <v>88</v>
      </c>
      <c r="AF35" s="1090" t="s">
        <v>88</v>
      </c>
      <c r="AG35" s="1090" t="s">
        <v>88</v>
      </c>
      <c r="AH35" s="1090" t="s">
        <v>88</v>
      </c>
      <c r="AI35" s="1005" t="s">
        <v>88</v>
      </c>
      <c r="AJ35" s="1005" t="s">
        <v>88</v>
      </c>
      <c r="AK35" s="1005" t="s">
        <v>88</v>
      </c>
      <c r="AL35" s="449" t="s">
        <v>1567</v>
      </c>
      <c r="AM35" s="449" t="s">
        <v>1568</v>
      </c>
      <c r="AN35" s="449" t="s">
        <v>1569</v>
      </c>
      <c r="AO35" s="450">
        <v>420777695976</v>
      </c>
      <c r="AP35" s="449" t="s">
        <v>1385</v>
      </c>
      <c r="AQ35" s="449" t="s">
        <v>1006</v>
      </c>
      <c r="AR35" s="449"/>
      <c r="AS35" s="449"/>
      <c r="AT35" s="451"/>
      <c r="AU35" s="449"/>
      <c r="AV35" s="449"/>
      <c r="AW35" s="449"/>
      <c r="AX35" s="449"/>
      <c r="AY35" s="449" t="s">
        <v>1006</v>
      </c>
      <c r="AZ35" s="449"/>
      <c r="BA35" s="111"/>
      <c r="BB35" s="111"/>
      <c r="BC35" s="111"/>
      <c r="BD35" s="111"/>
      <c r="BE35" s="111"/>
      <c r="BF35" s="111"/>
      <c r="BG35" s="111"/>
      <c r="BH35" s="111"/>
      <c r="BI35" s="111"/>
      <c r="BJ35" s="111"/>
      <c r="BK35" s="111"/>
      <c r="BL35" s="111"/>
      <c r="BM35" s="111"/>
      <c r="BN35" s="720"/>
      <c r="BO35" s="111"/>
      <c r="BP35" s="111"/>
      <c r="BQ35" s="111"/>
      <c r="BR35" s="747"/>
      <c r="BS35" s="747"/>
      <c r="BT35" s="747"/>
      <c r="BU35" s="111"/>
      <c r="BV35" s="111"/>
      <c r="BW35" s="111">
        <f t="shared" si="0"/>
        <v>0</v>
      </c>
      <c r="BX35" s="111"/>
      <c r="BY35" s="111"/>
      <c r="BZ35" s="111"/>
      <c r="CA35" s="111"/>
      <c r="CB35" s="111"/>
    </row>
    <row r="36" spans="1:80" ht="45" customHeight="1">
      <c r="A36" s="195" t="s">
        <v>1295</v>
      </c>
      <c r="B36" s="108">
        <v>45943</v>
      </c>
      <c r="C36" s="108">
        <v>45946</v>
      </c>
      <c r="D36" s="109">
        <v>2301</v>
      </c>
      <c r="E36" s="170" t="s">
        <v>1576</v>
      </c>
      <c r="F36" s="110" t="s">
        <v>86</v>
      </c>
      <c r="G36" s="110" t="s">
        <v>1297</v>
      </c>
      <c r="H36" s="110" t="s">
        <v>88</v>
      </c>
      <c r="I36" s="110" t="s">
        <v>89</v>
      </c>
      <c r="J36" s="110" t="s">
        <v>1577</v>
      </c>
      <c r="K36" s="110" t="s">
        <v>189</v>
      </c>
      <c r="L36" s="110" t="s">
        <v>88</v>
      </c>
      <c r="M36" s="110" t="s">
        <v>1578</v>
      </c>
      <c r="N36" s="110" t="s">
        <v>1579</v>
      </c>
      <c r="O36" s="110" t="s">
        <v>1580</v>
      </c>
      <c r="P36" s="110" t="s">
        <v>249</v>
      </c>
      <c r="Q36" s="111" t="s">
        <v>88</v>
      </c>
      <c r="R36" s="219" t="s">
        <v>88</v>
      </c>
      <c r="S36" s="111" t="s">
        <v>88</v>
      </c>
      <c r="T36" s="279" t="s">
        <v>88</v>
      </c>
      <c r="U36" s="220" t="s">
        <v>88</v>
      </c>
      <c r="V36" s="111" t="s">
        <v>88</v>
      </c>
      <c r="W36" s="111" t="s">
        <v>88</v>
      </c>
      <c r="X36" s="111" t="s">
        <v>88</v>
      </c>
      <c r="Y36" s="111" t="s">
        <v>88</v>
      </c>
      <c r="Z36" s="111" t="s">
        <v>88</v>
      </c>
      <c r="AA36" s="111" t="s">
        <v>88</v>
      </c>
      <c r="AB36" s="154" t="s">
        <v>88</v>
      </c>
      <c r="AC36" s="111" t="s">
        <v>88</v>
      </c>
      <c r="AD36" s="111" t="s">
        <v>88</v>
      </c>
      <c r="AE36" s="111" t="s">
        <v>88</v>
      </c>
      <c r="AF36" s="111" t="s">
        <v>88</v>
      </c>
      <c r="AG36" s="111" t="s">
        <v>88</v>
      </c>
      <c r="AH36" s="111" t="s">
        <v>88</v>
      </c>
      <c r="AI36" s="111" t="s">
        <v>88</v>
      </c>
      <c r="AJ36" s="111" t="s">
        <v>88</v>
      </c>
      <c r="AK36" s="111" t="s">
        <v>88</v>
      </c>
      <c r="AL36" s="446"/>
      <c r="AM36" s="446"/>
      <c r="AN36" s="446"/>
      <c r="AO36" s="952"/>
      <c r="AP36" s="446"/>
      <c r="AQ36" s="953"/>
      <c r="AR36" s="446"/>
      <c r="AS36" s="775"/>
      <c r="AT36" s="954"/>
      <c r="AU36" s="446"/>
      <c r="AV36" s="446"/>
      <c r="AW36" s="446"/>
      <c r="AX36" s="446"/>
      <c r="AY36" s="446"/>
      <c r="AZ36" s="446"/>
      <c r="BA36" s="446"/>
      <c r="BB36" s="446"/>
      <c r="BC36" s="446"/>
      <c r="BD36" s="446"/>
      <c r="BE36" s="446"/>
      <c r="BF36" s="446"/>
      <c r="BG36" s="446"/>
      <c r="BH36" s="446"/>
      <c r="BI36" s="446"/>
      <c r="BJ36" s="446"/>
      <c r="BK36" s="446"/>
      <c r="BL36" s="446"/>
      <c r="BM36" s="446"/>
      <c r="BN36" s="950"/>
      <c r="BO36" s="446"/>
      <c r="BP36" s="446"/>
      <c r="BQ36" s="446"/>
      <c r="BR36" s="446"/>
      <c r="BS36" s="446"/>
      <c r="BT36" s="446"/>
      <c r="BU36" s="446"/>
      <c r="BV36" s="446"/>
      <c r="BW36" s="446">
        <f t="shared" ref="BW36:BW38" si="6">BR36+BS36+BT36</f>
        <v>0</v>
      </c>
      <c r="BX36" s="446"/>
      <c r="BY36" s="446"/>
      <c r="BZ36" s="446"/>
      <c r="CA36" s="446"/>
      <c r="CB36" s="446"/>
    </row>
    <row r="37" spans="1:80" ht="33" customHeight="1">
      <c r="A37" s="195" t="s">
        <v>1295</v>
      </c>
      <c r="B37" s="108">
        <v>45943</v>
      </c>
      <c r="C37" s="108">
        <v>45946</v>
      </c>
      <c r="D37" s="109">
        <v>2308</v>
      </c>
      <c r="E37" s="170" t="s">
        <v>1581</v>
      </c>
      <c r="F37" s="110" t="s">
        <v>135</v>
      </c>
      <c r="G37" s="110" t="s">
        <v>1297</v>
      </c>
      <c r="H37" s="110" t="s">
        <v>88</v>
      </c>
      <c r="I37" s="110" t="s">
        <v>89</v>
      </c>
      <c r="J37" s="110" t="s">
        <v>1582</v>
      </c>
      <c r="K37" s="110" t="s">
        <v>189</v>
      </c>
      <c r="L37" s="110" t="s">
        <v>88</v>
      </c>
      <c r="M37" s="110" t="s">
        <v>1583</v>
      </c>
      <c r="N37" s="110" t="s">
        <v>1584</v>
      </c>
      <c r="O37" s="110" t="s">
        <v>1585</v>
      </c>
      <c r="P37" s="110" t="s">
        <v>1586</v>
      </c>
      <c r="Q37" s="111" t="s">
        <v>88</v>
      </c>
      <c r="R37" s="219" t="s">
        <v>88</v>
      </c>
      <c r="S37" s="111" t="s">
        <v>88</v>
      </c>
      <c r="T37" s="279" t="s">
        <v>88</v>
      </c>
      <c r="U37" s="220" t="s">
        <v>88</v>
      </c>
      <c r="V37" s="111" t="s">
        <v>88</v>
      </c>
      <c r="W37" s="111" t="s">
        <v>88</v>
      </c>
      <c r="X37" s="111" t="s">
        <v>88</v>
      </c>
      <c r="Y37" s="111" t="s">
        <v>88</v>
      </c>
      <c r="Z37" s="111" t="s">
        <v>88</v>
      </c>
      <c r="AA37" s="111" t="s">
        <v>88</v>
      </c>
      <c r="AB37" s="154" t="s">
        <v>88</v>
      </c>
      <c r="AC37" s="111" t="s">
        <v>88</v>
      </c>
      <c r="AD37" s="111" t="s">
        <v>88</v>
      </c>
      <c r="AE37" s="111" t="s">
        <v>88</v>
      </c>
      <c r="AF37" s="111" t="s">
        <v>88</v>
      </c>
      <c r="AG37" s="111" t="s">
        <v>88</v>
      </c>
      <c r="AH37" s="111" t="s">
        <v>88</v>
      </c>
      <c r="AI37" s="111" t="s">
        <v>88</v>
      </c>
      <c r="AJ37" s="111" t="s">
        <v>88</v>
      </c>
      <c r="AK37" s="111" t="s">
        <v>88</v>
      </c>
      <c r="AL37" s="446"/>
      <c r="AM37" s="446"/>
      <c r="AN37" s="446"/>
      <c r="AO37" s="952"/>
      <c r="AP37" s="446"/>
      <c r="AQ37" s="953"/>
      <c r="AR37" s="446"/>
      <c r="AS37" s="775"/>
      <c r="AT37" s="954"/>
      <c r="AU37" s="446"/>
      <c r="AV37" s="446"/>
      <c r="AW37" s="446"/>
      <c r="AX37" s="446"/>
      <c r="AY37" s="446"/>
      <c r="AZ37" s="446"/>
      <c r="BA37" s="446"/>
      <c r="BB37" s="446"/>
      <c r="BC37" s="446"/>
      <c r="BD37" s="446"/>
      <c r="BE37" s="446"/>
      <c r="BF37" s="446"/>
      <c r="BG37" s="446"/>
      <c r="BH37" s="446"/>
      <c r="BI37" s="446"/>
      <c r="BJ37" s="446"/>
      <c r="BK37" s="446"/>
      <c r="BL37" s="446"/>
      <c r="BM37" s="446"/>
      <c r="BN37" s="950"/>
      <c r="BO37" s="446"/>
      <c r="BP37" s="446"/>
      <c r="BQ37" s="446"/>
      <c r="BR37" s="446"/>
      <c r="BS37" s="446"/>
      <c r="BT37" s="446"/>
      <c r="BU37" s="446"/>
      <c r="BV37" s="446"/>
      <c r="BW37" s="446">
        <f t="shared" si="6"/>
        <v>0</v>
      </c>
      <c r="BX37" s="446"/>
      <c r="BY37" s="446"/>
      <c r="BZ37" s="446"/>
      <c r="CA37" s="446"/>
      <c r="CB37" s="446"/>
    </row>
    <row r="38" spans="1:80" ht="47.5" customHeight="1">
      <c r="A38" s="195" t="s">
        <v>1295</v>
      </c>
      <c r="B38" s="108">
        <v>45943</v>
      </c>
      <c r="C38" s="108">
        <v>45946</v>
      </c>
      <c r="D38" s="109">
        <v>2317</v>
      </c>
      <c r="E38" s="170" t="s">
        <v>1587</v>
      </c>
      <c r="F38" s="110" t="s">
        <v>135</v>
      </c>
      <c r="G38" s="110" t="s">
        <v>1297</v>
      </c>
      <c r="H38" s="110" t="s">
        <v>88</v>
      </c>
      <c r="I38" s="110" t="s">
        <v>89</v>
      </c>
      <c r="J38" s="110" t="s">
        <v>1588</v>
      </c>
      <c r="K38" s="110" t="s">
        <v>169</v>
      </c>
      <c r="L38" s="110" t="s">
        <v>88</v>
      </c>
      <c r="M38" s="110" t="s">
        <v>1589</v>
      </c>
      <c r="N38" s="110" t="s">
        <v>1590</v>
      </c>
      <c r="O38" s="110" t="s">
        <v>1591</v>
      </c>
      <c r="P38" s="110" t="s">
        <v>140</v>
      </c>
      <c r="Q38" s="111" t="s">
        <v>88</v>
      </c>
      <c r="R38" s="219" t="s">
        <v>88</v>
      </c>
      <c r="S38" s="111" t="s">
        <v>88</v>
      </c>
      <c r="T38" s="279" t="s">
        <v>88</v>
      </c>
      <c r="U38" s="220" t="s">
        <v>88</v>
      </c>
      <c r="V38" s="111" t="s">
        <v>88</v>
      </c>
      <c r="W38" s="111" t="s">
        <v>88</v>
      </c>
      <c r="X38" s="111" t="s">
        <v>88</v>
      </c>
      <c r="Y38" s="111" t="s">
        <v>88</v>
      </c>
      <c r="Z38" s="111" t="s">
        <v>88</v>
      </c>
      <c r="AA38" s="111" t="s">
        <v>88</v>
      </c>
      <c r="AB38" s="154" t="s">
        <v>88</v>
      </c>
      <c r="AC38" s="111" t="s">
        <v>88</v>
      </c>
      <c r="AD38" s="111" t="s">
        <v>88</v>
      </c>
      <c r="AE38" s="111" t="s">
        <v>88</v>
      </c>
      <c r="AF38" s="111" t="s">
        <v>88</v>
      </c>
      <c r="AG38" s="111" t="s">
        <v>88</v>
      </c>
      <c r="AH38" s="111" t="s">
        <v>88</v>
      </c>
      <c r="AI38" s="111" t="s">
        <v>88</v>
      </c>
      <c r="AJ38" s="111" t="s">
        <v>88</v>
      </c>
      <c r="AK38" s="111" t="s">
        <v>88</v>
      </c>
      <c r="AL38" s="446"/>
      <c r="AM38" s="446"/>
      <c r="AN38" s="446"/>
      <c r="AO38" s="952"/>
      <c r="AP38" s="446"/>
      <c r="AQ38" s="953"/>
      <c r="AR38" s="446"/>
      <c r="AS38" s="775"/>
      <c r="AT38" s="954"/>
      <c r="AU38" s="446"/>
      <c r="AV38" s="446"/>
      <c r="AW38" s="446"/>
      <c r="AX38" s="446"/>
      <c r="AY38" s="446"/>
      <c r="AZ38" s="446"/>
      <c r="BA38" s="446"/>
      <c r="BB38" s="446"/>
      <c r="BC38" s="446"/>
      <c r="BD38" s="446"/>
      <c r="BE38" s="446"/>
      <c r="BF38" s="446"/>
      <c r="BG38" s="446"/>
      <c r="BH38" s="446"/>
      <c r="BI38" s="446"/>
      <c r="BJ38" s="446"/>
      <c r="BK38" s="446"/>
      <c r="BL38" s="446"/>
      <c r="BM38" s="446"/>
      <c r="BN38" s="950"/>
      <c r="BO38" s="446"/>
      <c r="BP38" s="446"/>
      <c r="BQ38" s="446"/>
      <c r="BR38" s="446"/>
      <c r="BS38" s="446"/>
      <c r="BT38" s="446"/>
      <c r="BU38" s="446"/>
      <c r="BV38" s="446"/>
      <c r="BW38" s="446">
        <f t="shared" si="6"/>
        <v>0</v>
      </c>
      <c r="BX38" s="446"/>
      <c r="BY38" s="446"/>
      <c r="BZ38" s="446"/>
      <c r="CA38" s="446"/>
      <c r="CB38" s="446"/>
    </row>
    <row r="39" spans="1:80" ht="29.25" customHeight="1">
      <c r="A39" s="1085" t="s">
        <v>1295</v>
      </c>
      <c r="B39" s="1087">
        <v>45943</v>
      </c>
      <c r="C39" s="1087">
        <v>45946</v>
      </c>
      <c r="D39" s="1083">
        <v>2349</v>
      </c>
      <c r="E39" s="1081" t="s">
        <v>1592</v>
      </c>
      <c r="F39" s="1087" t="s">
        <v>167</v>
      </c>
      <c r="G39" s="1087" t="s">
        <v>1297</v>
      </c>
      <c r="H39" s="1087" t="s">
        <v>88</v>
      </c>
      <c r="I39" s="1087" t="s">
        <v>89</v>
      </c>
      <c r="J39" s="1087" t="s">
        <v>1593</v>
      </c>
      <c r="K39" s="1087" t="s">
        <v>318</v>
      </c>
      <c r="L39" s="1087" t="s">
        <v>88</v>
      </c>
      <c r="M39" s="1087" t="s">
        <v>1594</v>
      </c>
      <c r="N39" s="1087" t="s">
        <v>1595</v>
      </c>
      <c r="O39" s="1087" t="s">
        <v>1596</v>
      </c>
      <c r="P39" s="1087" t="s">
        <v>714</v>
      </c>
      <c r="Q39" s="1087" t="s">
        <v>110</v>
      </c>
      <c r="R39" s="1099" t="s">
        <v>1597</v>
      </c>
      <c r="S39" s="1087" t="s">
        <v>97</v>
      </c>
      <c r="T39" s="1104">
        <v>2</v>
      </c>
      <c r="U39" s="1105" t="s">
        <v>1598</v>
      </c>
      <c r="V39" s="1087" t="s">
        <v>1599</v>
      </c>
      <c r="W39" s="1006" t="s">
        <v>1600</v>
      </c>
      <c r="X39" s="963" t="s">
        <v>1601</v>
      </c>
      <c r="Y39" s="963" t="s">
        <v>1602</v>
      </c>
      <c r="Z39" s="1006" t="s">
        <v>1603</v>
      </c>
      <c r="AA39" s="1091" t="s">
        <v>1604</v>
      </c>
      <c r="AB39" s="1108" t="s">
        <v>1314</v>
      </c>
      <c r="AD39" s="1087" t="s">
        <v>88</v>
      </c>
      <c r="AE39" s="1087" t="s">
        <v>88</v>
      </c>
      <c r="AF39" s="1087" t="s">
        <v>88</v>
      </c>
      <c r="AG39" s="1087" t="s">
        <v>88</v>
      </c>
      <c r="AH39" s="1087" t="s">
        <v>88</v>
      </c>
      <c r="AI39" s="1087" t="s">
        <v>376</v>
      </c>
      <c r="AJ39" s="1087" t="s">
        <v>88</v>
      </c>
      <c r="AK39" s="1087" t="s">
        <v>88</v>
      </c>
      <c r="AL39" s="331" t="s">
        <v>1598</v>
      </c>
      <c r="AM39" s="331" t="s">
        <v>1599</v>
      </c>
      <c r="AN39" s="331" t="s">
        <v>1600</v>
      </c>
      <c r="AO39" s="336">
        <v>4917642090666</v>
      </c>
      <c r="AP39" s="337" t="s">
        <v>995</v>
      </c>
      <c r="AQ39" s="331" t="s">
        <v>98</v>
      </c>
      <c r="AR39" s="337" t="s">
        <v>121</v>
      </c>
      <c r="AS39" s="350" t="s">
        <v>1542</v>
      </c>
      <c r="AT39" s="351">
        <v>45943</v>
      </c>
      <c r="AU39" s="339">
        <v>0.4861111111111111</v>
      </c>
      <c r="AV39" s="350" t="s">
        <v>1542</v>
      </c>
      <c r="AW39" s="348">
        <v>45945</v>
      </c>
      <c r="AX39" s="339">
        <v>0.86458333333333337</v>
      </c>
      <c r="AY39" s="331" t="s">
        <v>1006</v>
      </c>
      <c r="AZ39" s="337" t="s">
        <v>1605</v>
      </c>
      <c r="BA39" s="111" t="s">
        <v>98</v>
      </c>
      <c r="BB39" s="111" t="s">
        <v>98</v>
      </c>
      <c r="BC39" s="111" t="s">
        <v>98</v>
      </c>
      <c r="BD39" s="111" t="s">
        <v>98</v>
      </c>
      <c r="BE39" s="710" t="s">
        <v>1542</v>
      </c>
      <c r="BF39" s="111" t="s">
        <v>126</v>
      </c>
      <c r="BG39" s="705">
        <v>45943</v>
      </c>
      <c r="BH39" s="706">
        <v>0.4861111111111111</v>
      </c>
      <c r="BI39" s="697" t="s">
        <v>1606</v>
      </c>
      <c r="BJ39" s="710" t="s">
        <v>1542</v>
      </c>
      <c r="BK39" s="705">
        <v>45945</v>
      </c>
      <c r="BL39" s="706">
        <v>0.86458333333333337</v>
      </c>
      <c r="BM39" s="697" t="s">
        <v>1607</v>
      </c>
      <c r="BN39" s="707" t="s">
        <v>1608</v>
      </c>
      <c r="BO39" s="111"/>
      <c r="BP39" s="111"/>
      <c r="BQ39" s="111"/>
      <c r="BR39" s="132">
        <v>1</v>
      </c>
      <c r="BS39" s="132">
        <v>1</v>
      </c>
      <c r="BT39" s="619">
        <v>0</v>
      </c>
      <c r="BU39" s="111" t="s">
        <v>1325</v>
      </c>
      <c r="BV39" s="483">
        <v>45945</v>
      </c>
      <c r="BW39" s="111">
        <f t="shared" si="0"/>
        <v>2</v>
      </c>
      <c r="BX39" s="111"/>
      <c r="BY39" s="111"/>
      <c r="BZ39" s="391" t="s">
        <v>1609</v>
      </c>
      <c r="CA39" s="926" t="s">
        <v>1610</v>
      </c>
      <c r="CB39" s="111"/>
    </row>
    <row r="40" spans="1:80" ht="37.5" customHeight="1">
      <c r="A40" s="1086"/>
      <c r="B40" s="1005"/>
      <c r="C40" s="1005"/>
      <c r="D40" s="1083"/>
      <c r="E40" s="1082" t="s">
        <v>88</v>
      </c>
      <c r="F40" s="1005" t="s">
        <v>88</v>
      </c>
      <c r="G40" s="1005" t="s">
        <v>88</v>
      </c>
      <c r="H40" s="1005" t="s">
        <v>88</v>
      </c>
      <c r="I40" s="1005" t="s">
        <v>88</v>
      </c>
      <c r="J40" s="1005" t="s">
        <v>88</v>
      </c>
      <c r="K40" s="1005" t="s">
        <v>88</v>
      </c>
      <c r="L40" s="1005" t="s">
        <v>88</v>
      </c>
      <c r="M40" s="1005" t="s">
        <v>88</v>
      </c>
      <c r="N40" s="1005" t="s">
        <v>88</v>
      </c>
      <c r="O40" s="1005" t="s">
        <v>88</v>
      </c>
      <c r="P40" s="1005" t="s">
        <v>88</v>
      </c>
      <c r="Q40" s="1005" t="s">
        <v>88</v>
      </c>
      <c r="R40" s="1099" t="s">
        <v>88</v>
      </c>
      <c r="S40" s="1005" t="s">
        <v>88</v>
      </c>
      <c r="T40" s="1104" t="s">
        <v>88</v>
      </c>
      <c r="U40" s="1106" t="s">
        <v>88</v>
      </c>
      <c r="V40" s="1005" t="s">
        <v>88</v>
      </c>
      <c r="W40" s="1006" t="s">
        <v>88</v>
      </c>
      <c r="X40" s="963"/>
      <c r="Y40" s="963" t="s">
        <v>88</v>
      </c>
      <c r="Z40" s="1006" t="s">
        <v>88</v>
      </c>
      <c r="AA40" s="1005" t="s">
        <v>88</v>
      </c>
      <c r="AB40" s="1108" t="s">
        <v>88</v>
      </c>
      <c r="AD40" s="1005" t="s">
        <v>88</v>
      </c>
      <c r="AE40" s="1005" t="s">
        <v>88</v>
      </c>
      <c r="AF40" s="1005" t="s">
        <v>88</v>
      </c>
      <c r="AG40" s="1005" t="s">
        <v>88</v>
      </c>
      <c r="AH40" s="1005" t="s">
        <v>88</v>
      </c>
      <c r="AI40" s="1005" t="s">
        <v>88</v>
      </c>
      <c r="AJ40" s="1005" t="s">
        <v>88</v>
      </c>
      <c r="AK40" s="1005" t="s">
        <v>88</v>
      </c>
      <c r="AL40" s="331" t="s">
        <v>1601</v>
      </c>
      <c r="AM40" s="331" t="s">
        <v>1602</v>
      </c>
      <c r="AN40" s="331" t="s">
        <v>1603</v>
      </c>
      <c r="AO40" s="352">
        <v>33744316245</v>
      </c>
      <c r="AP40" s="350" t="s">
        <v>995</v>
      </c>
      <c r="AQ40" s="331" t="s">
        <v>98</v>
      </c>
      <c r="AR40" s="350" t="s">
        <v>154</v>
      </c>
      <c r="AS40" s="350" t="s">
        <v>422</v>
      </c>
      <c r="AT40" s="351">
        <v>45943</v>
      </c>
      <c r="AU40" s="350" t="s">
        <v>1611</v>
      </c>
      <c r="AV40" s="350" t="s">
        <v>422</v>
      </c>
      <c r="AW40" s="353">
        <v>45945</v>
      </c>
      <c r="AX40" s="350" t="s">
        <v>1612</v>
      </c>
      <c r="AY40" s="331" t="s">
        <v>1006</v>
      </c>
      <c r="AZ40" s="331"/>
      <c r="BA40" s="111" t="s">
        <v>98</v>
      </c>
      <c r="BB40" s="111" t="s">
        <v>98</v>
      </c>
      <c r="BC40" s="111" t="s">
        <v>98</v>
      </c>
      <c r="BD40" s="111" t="s">
        <v>98</v>
      </c>
      <c r="BE40" s="711" t="s">
        <v>422</v>
      </c>
      <c r="BF40" s="111" t="s">
        <v>126</v>
      </c>
      <c r="BG40" s="712">
        <v>45943</v>
      </c>
      <c r="BH40" s="713">
        <v>0.72499999999999998</v>
      </c>
      <c r="BI40" s="714" t="s">
        <v>1613</v>
      </c>
      <c r="BJ40" s="711" t="s">
        <v>422</v>
      </c>
      <c r="BK40" s="712">
        <v>45945</v>
      </c>
      <c r="BL40" s="713">
        <v>0.77986111111111112</v>
      </c>
      <c r="BM40" s="714" t="s">
        <v>1614</v>
      </c>
      <c r="BN40" s="719" t="s">
        <v>1615</v>
      </c>
      <c r="BO40" s="111"/>
      <c r="BP40" s="111"/>
      <c r="BQ40" s="111"/>
      <c r="BR40" s="132">
        <v>1</v>
      </c>
      <c r="BS40" s="132">
        <v>1</v>
      </c>
      <c r="BT40" s="619">
        <v>0</v>
      </c>
      <c r="BU40" s="111" t="s">
        <v>1325</v>
      </c>
      <c r="BV40" s="483">
        <v>45945</v>
      </c>
      <c r="BW40" s="111">
        <f t="shared" si="0"/>
        <v>2</v>
      </c>
      <c r="BX40" s="111"/>
      <c r="BY40" s="111"/>
      <c r="BZ40" s="391" t="s">
        <v>1609</v>
      </c>
      <c r="CA40" s="926" t="s">
        <v>1610</v>
      </c>
      <c r="CB40" s="111"/>
    </row>
    <row r="41" spans="1:80" ht="29.25" customHeight="1">
      <c r="A41" s="1085" t="s">
        <v>1295</v>
      </c>
      <c r="B41" s="1087">
        <v>45943</v>
      </c>
      <c r="C41" s="1087">
        <v>45946</v>
      </c>
      <c r="D41" s="1088">
        <v>2366</v>
      </c>
      <c r="E41" s="1097" t="s">
        <v>1616</v>
      </c>
      <c r="F41" s="1087" t="s">
        <v>135</v>
      </c>
      <c r="G41" s="1087" t="s">
        <v>1297</v>
      </c>
      <c r="H41" s="1087" t="s">
        <v>88</v>
      </c>
      <c r="I41" s="1087" t="s">
        <v>89</v>
      </c>
      <c r="J41" s="1087" t="s">
        <v>1617</v>
      </c>
      <c r="K41" s="1087" t="s">
        <v>1550</v>
      </c>
      <c r="L41" s="1087" t="s">
        <v>88</v>
      </c>
      <c r="M41" s="1087" t="s">
        <v>1618</v>
      </c>
      <c r="N41" s="1087" t="s">
        <v>1619</v>
      </c>
      <c r="O41" s="1087" t="s">
        <v>1620</v>
      </c>
      <c r="P41" s="1087" t="s">
        <v>249</v>
      </c>
      <c r="Q41" s="1087" t="s">
        <v>110</v>
      </c>
      <c r="R41" s="1115" t="s">
        <v>1621</v>
      </c>
      <c r="S41" s="1124" t="s">
        <v>97</v>
      </c>
      <c r="T41" s="1125">
        <v>2</v>
      </c>
      <c r="U41" s="1126" t="s">
        <v>1622</v>
      </c>
      <c r="V41" s="1127" t="s">
        <v>1622</v>
      </c>
      <c r="W41" s="1127" t="s">
        <v>1622</v>
      </c>
      <c r="X41" s="1127" t="s">
        <v>1622</v>
      </c>
      <c r="Y41" s="1127" t="s">
        <v>1622</v>
      </c>
      <c r="Z41" s="1127" t="s">
        <v>1622</v>
      </c>
      <c r="AA41" s="1087" t="s">
        <v>97</v>
      </c>
      <c r="AB41" s="1108">
        <v>2</v>
      </c>
      <c r="AC41" s="1097" t="s">
        <v>1622</v>
      </c>
      <c r="AD41" s="1097" t="s">
        <v>1622</v>
      </c>
      <c r="AE41" s="1097" t="s">
        <v>1622</v>
      </c>
      <c r="AF41" s="1097" t="s">
        <v>1622</v>
      </c>
      <c r="AG41" s="1097" t="s">
        <v>1622</v>
      </c>
      <c r="AH41" s="1097" t="s">
        <v>1622</v>
      </c>
      <c r="AI41" s="1087" t="s">
        <v>376</v>
      </c>
      <c r="AJ41" s="1087" t="s">
        <v>88</v>
      </c>
      <c r="AK41" s="1087" t="s">
        <v>88</v>
      </c>
      <c r="AL41" s="111" t="s">
        <v>1622</v>
      </c>
      <c r="AM41" s="111" t="s">
        <v>1622</v>
      </c>
      <c r="AN41" s="111" t="s">
        <v>1622</v>
      </c>
      <c r="AO41" s="194"/>
      <c r="AP41" s="111"/>
      <c r="AQ41" s="111" t="s">
        <v>98</v>
      </c>
      <c r="AR41" s="111"/>
      <c r="AS41" s="111"/>
      <c r="AT41" s="214"/>
      <c r="AU41" s="111"/>
      <c r="AV41" s="111"/>
      <c r="AW41" s="111"/>
      <c r="AX41" s="111"/>
      <c r="AY41" s="111" t="s">
        <v>98</v>
      </c>
      <c r="AZ41" s="111"/>
      <c r="BA41" s="111"/>
      <c r="BB41" s="111"/>
      <c r="BC41" s="111"/>
      <c r="BD41" s="111"/>
      <c r="BE41" s="111"/>
      <c r="BF41" s="111"/>
      <c r="BG41" s="111"/>
      <c r="BH41" s="111"/>
      <c r="BI41" s="111"/>
      <c r="BJ41" s="111"/>
      <c r="BK41" s="111"/>
      <c r="BL41" s="111"/>
      <c r="BM41" s="111"/>
      <c r="BN41" s="720"/>
      <c r="BO41" s="111"/>
      <c r="BP41" s="111"/>
      <c r="BQ41" s="111"/>
      <c r="BR41" s="456"/>
      <c r="BS41" s="456"/>
      <c r="BT41" s="456"/>
      <c r="BU41" s="111"/>
      <c r="BV41" s="111"/>
      <c r="BW41" s="111">
        <f t="shared" si="0"/>
        <v>0</v>
      </c>
      <c r="BX41" s="111"/>
      <c r="BY41" s="111"/>
      <c r="BZ41" s="111"/>
      <c r="CA41" s="111"/>
      <c r="CB41" s="111"/>
    </row>
    <row r="42" spans="1:80" ht="23" customHeight="1">
      <c r="A42" s="1086"/>
      <c r="B42" s="1005"/>
      <c r="C42" s="1005"/>
      <c r="D42" s="1088"/>
      <c r="E42" s="1098" t="s">
        <v>88</v>
      </c>
      <c r="F42" s="1005" t="s">
        <v>88</v>
      </c>
      <c r="G42" s="1005" t="s">
        <v>88</v>
      </c>
      <c r="H42" s="1005" t="s">
        <v>88</v>
      </c>
      <c r="I42" s="1005" t="s">
        <v>88</v>
      </c>
      <c r="J42" s="1005" t="s">
        <v>88</v>
      </c>
      <c r="K42" s="1005" t="s">
        <v>88</v>
      </c>
      <c r="L42" s="1005" t="s">
        <v>88</v>
      </c>
      <c r="M42" s="1005" t="s">
        <v>88</v>
      </c>
      <c r="N42" s="1005" t="s">
        <v>88</v>
      </c>
      <c r="O42" s="1005" t="s">
        <v>88</v>
      </c>
      <c r="P42" s="1005" t="s">
        <v>88</v>
      </c>
      <c r="Q42" s="1005" t="s">
        <v>88</v>
      </c>
      <c r="R42" s="1115" t="s">
        <v>88</v>
      </c>
      <c r="S42" s="1005" t="s">
        <v>88</v>
      </c>
      <c r="T42" s="1104" t="s">
        <v>88</v>
      </c>
      <c r="U42" s="1106" t="s">
        <v>88</v>
      </c>
      <c r="V42" s="1005" t="s">
        <v>88</v>
      </c>
      <c r="W42" s="1005" t="s">
        <v>88</v>
      </c>
      <c r="X42" s="1005" t="s">
        <v>88</v>
      </c>
      <c r="Y42" s="1005" t="s">
        <v>88</v>
      </c>
      <c r="Z42" s="1005" t="s">
        <v>88</v>
      </c>
      <c r="AA42" s="1005" t="s">
        <v>88</v>
      </c>
      <c r="AB42" s="1108" t="s">
        <v>88</v>
      </c>
      <c r="AC42" s="1098" t="s">
        <v>88</v>
      </c>
      <c r="AD42" s="1098" t="s">
        <v>88</v>
      </c>
      <c r="AE42" s="1098" t="s">
        <v>88</v>
      </c>
      <c r="AF42" s="1098" t="s">
        <v>88</v>
      </c>
      <c r="AG42" s="1098" t="s">
        <v>88</v>
      </c>
      <c r="AH42" s="1098" t="s">
        <v>88</v>
      </c>
      <c r="AI42" s="1005" t="s">
        <v>88</v>
      </c>
      <c r="AJ42" s="1005" t="s">
        <v>88</v>
      </c>
      <c r="AK42" s="1005" t="s">
        <v>88</v>
      </c>
      <c r="AL42" s="111" t="s">
        <v>1622</v>
      </c>
      <c r="AM42" s="111" t="s">
        <v>1622</v>
      </c>
      <c r="AN42" s="111" t="s">
        <v>1622</v>
      </c>
      <c r="AO42" s="194"/>
      <c r="AP42" s="111"/>
      <c r="AQ42" s="111" t="s">
        <v>98</v>
      </c>
      <c r="AR42" s="111"/>
      <c r="AS42" s="111"/>
      <c r="AT42" s="214"/>
      <c r="AU42" s="111"/>
      <c r="AV42" s="111"/>
      <c r="AW42" s="111"/>
      <c r="AX42" s="111"/>
      <c r="AY42" s="111" t="s">
        <v>98</v>
      </c>
      <c r="AZ42" s="111"/>
      <c r="BA42" s="111"/>
      <c r="BB42" s="111"/>
      <c r="BC42" s="111"/>
      <c r="BD42" s="111"/>
      <c r="BE42" s="111"/>
      <c r="BF42" s="111"/>
      <c r="BG42" s="111"/>
      <c r="BH42" s="111"/>
      <c r="BI42" s="111"/>
      <c r="BJ42" s="111"/>
      <c r="BK42" s="111"/>
      <c r="BL42" s="111"/>
      <c r="BM42" s="111"/>
      <c r="BN42" s="720"/>
      <c r="BO42" s="111"/>
      <c r="BP42" s="111"/>
      <c r="BQ42" s="111"/>
      <c r="BR42" s="456"/>
      <c r="BS42" s="456"/>
      <c r="BT42" s="456"/>
      <c r="BU42" s="111"/>
      <c r="BV42" s="111"/>
      <c r="BW42" s="111">
        <f t="shared" si="0"/>
        <v>0</v>
      </c>
      <c r="BX42" s="111"/>
      <c r="BY42" s="111"/>
      <c r="BZ42" s="111"/>
      <c r="CA42" s="111"/>
      <c r="CB42" s="111"/>
    </row>
    <row r="43" spans="1:80" ht="28" customHeight="1">
      <c r="A43" s="195" t="s">
        <v>1295</v>
      </c>
      <c r="B43" s="108">
        <v>45943</v>
      </c>
      <c r="C43" s="108">
        <v>45946</v>
      </c>
      <c r="D43" s="109">
        <v>2384</v>
      </c>
      <c r="E43" s="170" t="s">
        <v>1623</v>
      </c>
      <c r="F43" s="110" t="s">
        <v>135</v>
      </c>
      <c r="G43" s="110" t="s">
        <v>1297</v>
      </c>
      <c r="H43" s="110" t="s">
        <v>88</v>
      </c>
      <c r="I43" s="110" t="s">
        <v>89</v>
      </c>
      <c r="J43" s="110" t="s">
        <v>103</v>
      </c>
      <c r="K43" s="110" t="s">
        <v>104</v>
      </c>
      <c r="L43" s="110" t="s">
        <v>88</v>
      </c>
      <c r="M43" s="110" t="s">
        <v>105</v>
      </c>
      <c r="N43" s="110" t="s">
        <v>106</v>
      </c>
      <c r="O43" s="110" t="s">
        <v>107</v>
      </c>
      <c r="P43" s="110" t="s">
        <v>108</v>
      </c>
      <c r="Q43" s="111" t="s">
        <v>88</v>
      </c>
      <c r="R43" s="219" t="s">
        <v>88</v>
      </c>
      <c r="S43" s="111" t="s">
        <v>88</v>
      </c>
      <c r="T43" s="279" t="s">
        <v>88</v>
      </c>
      <c r="U43" s="220" t="s">
        <v>88</v>
      </c>
      <c r="V43" s="111" t="s">
        <v>88</v>
      </c>
      <c r="W43" s="111" t="s">
        <v>88</v>
      </c>
      <c r="X43" s="111" t="s">
        <v>88</v>
      </c>
      <c r="Y43" s="111" t="s">
        <v>88</v>
      </c>
      <c r="Z43" s="111" t="s">
        <v>88</v>
      </c>
      <c r="AA43" s="111" t="s">
        <v>88</v>
      </c>
      <c r="AB43" s="154" t="s">
        <v>88</v>
      </c>
      <c r="AC43" s="111" t="s">
        <v>88</v>
      </c>
      <c r="AD43" s="111" t="s">
        <v>88</v>
      </c>
      <c r="AE43" s="111" t="s">
        <v>88</v>
      </c>
      <c r="AF43" s="111" t="s">
        <v>88</v>
      </c>
      <c r="AG43" s="111" t="s">
        <v>88</v>
      </c>
      <c r="AH43" s="111" t="s">
        <v>88</v>
      </c>
      <c r="AI43" s="111" t="s">
        <v>88</v>
      </c>
      <c r="AJ43" s="111" t="s">
        <v>88</v>
      </c>
      <c r="AK43" s="111" t="s">
        <v>88</v>
      </c>
      <c r="AL43" s="446"/>
      <c r="AM43" s="446"/>
      <c r="AN43" s="446"/>
      <c r="AO43" s="952"/>
      <c r="AP43" s="446"/>
      <c r="AQ43" s="953"/>
      <c r="AR43" s="446"/>
      <c r="AS43" s="775"/>
      <c r="AT43" s="954"/>
      <c r="AU43" s="446"/>
      <c r="AV43" s="446"/>
      <c r="AW43" s="446"/>
      <c r="AX43" s="446"/>
      <c r="AY43" s="446"/>
      <c r="AZ43" s="446"/>
      <c r="BA43" s="446"/>
      <c r="BB43" s="446"/>
      <c r="BC43" s="446"/>
      <c r="BD43" s="446"/>
      <c r="BE43" s="446"/>
      <c r="BF43" s="446"/>
      <c r="BG43" s="446"/>
      <c r="BH43" s="446"/>
      <c r="BI43" s="446"/>
      <c r="BJ43" s="446"/>
      <c r="BK43" s="446"/>
      <c r="BL43" s="446"/>
      <c r="BM43" s="446"/>
      <c r="BN43" s="950"/>
      <c r="BO43" s="446"/>
      <c r="BP43" s="446"/>
      <c r="BQ43" s="446"/>
      <c r="BR43" s="446"/>
      <c r="BS43" s="446"/>
      <c r="BT43" s="446"/>
      <c r="BU43" s="446"/>
      <c r="BV43" s="446"/>
      <c r="BW43" s="446">
        <f t="shared" ref="BW43:BW45" si="7">BR43+BS43+BT43</f>
        <v>0</v>
      </c>
      <c r="BX43" s="446"/>
      <c r="BY43" s="446"/>
      <c r="BZ43" s="446"/>
      <c r="CA43" s="446"/>
      <c r="CB43" s="446"/>
    </row>
    <row r="44" spans="1:80" ht="30" customHeight="1">
      <c r="A44" s="195" t="s">
        <v>1295</v>
      </c>
      <c r="B44" s="108">
        <v>45943</v>
      </c>
      <c r="C44" s="108">
        <v>45946</v>
      </c>
      <c r="D44" s="109">
        <v>2401</v>
      </c>
      <c r="E44" s="170" t="s">
        <v>1624</v>
      </c>
      <c r="F44" s="110" t="s">
        <v>135</v>
      </c>
      <c r="G44" s="110" t="s">
        <v>1297</v>
      </c>
      <c r="H44" s="110" t="s">
        <v>88</v>
      </c>
      <c r="I44" s="110" t="s">
        <v>89</v>
      </c>
      <c r="J44" s="110" t="s">
        <v>594</v>
      </c>
      <c r="K44" s="110" t="s">
        <v>189</v>
      </c>
      <c r="L44" s="110" t="s">
        <v>88</v>
      </c>
      <c r="M44" s="110" t="s">
        <v>1625</v>
      </c>
      <c r="N44" s="116" t="s">
        <v>1626</v>
      </c>
      <c r="O44" s="110" t="s">
        <v>1627</v>
      </c>
      <c r="P44" s="110" t="s">
        <v>1628</v>
      </c>
      <c r="Q44" s="111" t="s">
        <v>88</v>
      </c>
      <c r="R44" s="219" t="s">
        <v>88</v>
      </c>
      <c r="S44" s="111" t="s">
        <v>88</v>
      </c>
      <c r="T44" s="279" t="s">
        <v>88</v>
      </c>
      <c r="U44" s="220" t="s">
        <v>88</v>
      </c>
      <c r="V44" s="111" t="s">
        <v>88</v>
      </c>
      <c r="W44" s="111" t="s">
        <v>88</v>
      </c>
      <c r="X44" s="111" t="s">
        <v>88</v>
      </c>
      <c r="Y44" s="111" t="s">
        <v>88</v>
      </c>
      <c r="Z44" s="111" t="s">
        <v>88</v>
      </c>
      <c r="AA44" s="111" t="s">
        <v>88</v>
      </c>
      <c r="AB44" s="154" t="s">
        <v>88</v>
      </c>
      <c r="AC44" s="111" t="s">
        <v>88</v>
      </c>
      <c r="AD44" s="111" t="s">
        <v>88</v>
      </c>
      <c r="AE44" s="111" t="s">
        <v>88</v>
      </c>
      <c r="AF44" s="111" t="s">
        <v>88</v>
      </c>
      <c r="AG44" s="111" t="s">
        <v>88</v>
      </c>
      <c r="AH44" s="111" t="s">
        <v>88</v>
      </c>
      <c r="AI44" s="111" t="s">
        <v>88</v>
      </c>
      <c r="AJ44" s="111" t="s">
        <v>88</v>
      </c>
      <c r="AK44" s="111" t="s">
        <v>88</v>
      </c>
      <c r="AL44" s="446"/>
      <c r="AM44" s="446"/>
      <c r="AN44" s="446"/>
      <c r="AO44" s="952"/>
      <c r="AP44" s="446"/>
      <c r="AQ44" s="953"/>
      <c r="AR44" s="446"/>
      <c r="AS44" s="775"/>
      <c r="AT44" s="954"/>
      <c r="AU44" s="446"/>
      <c r="AV44" s="446"/>
      <c r="AW44" s="446"/>
      <c r="AX44" s="446"/>
      <c r="AY44" s="446"/>
      <c r="AZ44" s="446"/>
      <c r="BA44" s="446"/>
      <c r="BB44" s="446"/>
      <c r="BC44" s="446"/>
      <c r="BD44" s="446"/>
      <c r="BE44" s="446"/>
      <c r="BF44" s="446"/>
      <c r="BG44" s="446"/>
      <c r="BH44" s="446"/>
      <c r="BI44" s="446"/>
      <c r="BJ44" s="446"/>
      <c r="BK44" s="446"/>
      <c r="BL44" s="446"/>
      <c r="BM44" s="446"/>
      <c r="BN44" s="950"/>
      <c r="BO44" s="446"/>
      <c r="BP44" s="446"/>
      <c r="BQ44" s="446"/>
      <c r="BR44" s="446"/>
      <c r="BS44" s="446"/>
      <c r="BT44" s="446"/>
      <c r="BU44" s="446"/>
      <c r="BV44" s="446"/>
      <c r="BW44" s="446">
        <f t="shared" si="7"/>
        <v>0</v>
      </c>
      <c r="BX44" s="446"/>
      <c r="BY44" s="446"/>
      <c r="BZ44" s="446"/>
      <c r="CA44" s="446"/>
      <c r="CB44" s="446"/>
    </row>
    <row r="45" spans="1:80" ht="32.5" customHeight="1">
      <c r="A45" s="195" t="s">
        <v>1295</v>
      </c>
      <c r="B45" s="108">
        <v>45943</v>
      </c>
      <c r="C45" s="108">
        <v>45946</v>
      </c>
      <c r="D45" s="109">
        <v>2417</v>
      </c>
      <c r="E45" s="170" t="s">
        <v>1629</v>
      </c>
      <c r="F45" s="110" t="s">
        <v>135</v>
      </c>
      <c r="G45" s="110" t="s">
        <v>1297</v>
      </c>
      <c r="H45" s="110" t="s">
        <v>88</v>
      </c>
      <c r="I45" s="110" t="s">
        <v>89</v>
      </c>
      <c r="J45" s="110" t="s">
        <v>1630</v>
      </c>
      <c r="K45" s="110" t="s">
        <v>189</v>
      </c>
      <c r="L45" s="110" t="s">
        <v>88</v>
      </c>
      <c r="M45" s="110" t="s">
        <v>1631</v>
      </c>
      <c r="N45" s="110" t="s">
        <v>1632</v>
      </c>
      <c r="O45" s="110" t="s">
        <v>192</v>
      </c>
      <c r="P45" s="110" t="s">
        <v>1633</v>
      </c>
      <c r="Q45" s="111" t="s">
        <v>88</v>
      </c>
      <c r="R45" s="219" t="s">
        <v>88</v>
      </c>
      <c r="S45" s="111" t="s">
        <v>88</v>
      </c>
      <c r="T45" s="279" t="s">
        <v>88</v>
      </c>
      <c r="U45" s="220" t="s">
        <v>88</v>
      </c>
      <c r="V45" s="111" t="s">
        <v>88</v>
      </c>
      <c r="W45" s="111" t="s">
        <v>88</v>
      </c>
      <c r="X45" s="111" t="s">
        <v>88</v>
      </c>
      <c r="Y45" s="111" t="s">
        <v>88</v>
      </c>
      <c r="Z45" s="111" t="s">
        <v>88</v>
      </c>
      <c r="AA45" s="111" t="s">
        <v>88</v>
      </c>
      <c r="AB45" s="154" t="s">
        <v>88</v>
      </c>
      <c r="AC45" s="111" t="s">
        <v>88</v>
      </c>
      <c r="AD45" s="111" t="s">
        <v>88</v>
      </c>
      <c r="AE45" s="111" t="s">
        <v>88</v>
      </c>
      <c r="AF45" s="111" t="s">
        <v>88</v>
      </c>
      <c r="AG45" s="111" t="s">
        <v>88</v>
      </c>
      <c r="AH45" s="111" t="s">
        <v>88</v>
      </c>
      <c r="AI45" s="111" t="s">
        <v>88</v>
      </c>
      <c r="AJ45" s="111" t="s">
        <v>88</v>
      </c>
      <c r="AK45" s="111" t="s">
        <v>88</v>
      </c>
      <c r="AL45" s="446"/>
      <c r="AM45" s="446"/>
      <c r="AN45" s="446"/>
      <c r="AO45" s="952"/>
      <c r="AP45" s="446"/>
      <c r="AQ45" s="953"/>
      <c r="AR45" s="446"/>
      <c r="AS45" s="775"/>
      <c r="AT45" s="954"/>
      <c r="AU45" s="446"/>
      <c r="AV45" s="446"/>
      <c r="AW45" s="446"/>
      <c r="AX45" s="446"/>
      <c r="AY45" s="446"/>
      <c r="AZ45" s="446"/>
      <c r="BA45" s="446"/>
      <c r="BB45" s="446"/>
      <c r="BC45" s="446"/>
      <c r="BD45" s="446"/>
      <c r="BE45" s="446"/>
      <c r="BF45" s="446"/>
      <c r="BG45" s="446"/>
      <c r="BH45" s="446"/>
      <c r="BI45" s="446"/>
      <c r="BJ45" s="446"/>
      <c r="BK45" s="446"/>
      <c r="BL45" s="446"/>
      <c r="BM45" s="446"/>
      <c r="BN45" s="950"/>
      <c r="BO45" s="446"/>
      <c r="BP45" s="446"/>
      <c r="BQ45" s="446"/>
      <c r="BR45" s="446"/>
      <c r="BS45" s="446"/>
      <c r="BT45" s="446"/>
      <c r="BU45" s="446"/>
      <c r="BV45" s="446"/>
      <c r="BW45" s="446">
        <f t="shared" si="7"/>
        <v>0</v>
      </c>
      <c r="BX45" s="446"/>
      <c r="BY45" s="446"/>
      <c r="BZ45" s="446"/>
      <c r="CA45" s="446"/>
      <c r="CB45" s="446"/>
    </row>
    <row r="46" spans="1:80" ht="29.25" customHeight="1">
      <c r="A46" s="1085" t="s">
        <v>1295</v>
      </c>
      <c r="B46" s="1087">
        <v>45943</v>
      </c>
      <c r="C46" s="1087">
        <v>45946</v>
      </c>
      <c r="D46" s="1088">
        <v>2427</v>
      </c>
      <c r="E46" s="1081" t="s">
        <v>1634</v>
      </c>
      <c r="F46" s="1087" t="s">
        <v>167</v>
      </c>
      <c r="G46" s="1087" t="s">
        <v>1297</v>
      </c>
      <c r="H46" s="1087" t="s">
        <v>88</v>
      </c>
      <c r="I46" s="1087" t="s">
        <v>89</v>
      </c>
      <c r="J46" s="1087" t="s">
        <v>1635</v>
      </c>
      <c r="K46" s="1087" t="s">
        <v>428</v>
      </c>
      <c r="L46" s="1087" t="s">
        <v>88</v>
      </c>
      <c r="M46" s="1087" t="s">
        <v>1636</v>
      </c>
      <c r="N46" s="1087" t="s">
        <v>1637</v>
      </c>
      <c r="O46" s="1087" t="s">
        <v>1638</v>
      </c>
      <c r="P46" s="1087" t="s">
        <v>249</v>
      </c>
      <c r="Q46" s="1087" t="s">
        <v>110</v>
      </c>
      <c r="R46" s="1128" t="s">
        <v>98</v>
      </c>
      <c r="S46" s="1087" t="s">
        <v>97</v>
      </c>
      <c r="T46" s="1104">
        <v>2</v>
      </c>
      <c r="U46" s="1122" t="s">
        <v>1639</v>
      </c>
      <c r="V46" s="964" t="s">
        <v>1640</v>
      </c>
      <c r="W46" s="1010" t="s">
        <v>1641</v>
      </c>
      <c r="X46" s="964" t="s">
        <v>1642</v>
      </c>
      <c r="Y46" s="964" t="s">
        <v>1643</v>
      </c>
      <c r="Z46" s="1010" t="s">
        <v>1644</v>
      </c>
      <c r="AA46" s="1087" t="s">
        <v>97</v>
      </c>
      <c r="AB46" s="1108">
        <v>2</v>
      </c>
      <c r="AC46" s="964" t="s">
        <v>1639</v>
      </c>
      <c r="AD46" s="964" t="s">
        <v>1640</v>
      </c>
      <c r="AE46" s="1046" t="s">
        <v>1641</v>
      </c>
      <c r="AF46" s="964" t="s">
        <v>1642</v>
      </c>
      <c r="AG46" s="964" t="s">
        <v>1643</v>
      </c>
      <c r="AH46" s="1046" t="s">
        <v>1644</v>
      </c>
      <c r="AI46" s="1087" t="s">
        <v>1645</v>
      </c>
      <c r="AJ46" s="1087" t="s">
        <v>88</v>
      </c>
      <c r="AK46" s="1087" t="s">
        <v>88</v>
      </c>
      <c r="AL46" s="331" t="s">
        <v>1639</v>
      </c>
      <c r="AM46" s="331" t="s">
        <v>1640</v>
      </c>
      <c r="AN46" s="436" t="s">
        <v>1644</v>
      </c>
      <c r="AO46" s="332" t="s">
        <v>1646</v>
      </c>
      <c r="AP46" s="331" t="s">
        <v>995</v>
      </c>
      <c r="AQ46" s="331" t="s">
        <v>98</v>
      </c>
      <c r="AR46" s="349" t="s">
        <v>121</v>
      </c>
      <c r="AS46" s="381" t="s">
        <v>1647</v>
      </c>
      <c r="AT46" s="333">
        <v>45942</v>
      </c>
      <c r="AU46" s="381" t="s">
        <v>1125</v>
      </c>
      <c r="AV46" s="381" t="s">
        <v>384</v>
      </c>
      <c r="AW46" s="348">
        <v>45945</v>
      </c>
      <c r="AX46" s="381" t="s">
        <v>1125</v>
      </c>
      <c r="AY46" s="331" t="s">
        <v>98</v>
      </c>
      <c r="AZ46" s="484" t="s">
        <v>1648</v>
      </c>
      <c r="BA46" s="111" t="s">
        <v>98</v>
      </c>
      <c r="BB46" s="111" t="s">
        <v>98</v>
      </c>
      <c r="BC46" s="111" t="s">
        <v>98</v>
      </c>
      <c r="BD46" s="111" t="s">
        <v>98</v>
      </c>
      <c r="BE46" s="716" t="s">
        <v>1647</v>
      </c>
      <c r="BF46" s="111" t="s">
        <v>126</v>
      </c>
      <c r="BG46" s="709">
        <v>45942</v>
      </c>
      <c r="BH46" s="706">
        <v>0.47569444444444442</v>
      </c>
      <c r="BI46" s="697" t="s">
        <v>1649</v>
      </c>
      <c r="BJ46" s="717" t="s">
        <v>1647</v>
      </c>
      <c r="BK46" s="705">
        <v>45946</v>
      </c>
      <c r="BL46" s="706">
        <v>0.625</v>
      </c>
      <c r="BM46" s="697" t="s">
        <v>1650</v>
      </c>
      <c r="BN46" s="707" t="s">
        <v>1651</v>
      </c>
      <c r="BO46" s="111"/>
      <c r="BP46" s="111"/>
      <c r="BQ46" s="111"/>
      <c r="BR46" s="132">
        <v>1</v>
      </c>
      <c r="BS46" s="132">
        <v>1</v>
      </c>
      <c r="BT46" s="132">
        <v>1</v>
      </c>
      <c r="BU46" s="111" t="s">
        <v>1325</v>
      </c>
      <c r="BV46" s="483">
        <v>45946</v>
      </c>
      <c r="BW46" s="111">
        <f t="shared" si="0"/>
        <v>3</v>
      </c>
      <c r="BX46" s="111"/>
      <c r="BY46" s="111"/>
      <c r="BZ46" s="391" t="s">
        <v>1652</v>
      </c>
      <c r="CA46" s="111" t="s">
        <v>1653</v>
      </c>
      <c r="CB46" s="111"/>
    </row>
    <row r="47" spans="1:80" ht="21.75" customHeight="1">
      <c r="A47" s="1086"/>
      <c r="B47" s="1005"/>
      <c r="C47" s="1005"/>
      <c r="D47" s="1088"/>
      <c r="E47" s="1082" t="s">
        <v>88</v>
      </c>
      <c r="F47" s="1005" t="s">
        <v>88</v>
      </c>
      <c r="G47" s="1005" t="s">
        <v>88</v>
      </c>
      <c r="H47" s="1005" t="s">
        <v>88</v>
      </c>
      <c r="I47" s="1005" t="s">
        <v>88</v>
      </c>
      <c r="J47" s="1005" t="s">
        <v>88</v>
      </c>
      <c r="K47" s="1005" t="s">
        <v>88</v>
      </c>
      <c r="L47" s="1005" t="s">
        <v>88</v>
      </c>
      <c r="M47" s="1005" t="s">
        <v>88</v>
      </c>
      <c r="N47" s="1005" t="s">
        <v>88</v>
      </c>
      <c r="O47" s="1005" t="s">
        <v>88</v>
      </c>
      <c r="P47" s="1005" t="s">
        <v>88</v>
      </c>
      <c r="Q47" s="1005" t="s">
        <v>88</v>
      </c>
      <c r="R47" s="1128" t="s">
        <v>88</v>
      </c>
      <c r="S47" s="1005" t="s">
        <v>88</v>
      </c>
      <c r="T47" s="1104" t="s">
        <v>88</v>
      </c>
      <c r="U47" s="1122"/>
      <c r="V47" s="964"/>
      <c r="W47" s="1010"/>
      <c r="X47" s="964"/>
      <c r="Y47" s="964"/>
      <c r="Z47" s="1010"/>
      <c r="AA47" s="1005" t="s">
        <v>88</v>
      </c>
      <c r="AB47" s="1108" t="s">
        <v>88</v>
      </c>
      <c r="AC47" s="964"/>
      <c r="AD47" s="964"/>
      <c r="AE47" s="1046"/>
      <c r="AF47" s="964"/>
      <c r="AG47" s="964"/>
      <c r="AH47" s="1046"/>
      <c r="AI47" s="1005" t="s">
        <v>88</v>
      </c>
      <c r="AJ47" s="1005" t="s">
        <v>88</v>
      </c>
      <c r="AK47" s="1005" t="s">
        <v>88</v>
      </c>
      <c r="AL47" s="331" t="s">
        <v>1642</v>
      </c>
      <c r="AM47" s="331" t="s">
        <v>1643</v>
      </c>
      <c r="AN47" s="436" t="s">
        <v>1644</v>
      </c>
      <c r="AO47" s="332">
        <v>393477352972</v>
      </c>
      <c r="AP47" s="331" t="s">
        <v>995</v>
      </c>
      <c r="AQ47" s="331" t="s">
        <v>98</v>
      </c>
      <c r="AR47" s="349" t="s">
        <v>121</v>
      </c>
      <c r="AS47" s="381" t="s">
        <v>1647</v>
      </c>
      <c r="AT47" s="333">
        <v>45942</v>
      </c>
      <c r="AU47" s="381" t="s">
        <v>1125</v>
      </c>
      <c r="AV47" s="381" t="s">
        <v>1647</v>
      </c>
      <c r="AW47" s="348">
        <v>45946</v>
      </c>
      <c r="AX47" s="381" t="s">
        <v>1125</v>
      </c>
      <c r="AY47" s="331" t="s">
        <v>98</v>
      </c>
      <c r="AZ47" s="484" t="s">
        <v>1648</v>
      </c>
      <c r="BA47" s="111" t="s">
        <v>98</v>
      </c>
      <c r="BB47" s="111" t="s">
        <v>98</v>
      </c>
      <c r="BC47" s="111" t="s">
        <v>98</v>
      </c>
      <c r="BD47" s="111" t="s">
        <v>98</v>
      </c>
      <c r="BE47" s="717" t="s">
        <v>1647</v>
      </c>
      <c r="BF47" s="111" t="s">
        <v>126</v>
      </c>
      <c r="BG47" s="718">
        <v>45942</v>
      </c>
      <c r="BH47" s="713">
        <v>0.47569444444444442</v>
      </c>
      <c r="BI47" s="714" t="s">
        <v>1649</v>
      </c>
      <c r="BJ47" s="717" t="s">
        <v>1647</v>
      </c>
      <c r="BK47" s="712">
        <v>45946</v>
      </c>
      <c r="BL47" s="713">
        <v>0.625</v>
      </c>
      <c r="BM47" s="714" t="s">
        <v>1650</v>
      </c>
      <c r="BN47" s="719" t="s">
        <v>1651</v>
      </c>
      <c r="BO47" s="111"/>
      <c r="BP47" s="111"/>
      <c r="BQ47" s="111"/>
      <c r="BR47" s="132">
        <v>1</v>
      </c>
      <c r="BS47" s="132">
        <v>1</v>
      </c>
      <c r="BT47" s="132">
        <v>1</v>
      </c>
      <c r="BU47" s="111" t="s">
        <v>1325</v>
      </c>
      <c r="BV47" s="483">
        <v>45946</v>
      </c>
      <c r="BW47" s="111">
        <f t="shared" si="0"/>
        <v>3</v>
      </c>
      <c r="BX47" s="111"/>
      <c r="BY47" s="111"/>
      <c r="BZ47" s="391" t="s">
        <v>1654</v>
      </c>
      <c r="CA47" s="111" t="s">
        <v>1655</v>
      </c>
      <c r="CB47" s="111"/>
    </row>
    <row r="48" spans="1:80" ht="29.25" customHeight="1">
      <c r="A48" s="1085" t="s">
        <v>1295</v>
      </c>
      <c r="B48" s="1087">
        <v>45943</v>
      </c>
      <c r="C48" s="1087">
        <v>45946</v>
      </c>
      <c r="D48" s="1088">
        <v>2440</v>
      </c>
      <c r="E48" s="1081" t="s">
        <v>1656</v>
      </c>
      <c r="F48" s="1087" t="s">
        <v>86</v>
      </c>
      <c r="G48" s="1087" t="s">
        <v>1297</v>
      </c>
      <c r="H48" s="1087" t="s">
        <v>88</v>
      </c>
      <c r="I48" s="1087" t="s">
        <v>89</v>
      </c>
      <c r="J48" s="1087" t="s">
        <v>1657</v>
      </c>
      <c r="K48" s="1087" t="s">
        <v>1497</v>
      </c>
      <c r="L48" s="1087" t="s">
        <v>88</v>
      </c>
      <c r="M48" s="1087" t="s">
        <v>1658</v>
      </c>
      <c r="N48" s="1087" t="s">
        <v>1659</v>
      </c>
      <c r="O48" s="1087" t="s">
        <v>1660</v>
      </c>
      <c r="P48" s="1087" t="s">
        <v>1586</v>
      </c>
      <c r="Q48" s="1087" t="s">
        <v>110</v>
      </c>
      <c r="R48" s="1099" t="s">
        <v>1661</v>
      </c>
      <c r="S48" s="1087" t="s">
        <v>97</v>
      </c>
      <c r="T48" s="1104">
        <v>1</v>
      </c>
      <c r="U48" s="1118" t="s">
        <v>1662</v>
      </c>
      <c r="V48" s="963" t="s">
        <v>1663</v>
      </c>
      <c r="W48" s="1006" t="s">
        <v>1664</v>
      </c>
      <c r="X48" s="963"/>
      <c r="Y48" s="963"/>
      <c r="Z48" s="1006"/>
      <c r="AA48" s="1087" t="s">
        <v>97</v>
      </c>
      <c r="AB48" s="1108">
        <v>2</v>
      </c>
      <c r="AC48" s="1087" t="s">
        <v>1662</v>
      </c>
      <c r="AD48" s="1087" t="s">
        <v>1663</v>
      </c>
      <c r="AE48" s="1087" t="s">
        <v>1664</v>
      </c>
      <c r="AF48" s="1087" t="s">
        <v>1665</v>
      </c>
      <c r="AG48" s="1087" t="s">
        <v>1666</v>
      </c>
      <c r="AH48" s="1006" t="s">
        <v>1667</v>
      </c>
      <c r="AI48" s="1087" t="s">
        <v>376</v>
      </c>
      <c r="AJ48" s="1087" t="s">
        <v>88</v>
      </c>
      <c r="AK48" s="1129" t="s">
        <v>1668</v>
      </c>
      <c r="AL48" s="331" t="s">
        <v>1665</v>
      </c>
      <c r="AM48" s="331" t="s">
        <v>1666</v>
      </c>
      <c r="AN48" s="331" t="s">
        <v>1667</v>
      </c>
      <c r="AO48" s="336" t="s">
        <v>1669</v>
      </c>
      <c r="AP48" s="337" t="s">
        <v>995</v>
      </c>
      <c r="AQ48" s="331" t="s">
        <v>1006</v>
      </c>
      <c r="AR48" s="331"/>
      <c r="AS48" s="331"/>
      <c r="AT48" s="333">
        <v>45943</v>
      </c>
      <c r="AU48" s="331"/>
      <c r="AV48" s="331"/>
      <c r="AW48" s="348">
        <v>45945</v>
      </c>
      <c r="AX48" s="331"/>
      <c r="AY48" s="331" t="s">
        <v>98</v>
      </c>
      <c r="AZ48" s="344" t="s">
        <v>1670</v>
      </c>
      <c r="BA48" s="111"/>
      <c r="BB48" s="111"/>
      <c r="BC48" s="111"/>
      <c r="BD48" s="111"/>
      <c r="BE48" s="456"/>
      <c r="BF48" s="456"/>
      <c r="BG48" s="456"/>
      <c r="BH48" s="456"/>
      <c r="BI48" s="456"/>
      <c r="BJ48" s="456"/>
      <c r="BK48" s="456"/>
      <c r="BL48" s="456"/>
      <c r="BM48" s="456"/>
      <c r="BN48" s="749"/>
      <c r="BO48" s="111"/>
      <c r="BP48" s="111"/>
      <c r="BQ48" s="111"/>
      <c r="BR48" s="132">
        <v>1</v>
      </c>
      <c r="BS48" s="132">
        <v>1</v>
      </c>
      <c r="BT48" s="619">
        <v>0</v>
      </c>
      <c r="BU48" s="111" t="s">
        <v>1325</v>
      </c>
      <c r="BV48" s="483">
        <v>45945</v>
      </c>
      <c r="BW48" s="111">
        <f t="shared" si="0"/>
        <v>2</v>
      </c>
      <c r="BX48" s="111"/>
      <c r="BY48" s="111"/>
      <c r="BZ48" s="111"/>
      <c r="CA48" s="111" t="s">
        <v>1671</v>
      </c>
      <c r="CB48" s="111"/>
    </row>
    <row r="49" spans="1:80" ht="23" customHeight="1">
      <c r="A49" s="1086"/>
      <c r="B49" s="1005"/>
      <c r="C49" s="1005"/>
      <c r="D49" s="1088"/>
      <c r="E49" s="1082" t="s">
        <v>88</v>
      </c>
      <c r="F49" s="1005" t="s">
        <v>88</v>
      </c>
      <c r="G49" s="1005" t="s">
        <v>88</v>
      </c>
      <c r="H49" s="1005" t="s">
        <v>88</v>
      </c>
      <c r="I49" s="1005" t="s">
        <v>88</v>
      </c>
      <c r="J49" s="1005" t="s">
        <v>88</v>
      </c>
      <c r="K49" s="1005" t="s">
        <v>88</v>
      </c>
      <c r="L49" s="1005" t="s">
        <v>88</v>
      </c>
      <c r="M49" s="1005" t="s">
        <v>88</v>
      </c>
      <c r="N49" s="1005" t="s">
        <v>88</v>
      </c>
      <c r="O49" s="1005" t="s">
        <v>88</v>
      </c>
      <c r="P49" s="1005" t="s">
        <v>88</v>
      </c>
      <c r="Q49" s="1005" t="s">
        <v>88</v>
      </c>
      <c r="R49" s="1099" t="s">
        <v>88</v>
      </c>
      <c r="S49" s="1005" t="s">
        <v>88</v>
      </c>
      <c r="T49" s="1104" t="s">
        <v>88</v>
      </c>
      <c r="U49" s="1118" t="s">
        <v>88</v>
      </c>
      <c r="V49" s="963" t="s">
        <v>88</v>
      </c>
      <c r="W49" s="1006" t="s">
        <v>88</v>
      </c>
      <c r="X49" s="963" t="s">
        <v>88</v>
      </c>
      <c r="Y49" s="963" t="s">
        <v>88</v>
      </c>
      <c r="Z49" s="1006" t="s">
        <v>88</v>
      </c>
      <c r="AA49" s="1005" t="s">
        <v>88</v>
      </c>
      <c r="AB49" s="1108" t="s">
        <v>88</v>
      </c>
      <c r="AC49" s="1005" t="s">
        <v>88</v>
      </c>
      <c r="AD49" s="1005" t="s">
        <v>88</v>
      </c>
      <c r="AE49" s="1005" t="s">
        <v>88</v>
      </c>
      <c r="AF49" s="1005" t="s">
        <v>88</v>
      </c>
      <c r="AG49" s="1005" t="s">
        <v>88</v>
      </c>
      <c r="AH49" s="1006" t="s">
        <v>88</v>
      </c>
      <c r="AI49" s="1005" t="s">
        <v>88</v>
      </c>
      <c r="AJ49" s="1005" t="s">
        <v>88</v>
      </c>
      <c r="AK49" s="1119" t="s">
        <v>88</v>
      </c>
      <c r="AL49" s="331" t="s">
        <v>1662</v>
      </c>
      <c r="AM49" s="331" t="s">
        <v>1663</v>
      </c>
      <c r="AN49" s="331" t="s">
        <v>1664</v>
      </c>
      <c r="AO49" s="610" t="s">
        <v>1672</v>
      </c>
      <c r="AP49" s="354" t="s">
        <v>995</v>
      </c>
      <c r="AQ49" s="331" t="s">
        <v>98</v>
      </c>
      <c r="AR49" s="354" t="s">
        <v>154</v>
      </c>
      <c r="AS49" s="354" t="s">
        <v>1673</v>
      </c>
      <c r="AT49" s="333">
        <v>45943</v>
      </c>
      <c r="AU49" s="354" t="s">
        <v>1674</v>
      </c>
      <c r="AV49" s="354" t="s">
        <v>1675</v>
      </c>
      <c r="AW49" s="348">
        <v>45945</v>
      </c>
      <c r="AX49" s="354" t="s">
        <v>1676</v>
      </c>
      <c r="AY49" s="331" t="s">
        <v>98</v>
      </c>
      <c r="AZ49" s="331" t="s">
        <v>1677</v>
      </c>
      <c r="BA49" s="111" t="s">
        <v>98</v>
      </c>
      <c r="BB49" s="111" t="s">
        <v>98</v>
      </c>
      <c r="BC49" s="111" t="s">
        <v>98</v>
      </c>
      <c r="BD49" s="111" t="s">
        <v>98</v>
      </c>
      <c r="BE49" s="111" t="s">
        <v>1673</v>
      </c>
      <c r="BF49" s="111" t="s">
        <v>425</v>
      </c>
      <c r="BG49" s="705">
        <v>45943</v>
      </c>
      <c r="BH49" s="706">
        <v>0.54236111111111107</v>
      </c>
      <c r="BI49" s="697" t="s">
        <v>1678</v>
      </c>
      <c r="BJ49" s="111" t="s">
        <v>1673</v>
      </c>
      <c r="BK49" s="705">
        <v>45945</v>
      </c>
      <c r="BL49" s="706">
        <v>0.74722222222222223</v>
      </c>
      <c r="BM49" s="697" t="s">
        <v>1679</v>
      </c>
      <c r="BN49" s="707" t="s">
        <v>1680</v>
      </c>
      <c r="BO49" s="111"/>
      <c r="BP49" s="111"/>
      <c r="BQ49" s="111"/>
      <c r="BR49" s="132">
        <v>1</v>
      </c>
      <c r="BS49" s="132">
        <v>1</v>
      </c>
      <c r="BT49" s="619">
        <v>0</v>
      </c>
      <c r="BU49" s="111" t="s">
        <v>1325</v>
      </c>
      <c r="BV49" s="483">
        <v>45945</v>
      </c>
      <c r="BW49" s="111">
        <f t="shared" si="0"/>
        <v>2</v>
      </c>
      <c r="BX49" s="111"/>
      <c r="BY49" s="111"/>
      <c r="BZ49" s="391" t="s">
        <v>1442</v>
      </c>
      <c r="CA49" s="111" t="s">
        <v>1681</v>
      </c>
      <c r="CB49" s="111"/>
    </row>
    <row r="50" spans="1:80" ht="33" customHeight="1">
      <c r="A50" s="195" t="s">
        <v>1295</v>
      </c>
      <c r="B50" s="108">
        <v>45943</v>
      </c>
      <c r="C50" s="108">
        <v>45946</v>
      </c>
      <c r="D50" s="109">
        <v>2460</v>
      </c>
      <c r="E50" s="170" t="s">
        <v>1682</v>
      </c>
      <c r="F50" s="110" t="s">
        <v>167</v>
      </c>
      <c r="G50" s="110" t="s">
        <v>1297</v>
      </c>
      <c r="H50" s="110" t="s">
        <v>88</v>
      </c>
      <c r="I50" s="110" t="s">
        <v>89</v>
      </c>
      <c r="J50" s="110" t="s">
        <v>482</v>
      </c>
      <c r="K50" s="110" t="s">
        <v>428</v>
      </c>
      <c r="L50" s="110" t="s">
        <v>88</v>
      </c>
      <c r="M50" s="110" t="s">
        <v>1683</v>
      </c>
      <c r="N50" s="286" t="s">
        <v>1684</v>
      </c>
      <c r="O50" s="110" t="s">
        <v>1685</v>
      </c>
      <c r="P50" s="110" t="s">
        <v>1686</v>
      </c>
      <c r="Q50" s="111" t="s">
        <v>88</v>
      </c>
      <c r="R50" s="219" t="s">
        <v>88</v>
      </c>
      <c r="S50" s="111" t="s">
        <v>88</v>
      </c>
      <c r="T50" s="279" t="s">
        <v>88</v>
      </c>
      <c r="U50" s="220" t="s">
        <v>88</v>
      </c>
      <c r="V50" s="111" t="s">
        <v>88</v>
      </c>
      <c r="W50" s="111" t="s">
        <v>88</v>
      </c>
      <c r="X50" s="111" t="s">
        <v>88</v>
      </c>
      <c r="Y50" s="111" t="s">
        <v>88</v>
      </c>
      <c r="Z50" s="111" t="s">
        <v>88</v>
      </c>
      <c r="AA50" s="111" t="s">
        <v>88</v>
      </c>
      <c r="AB50" s="154" t="s">
        <v>88</v>
      </c>
      <c r="AC50" s="111" t="s">
        <v>88</v>
      </c>
      <c r="AD50" s="111" t="s">
        <v>88</v>
      </c>
      <c r="AE50" s="111" t="s">
        <v>88</v>
      </c>
      <c r="AF50" s="111" t="s">
        <v>88</v>
      </c>
      <c r="AG50" s="111" t="s">
        <v>88</v>
      </c>
      <c r="AH50" s="111" t="s">
        <v>88</v>
      </c>
      <c r="AI50" s="111" t="s">
        <v>88</v>
      </c>
      <c r="AJ50" s="111" t="s">
        <v>88</v>
      </c>
      <c r="AK50" s="111" t="s">
        <v>88</v>
      </c>
      <c r="AL50" s="446"/>
      <c r="AM50" s="446"/>
      <c r="AN50" s="446"/>
      <c r="AO50" s="952"/>
      <c r="AP50" s="446"/>
      <c r="AQ50" s="953"/>
      <c r="AR50" s="446"/>
      <c r="AS50" s="775"/>
      <c r="AT50" s="954"/>
      <c r="AU50" s="446"/>
      <c r="AV50" s="446"/>
      <c r="AW50" s="446"/>
      <c r="AX50" s="446"/>
      <c r="AY50" s="446"/>
      <c r="AZ50" s="446"/>
      <c r="BA50" s="446"/>
      <c r="BB50" s="446"/>
      <c r="BC50" s="446"/>
      <c r="BD50" s="446"/>
      <c r="BE50" s="446"/>
      <c r="BF50" s="446"/>
      <c r="BG50" s="446"/>
      <c r="BH50" s="446"/>
      <c r="BI50" s="446"/>
      <c r="BJ50" s="446"/>
      <c r="BK50" s="446"/>
      <c r="BL50" s="446"/>
      <c r="BM50" s="446"/>
      <c r="BN50" s="950"/>
      <c r="BO50" s="446"/>
      <c r="BP50" s="446"/>
      <c r="BQ50" s="446"/>
      <c r="BR50" s="446"/>
      <c r="BS50" s="446"/>
      <c r="BT50" s="446"/>
      <c r="BU50" s="446"/>
      <c r="BV50" s="446"/>
      <c r="BW50" s="446">
        <f t="shared" ref="BW50" si="8">BR50+BS50+BT50</f>
        <v>0</v>
      </c>
      <c r="BX50" s="446"/>
      <c r="BY50" s="446"/>
      <c r="BZ50" s="446"/>
      <c r="CA50" s="446"/>
      <c r="CB50" s="446"/>
    </row>
    <row r="51" spans="1:80" ht="29.25" customHeight="1">
      <c r="A51" s="1085" t="s">
        <v>1295</v>
      </c>
      <c r="B51" s="1087">
        <v>45943</v>
      </c>
      <c r="C51" s="1087">
        <v>45946</v>
      </c>
      <c r="D51" s="1088">
        <v>2470</v>
      </c>
      <c r="E51" s="1081" t="s">
        <v>1687</v>
      </c>
      <c r="F51" s="1087" t="s">
        <v>135</v>
      </c>
      <c r="G51" s="1087" t="s">
        <v>1297</v>
      </c>
      <c r="H51" s="1087" t="s">
        <v>88</v>
      </c>
      <c r="I51" s="1087" t="s">
        <v>89</v>
      </c>
      <c r="J51" s="1087" t="s">
        <v>1688</v>
      </c>
      <c r="K51" s="1087" t="s">
        <v>360</v>
      </c>
      <c r="L51" s="1087" t="s">
        <v>88</v>
      </c>
      <c r="M51" s="1087" t="s">
        <v>1689</v>
      </c>
      <c r="N51" s="1087" t="s">
        <v>1690</v>
      </c>
      <c r="O51" s="1087" t="s">
        <v>273</v>
      </c>
      <c r="P51" s="1087" t="s">
        <v>660</v>
      </c>
      <c r="Q51" s="1087" t="s">
        <v>110</v>
      </c>
      <c r="R51" s="1099" t="s">
        <v>110</v>
      </c>
      <c r="S51" s="1087" t="s">
        <v>97</v>
      </c>
      <c r="T51" s="1104">
        <v>2</v>
      </c>
      <c r="U51" s="1118" t="s">
        <v>1691</v>
      </c>
      <c r="V51" s="963" t="s">
        <v>1692</v>
      </c>
      <c r="W51" s="1006" t="s">
        <v>1693</v>
      </c>
      <c r="X51" s="963" t="s">
        <v>1694</v>
      </c>
      <c r="Y51" s="963" t="s">
        <v>1695</v>
      </c>
      <c r="Z51" s="1006" t="s">
        <v>1696</v>
      </c>
      <c r="AA51" s="1087" t="s">
        <v>97</v>
      </c>
      <c r="AB51" s="1108">
        <v>2</v>
      </c>
      <c r="AC51" s="1087" t="s">
        <v>1691</v>
      </c>
      <c r="AD51" s="1087" t="s">
        <v>1692</v>
      </c>
      <c r="AE51" s="1087" t="s">
        <v>1693</v>
      </c>
      <c r="AF51" s="1087" t="s">
        <v>1694</v>
      </c>
      <c r="AG51" s="1087" t="s">
        <v>1695</v>
      </c>
      <c r="AH51" s="1087" t="s">
        <v>1696</v>
      </c>
      <c r="AI51" s="1087" t="s">
        <v>376</v>
      </c>
      <c r="AJ51" s="1087" t="s">
        <v>88</v>
      </c>
      <c r="AK51" s="1087" t="s">
        <v>88</v>
      </c>
      <c r="AL51" s="331" t="s">
        <v>1691</v>
      </c>
      <c r="AM51" s="331" t="s">
        <v>1692</v>
      </c>
      <c r="AN51" s="331" t="s">
        <v>1693</v>
      </c>
      <c r="AO51" s="336">
        <v>34616192005</v>
      </c>
      <c r="AP51" s="331" t="s">
        <v>995</v>
      </c>
      <c r="AQ51" s="331" t="s">
        <v>98</v>
      </c>
      <c r="AR51" s="331" t="s">
        <v>121</v>
      </c>
      <c r="AS51" s="354" t="s">
        <v>443</v>
      </c>
      <c r="AT51" s="351">
        <v>45942</v>
      </c>
      <c r="AU51" s="331" t="s">
        <v>1697</v>
      </c>
      <c r="AV51" s="354" t="s">
        <v>443</v>
      </c>
      <c r="AW51" s="348">
        <v>45945</v>
      </c>
      <c r="AX51" s="331" t="s">
        <v>1697</v>
      </c>
      <c r="AY51" s="331" t="s">
        <v>98</v>
      </c>
      <c r="AZ51" s="344" t="s">
        <v>1698</v>
      </c>
      <c r="BA51" s="111" t="s">
        <v>98</v>
      </c>
      <c r="BB51" s="111" t="s">
        <v>98</v>
      </c>
      <c r="BC51" s="111" t="s">
        <v>98</v>
      </c>
      <c r="BD51" s="111" t="s">
        <v>98</v>
      </c>
      <c r="BE51" s="507" t="s">
        <v>443</v>
      </c>
      <c r="BF51" s="111" t="s">
        <v>126</v>
      </c>
      <c r="BG51" s="508">
        <v>45943</v>
      </c>
      <c r="BH51" s="509">
        <v>0.59027777777777779</v>
      </c>
      <c r="BI51" s="510" t="s">
        <v>1699</v>
      </c>
      <c r="BJ51" s="507" t="s">
        <v>443</v>
      </c>
      <c r="BK51" s="705">
        <v>45945</v>
      </c>
      <c r="BL51" s="706">
        <v>0.83680555555555558</v>
      </c>
      <c r="BM51" s="697" t="s">
        <v>1700</v>
      </c>
      <c r="BN51" s="707" t="s">
        <v>1701</v>
      </c>
      <c r="BO51" s="111"/>
      <c r="BP51" s="111"/>
      <c r="BQ51" s="111"/>
      <c r="BR51" s="132">
        <v>1</v>
      </c>
      <c r="BS51" s="132">
        <v>1</v>
      </c>
      <c r="BT51" s="619">
        <v>0</v>
      </c>
      <c r="BU51" s="111" t="s">
        <v>1325</v>
      </c>
      <c r="BV51" s="483">
        <v>45945</v>
      </c>
      <c r="BW51" s="111">
        <f t="shared" si="0"/>
        <v>2</v>
      </c>
      <c r="BX51" s="111"/>
      <c r="BY51" s="111"/>
      <c r="BZ51" s="391" t="s">
        <v>1702</v>
      </c>
      <c r="CA51" s="111" t="s">
        <v>1703</v>
      </c>
      <c r="CB51" s="111"/>
    </row>
    <row r="52" spans="1:80" ht="23" customHeight="1">
      <c r="A52" s="1086"/>
      <c r="B52" s="1005"/>
      <c r="C52" s="1005"/>
      <c r="D52" s="1088"/>
      <c r="E52" s="1082" t="s">
        <v>88</v>
      </c>
      <c r="F52" s="1005" t="s">
        <v>88</v>
      </c>
      <c r="G52" s="1005" t="s">
        <v>88</v>
      </c>
      <c r="H52" s="1005" t="s">
        <v>88</v>
      </c>
      <c r="I52" s="1005" t="s">
        <v>88</v>
      </c>
      <c r="J52" s="1005" t="s">
        <v>88</v>
      </c>
      <c r="K52" s="1005" t="s">
        <v>88</v>
      </c>
      <c r="L52" s="1005" t="s">
        <v>88</v>
      </c>
      <c r="M52" s="1005" t="s">
        <v>88</v>
      </c>
      <c r="N52" s="1005" t="s">
        <v>88</v>
      </c>
      <c r="O52" s="1005" t="s">
        <v>88</v>
      </c>
      <c r="P52" s="1005" t="s">
        <v>88</v>
      </c>
      <c r="Q52" s="1005" t="s">
        <v>88</v>
      </c>
      <c r="R52" s="1099" t="s">
        <v>88</v>
      </c>
      <c r="S52" s="1005" t="s">
        <v>88</v>
      </c>
      <c r="T52" s="1104" t="s">
        <v>88</v>
      </c>
      <c r="U52" s="1118" t="s">
        <v>88</v>
      </c>
      <c r="V52" s="963" t="s">
        <v>88</v>
      </c>
      <c r="W52" s="1006" t="s">
        <v>88</v>
      </c>
      <c r="X52" s="963" t="s">
        <v>88</v>
      </c>
      <c r="Y52" s="963" t="s">
        <v>88</v>
      </c>
      <c r="Z52" s="1006" t="s">
        <v>88</v>
      </c>
      <c r="AA52" s="1005" t="s">
        <v>88</v>
      </c>
      <c r="AB52" s="1108" t="s">
        <v>88</v>
      </c>
      <c r="AC52" s="1005" t="s">
        <v>88</v>
      </c>
      <c r="AD52" s="1005" t="s">
        <v>88</v>
      </c>
      <c r="AE52" s="1005" t="s">
        <v>88</v>
      </c>
      <c r="AF52" s="1005" t="s">
        <v>88</v>
      </c>
      <c r="AG52" s="1005" t="s">
        <v>88</v>
      </c>
      <c r="AH52" s="1005" t="s">
        <v>88</v>
      </c>
      <c r="AI52" s="1005" t="s">
        <v>88</v>
      </c>
      <c r="AJ52" s="1005" t="s">
        <v>88</v>
      </c>
      <c r="AK52" s="1005" t="s">
        <v>88</v>
      </c>
      <c r="AL52" s="331" t="s">
        <v>1694</v>
      </c>
      <c r="AM52" s="331" t="s">
        <v>1695</v>
      </c>
      <c r="AN52" s="331" t="s">
        <v>1696</v>
      </c>
      <c r="AO52" s="352">
        <v>34649324937</v>
      </c>
      <c r="AP52" s="354" t="s">
        <v>995</v>
      </c>
      <c r="AQ52" s="331" t="s">
        <v>98</v>
      </c>
      <c r="AR52" s="354" t="s">
        <v>121</v>
      </c>
      <c r="AS52" s="354" t="s">
        <v>443</v>
      </c>
      <c r="AT52" s="351">
        <v>45943</v>
      </c>
      <c r="AU52" s="358">
        <v>0.59027777777777779</v>
      </c>
      <c r="AV52" s="354" t="s">
        <v>443</v>
      </c>
      <c r="AW52" s="348">
        <v>45946</v>
      </c>
      <c r="AX52" s="358">
        <v>0.6875</v>
      </c>
      <c r="AY52" s="331" t="s">
        <v>98</v>
      </c>
      <c r="AZ52" s="331" t="s">
        <v>1704</v>
      </c>
      <c r="BA52" s="111" t="s">
        <v>98</v>
      </c>
      <c r="BB52" s="111" t="s">
        <v>98</v>
      </c>
      <c r="BC52" s="111" t="s">
        <v>98</v>
      </c>
      <c r="BD52" s="111" t="s">
        <v>98</v>
      </c>
      <c r="BE52" s="507" t="s">
        <v>443</v>
      </c>
      <c r="BF52" s="111" t="s">
        <v>126</v>
      </c>
      <c r="BG52" s="508">
        <v>45943</v>
      </c>
      <c r="BH52" s="509">
        <v>0.59027777777777779</v>
      </c>
      <c r="BI52" s="510" t="s">
        <v>1699</v>
      </c>
      <c r="BJ52" s="507" t="s">
        <v>443</v>
      </c>
      <c r="BK52" s="508">
        <v>45946</v>
      </c>
      <c r="BL52" s="509">
        <v>0.6875</v>
      </c>
      <c r="BM52" s="510" t="s">
        <v>1705</v>
      </c>
      <c r="BN52" s="704">
        <v>517.77</v>
      </c>
      <c r="BO52" s="111"/>
      <c r="BP52" s="111"/>
      <c r="BQ52" s="111"/>
      <c r="BR52" s="132">
        <v>1</v>
      </c>
      <c r="BS52" s="132">
        <v>1</v>
      </c>
      <c r="BT52" s="132">
        <v>1</v>
      </c>
      <c r="BU52" s="111" t="s">
        <v>1325</v>
      </c>
      <c r="BV52" s="483">
        <v>45946</v>
      </c>
      <c r="BW52" s="111">
        <f t="shared" si="0"/>
        <v>3</v>
      </c>
      <c r="BX52" s="111"/>
      <c r="BY52" s="111"/>
      <c r="BZ52" s="111"/>
      <c r="CA52" s="111"/>
      <c r="CB52" s="111"/>
    </row>
    <row r="53" spans="1:80" ht="29.25" customHeight="1">
      <c r="A53" s="1085" t="s">
        <v>1295</v>
      </c>
      <c r="B53" s="1087">
        <v>45943</v>
      </c>
      <c r="C53" s="1087">
        <v>45946</v>
      </c>
      <c r="D53" s="1088">
        <v>2527</v>
      </c>
      <c r="E53" s="1081" t="s">
        <v>1706</v>
      </c>
      <c r="F53" s="1087" t="s">
        <v>135</v>
      </c>
      <c r="G53" s="1087" t="s">
        <v>1297</v>
      </c>
      <c r="H53" s="1087" t="s">
        <v>88</v>
      </c>
      <c r="I53" s="1087" t="s">
        <v>89</v>
      </c>
      <c r="J53" s="1087" t="s">
        <v>1707</v>
      </c>
      <c r="K53" s="1087" t="s">
        <v>360</v>
      </c>
      <c r="L53" s="1087" t="s">
        <v>88</v>
      </c>
      <c r="M53" s="1087" t="s">
        <v>1708</v>
      </c>
      <c r="N53" s="1087" t="s">
        <v>1709</v>
      </c>
      <c r="O53" s="1087" t="s">
        <v>1710</v>
      </c>
      <c r="P53" s="1087" t="s">
        <v>249</v>
      </c>
      <c r="Q53" s="1087" t="s">
        <v>251</v>
      </c>
      <c r="R53" s="1128" t="s">
        <v>98</v>
      </c>
      <c r="S53" s="1087" t="s">
        <v>97</v>
      </c>
      <c r="T53" s="1104">
        <v>2</v>
      </c>
      <c r="U53" s="1105" t="s">
        <v>1711</v>
      </c>
      <c r="V53" s="1087" t="s">
        <v>1712</v>
      </c>
      <c r="W53" s="1041" t="s">
        <v>1713</v>
      </c>
      <c r="X53" s="1087" t="s">
        <v>1714</v>
      </c>
      <c r="Y53" s="1087" t="s">
        <v>1715</v>
      </c>
      <c r="Z53" s="1041" t="s">
        <v>1716</v>
      </c>
      <c r="AA53" s="1087" t="s">
        <v>97</v>
      </c>
      <c r="AB53" s="1108">
        <v>2</v>
      </c>
      <c r="AC53" s="1087" t="s">
        <v>1711</v>
      </c>
      <c r="AD53" s="1087" t="s">
        <v>1712</v>
      </c>
      <c r="AE53" s="1015" t="s">
        <v>1713</v>
      </c>
      <c r="AF53" s="1087" t="s">
        <v>1714</v>
      </c>
      <c r="AG53" s="1087" t="s">
        <v>1715</v>
      </c>
      <c r="AH53" s="1041" t="s">
        <v>1716</v>
      </c>
      <c r="AI53" s="1087" t="s">
        <v>88</v>
      </c>
      <c r="AJ53" s="1087" t="s">
        <v>88</v>
      </c>
      <c r="AK53" s="1087" t="s">
        <v>88</v>
      </c>
      <c r="AL53" s="349" t="s">
        <v>1717</v>
      </c>
      <c r="AM53" s="604" t="s">
        <v>1718</v>
      </c>
      <c r="AN53" s="384" t="s">
        <v>1713</v>
      </c>
      <c r="AO53" s="332">
        <v>467035088529</v>
      </c>
      <c r="AP53" s="331" t="s">
        <v>995</v>
      </c>
      <c r="AQ53" s="331" t="s">
        <v>98</v>
      </c>
      <c r="AR53" s="349" t="s">
        <v>154</v>
      </c>
      <c r="AS53" s="349" t="s">
        <v>1719</v>
      </c>
      <c r="AT53" s="349" t="s">
        <v>1720</v>
      </c>
      <c r="AU53" s="349" t="s">
        <v>1721</v>
      </c>
      <c r="AV53" s="349" t="s">
        <v>1722</v>
      </c>
      <c r="AW53" s="348">
        <v>45945</v>
      </c>
      <c r="AX53" s="349" t="s">
        <v>1723</v>
      </c>
      <c r="AY53" s="331" t="s">
        <v>98</v>
      </c>
      <c r="AZ53" s="484" t="s">
        <v>1724</v>
      </c>
      <c r="BA53" s="485"/>
      <c r="BB53" s="485"/>
      <c r="BC53" s="485"/>
      <c r="BD53" s="485"/>
      <c r="BE53" s="485"/>
      <c r="BF53" s="485"/>
      <c r="BG53" s="485"/>
      <c r="BH53" s="485"/>
      <c r="BI53" s="485"/>
      <c r="BJ53" s="485"/>
      <c r="BK53" s="485"/>
      <c r="BL53" s="485"/>
      <c r="BM53" s="485"/>
      <c r="BN53" s="725"/>
      <c r="BO53" s="485"/>
      <c r="BP53" s="485"/>
      <c r="BQ53" s="485"/>
      <c r="BR53" s="771"/>
      <c r="BS53" s="771"/>
      <c r="BT53" s="771"/>
      <c r="BU53" s="485"/>
      <c r="BV53" s="485"/>
      <c r="BW53" s="111">
        <f t="shared" si="0"/>
        <v>0</v>
      </c>
      <c r="BX53" s="485"/>
      <c r="BY53" s="485"/>
      <c r="BZ53" s="654" t="s">
        <v>1725</v>
      </c>
      <c r="CA53" s="195" t="s">
        <v>1726</v>
      </c>
      <c r="CB53" s="111"/>
    </row>
    <row r="54" spans="1:80" ht="23" customHeight="1">
      <c r="A54" s="1086"/>
      <c r="B54" s="1005"/>
      <c r="C54" s="1005"/>
      <c r="D54" s="1088"/>
      <c r="E54" s="1082" t="s">
        <v>88</v>
      </c>
      <c r="F54" s="1005" t="s">
        <v>88</v>
      </c>
      <c r="G54" s="1005" t="s">
        <v>88</v>
      </c>
      <c r="H54" s="1005" t="s">
        <v>88</v>
      </c>
      <c r="I54" s="1005" t="s">
        <v>88</v>
      </c>
      <c r="J54" s="1005" t="s">
        <v>88</v>
      </c>
      <c r="K54" s="1005" t="s">
        <v>88</v>
      </c>
      <c r="L54" s="1005" t="s">
        <v>88</v>
      </c>
      <c r="M54" s="1005" t="s">
        <v>88</v>
      </c>
      <c r="N54" s="1005" t="s">
        <v>88</v>
      </c>
      <c r="O54" s="1005" t="s">
        <v>88</v>
      </c>
      <c r="P54" s="1005" t="s">
        <v>88</v>
      </c>
      <c r="Q54" s="1005" t="s">
        <v>88</v>
      </c>
      <c r="R54" s="1128" t="s">
        <v>88</v>
      </c>
      <c r="S54" s="1005" t="s">
        <v>88</v>
      </c>
      <c r="T54" s="1104" t="s">
        <v>88</v>
      </c>
      <c r="U54" s="1106" t="s">
        <v>88</v>
      </c>
      <c r="V54" s="1005" t="s">
        <v>88</v>
      </c>
      <c r="W54" s="1042" t="s">
        <v>88</v>
      </c>
      <c r="X54" s="1005" t="s">
        <v>88</v>
      </c>
      <c r="Y54" s="1005" t="s">
        <v>88</v>
      </c>
      <c r="Z54" s="1042" t="s">
        <v>88</v>
      </c>
      <c r="AA54" s="1005" t="s">
        <v>88</v>
      </c>
      <c r="AB54" s="1108" t="s">
        <v>88</v>
      </c>
      <c r="AC54" s="1005" t="s">
        <v>88</v>
      </c>
      <c r="AD54" s="1005" t="s">
        <v>88</v>
      </c>
      <c r="AE54" s="1040" t="s">
        <v>88</v>
      </c>
      <c r="AF54" s="1005" t="s">
        <v>88</v>
      </c>
      <c r="AG54" s="1005" t="s">
        <v>88</v>
      </c>
      <c r="AH54" s="1042" t="s">
        <v>88</v>
      </c>
      <c r="AI54" s="1005" t="s">
        <v>88</v>
      </c>
      <c r="AJ54" s="1005" t="s">
        <v>88</v>
      </c>
      <c r="AK54" s="1005" t="s">
        <v>88</v>
      </c>
      <c r="AL54" s="331" t="s">
        <v>1727</v>
      </c>
      <c r="AM54" s="331" t="s">
        <v>1715</v>
      </c>
      <c r="AN54" s="436" t="s">
        <v>1716</v>
      </c>
      <c r="AO54" s="437">
        <v>393382043845</v>
      </c>
      <c r="AP54" s="434" t="s">
        <v>1728</v>
      </c>
      <c r="AQ54" s="331" t="s">
        <v>98</v>
      </c>
      <c r="AR54" s="434" t="s">
        <v>121</v>
      </c>
      <c r="AS54" s="434" t="s">
        <v>408</v>
      </c>
      <c r="AT54" s="438">
        <v>45943</v>
      </c>
      <c r="AU54" s="434" t="s">
        <v>445</v>
      </c>
      <c r="AV54" s="434" t="s">
        <v>408</v>
      </c>
      <c r="AW54" s="348">
        <v>45945</v>
      </c>
      <c r="AX54" s="434" t="s">
        <v>183</v>
      </c>
      <c r="AY54" s="331" t="s">
        <v>98</v>
      </c>
      <c r="AZ54" s="271" t="s">
        <v>1729</v>
      </c>
      <c r="BA54" s="111" t="s">
        <v>98</v>
      </c>
      <c r="BB54" s="111" t="s">
        <v>98</v>
      </c>
      <c r="BC54" s="111" t="s">
        <v>98</v>
      </c>
      <c r="BD54" s="111" t="s">
        <v>98</v>
      </c>
      <c r="BE54" s="391" t="s">
        <v>408</v>
      </c>
      <c r="BF54" s="111" t="s">
        <v>126</v>
      </c>
      <c r="BG54" s="508">
        <v>45943</v>
      </c>
      <c r="BH54" s="692">
        <v>0.77083333333333337</v>
      </c>
      <c r="BI54" s="111" t="s">
        <v>1730</v>
      </c>
      <c r="BJ54" s="391" t="s">
        <v>408</v>
      </c>
      <c r="BK54" s="705">
        <v>45945</v>
      </c>
      <c r="BL54" s="692">
        <v>0.8125</v>
      </c>
      <c r="BM54" s="111" t="s">
        <v>1731</v>
      </c>
      <c r="BN54" s="949"/>
      <c r="BO54" s="111"/>
      <c r="BP54" s="111"/>
      <c r="BQ54" s="111"/>
      <c r="BR54" s="132">
        <v>1</v>
      </c>
      <c r="BS54" s="132">
        <v>1</v>
      </c>
      <c r="BT54" s="619">
        <v>0</v>
      </c>
      <c r="BU54" s="111" t="s">
        <v>1325</v>
      </c>
      <c r="BV54" s="483">
        <v>45945</v>
      </c>
      <c r="BW54" s="111">
        <f t="shared" si="0"/>
        <v>2</v>
      </c>
      <c r="BX54" s="111"/>
      <c r="BY54" s="111"/>
      <c r="BZ54" s="111"/>
      <c r="CA54" s="111" t="s">
        <v>1732</v>
      </c>
      <c r="CB54" s="111"/>
    </row>
    <row r="55" spans="1:80" ht="23" customHeight="1">
      <c r="A55" s="195" t="s">
        <v>1295</v>
      </c>
      <c r="B55" s="108">
        <v>45943</v>
      </c>
      <c r="C55" s="108">
        <v>45946</v>
      </c>
      <c r="D55" s="109">
        <v>2530</v>
      </c>
      <c r="E55" s="170" t="s">
        <v>1733</v>
      </c>
      <c r="F55" s="110" t="s">
        <v>86</v>
      </c>
      <c r="G55" s="110" t="s">
        <v>1297</v>
      </c>
      <c r="H55" s="110" t="s">
        <v>88</v>
      </c>
      <c r="I55" s="110" t="s">
        <v>89</v>
      </c>
      <c r="J55" s="110" t="s">
        <v>984</v>
      </c>
      <c r="K55" s="110" t="s">
        <v>318</v>
      </c>
      <c r="L55" s="110" t="s">
        <v>88</v>
      </c>
      <c r="M55" s="110" t="s">
        <v>1734</v>
      </c>
      <c r="N55" s="110" t="s">
        <v>1735</v>
      </c>
      <c r="O55" s="110" t="s">
        <v>987</v>
      </c>
      <c r="P55" s="110" t="s">
        <v>570</v>
      </c>
      <c r="Q55" s="111" t="s">
        <v>88</v>
      </c>
      <c r="R55" s="219" t="s">
        <v>88</v>
      </c>
      <c r="S55" s="111" t="s">
        <v>88</v>
      </c>
      <c r="T55" s="279" t="s">
        <v>88</v>
      </c>
      <c r="U55" s="220" t="s">
        <v>88</v>
      </c>
      <c r="V55" s="111" t="s">
        <v>88</v>
      </c>
      <c r="W55" s="111" t="s">
        <v>88</v>
      </c>
      <c r="X55" s="111" t="s">
        <v>88</v>
      </c>
      <c r="Y55" s="111" t="s">
        <v>88</v>
      </c>
      <c r="Z55" s="111" t="s">
        <v>88</v>
      </c>
      <c r="AA55" s="111" t="s">
        <v>88</v>
      </c>
      <c r="AB55" s="154" t="s">
        <v>88</v>
      </c>
      <c r="AC55" s="111" t="s">
        <v>88</v>
      </c>
      <c r="AD55" s="111" t="s">
        <v>88</v>
      </c>
      <c r="AE55" s="111" t="s">
        <v>88</v>
      </c>
      <c r="AF55" s="111" t="s">
        <v>88</v>
      </c>
      <c r="AG55" s="111" t="s">
        <v>88</v>
      </c>
      <c r="AH55" s="111" t="s">
        <v>88</v>
      </c>
      <c r="AI55" s="111" t="s">
        <v>88</v>
      </c>
      <c r="AJ55" s="111" t="s">
        <v>88</v>
      </c>
      <c r="AK55" s="111" t="s">
        <v>88</v>
      </c>
      <c r="AL55" s="446"/>
      <c r="AM55" s="446"/>
      <c r="AN55" s="446"/>
      <c r="AO55" s="952"/>
      <c r="AP55" s="446"/>
      <c r="AQ55" s="953"/>
      <c r="AR55" s="446"/>
      <c r="AS55" s="775"/>
      <c r="AT55" s="954"/>
      <c r="AU55" s="446"/>
      <c r="AV55" s="446"/>
      <c r="AW55" s="446"/>
      <c r="AX55" s="446"/>
      <c r="AY55" s="446"/>
      <c r="AZ55" s="446"/>
      <c r="BA55" s="446"/>
      <c r="BB55" s="446"/>
      <c r="BC55" s="446"/>
      <c r="BD55" s="446"/>
      <c r="BE55" s="446"/>
      <c r="BF55" s="446"/>
      <c r="BG55" s="446"/>
      <c r="BH55" s="446"/>
      <c r="BI55" s="446"/>
      <c r="BJ55" s="446"/>
      <c r="BK55" s="446"/>
      <c r="BL55" s="446"/>
      <c r="BM55" s="446"/>
      <c r="BN55" s="950"/>
      <c r="BO55" s="446"/>
      <c r="BP55" s="446"/>
      <c r="BQ55" s="446"/>
      <c r="BR55" s="446"/>
      <c r="BS55" s="446"/>
      <c r="BT55" s="446"/>
      <c r="BU55" s="446"/>
      <c r="BV55" s="446"/>
      <c r="BW55" s="446">
        <f t="shared" ref="BW55:BW57" si="9">BR55+BS55+BT55</f>
        <v>0</v>
      </c>
      <c r="BX55" s="446"/>
      <c r="BY55" s="446"/>
      <c r="BZ55" s="446"/>
      <c r="CA55" s="446"/>
      <c r="CB55" s="446"/>
    </row>
    <row r="56" spans="1:80" ht="31.5" customHeight="1">
      <c r="A56" s="195" t="s">
        <v>1295</v>
      </c>
      <c r="B56" s="108">
        <v>45943</v>
      </c>
      <c r="C56" s="108">
        <v>45946</v>
      </c>
      <c r="D56" s="109">
        <v>2557</v>
      </c>
      <c r="E56" s="170" t="s">
        <v>1736</v>
      </c>
      <c r="F56" s="110" t="s">
        <v>135</v>
      </c>
      <c r="G56" s="110" t="s">
        <v>1297</v>
      </c>
      <c r="H56" s="110" t="s">
        <v>88</v>
      </c>
      <c r="I56" s="110" t="s">
        <v>89</v>
      </c>
      <c r="J56" s="110" t="s">
        <v>602</v>
      </c>
      <c r="K56" s="110" t="s">
        <v>318</v>
      </c>
      <c r="L56" s="110" t="s">
        <v>88</v>
      </c>
      <c r="M56" s="110" t="s">
        <v>1737</v>
      </c>
      <c r="N56" s="286" t="s">
        <v>1738</v>
      </c>
      <c r="O56" s="110" t="s">
        <v>1739</v>
      </c>
      <c r="P56" s="110" t="s">
        <v>1740</v>
      </c>
      <c r="Q56" s="111" t="s">
        <v>88</v>
      </c>
      <c r="R56" s="219" t="s">
        <v>88</v>
      </c>
      <c r="S56" s="111" t="s">
        <v>88</v>
      </c>
      <c r="T56" s="279" t="s">
        <v>88</v>
      </c>
      <c r="U56" s="220" t="s">
        <v>88</v>
      </c>
      <c r="V56" s="111" t="s">
        <v>88</v>
      </c>
      <c r="W56" s="111" t="s">
        <v>88</v>
      </c>
      <c r="X56" s="111" t="s">
        <v>88</v>
      </c>
      <c r="Y56" s="111" t="s">
        <v>88</v>
      </c>
      <c r="Z56" s="111" t="s">
        <v>88</v>
      </c>
      <c r="AA56" s="111" t="s">
        <v>88</v>
      </c>
      <c r="AB56" s="154" t="s">
        <v>88</v>
      </c>
      <c r="AC56" s="111" t="s">
        <v>88</v>
      </c>
      <c r="AD56" s="111" t="s">
        <v>88</v>
      </c>
      <c r="AE56" s="111" t="s">
        <v>88</v>
      </c>
      <c r="AF56" s="111" t="s">
        <v>88</v>
      </c>
      <c r="AG56" s="111" t="s">
        <v>88</v>
      </c>
      <c r="AH56" s="111" t="s">
        <v>88</v>
      </c>
      <c r="AI56" s="111" t="s">
        <v>88</v>
      </c>
      <c r="AJ56" s="111" t="s">
        <v>88</v>
      </c>
      <c r="AK56" s="111" t="s">
        <v>88</v>
      </c>
      <c r="AL56" s="446"/>
      <c r="AM56" s="446"/>
      <c r="AN56" s="446"/>
      <c r="AO56" s="952"/>
      <c r="AP56" s="446"/>
      <c r="AQ56" s="953"/>
      <c r="AR56" s="446"/>
      <c r="AS56" s="775"/>
      <c r="AT56" s="954"/>
      <c r="AU56" s="446"/>
      <c r="AV56" s="446"/>
      <c r="AW56" s="446"/>
      <c r="AX56" s="446"/>
      <c r="AY56" s="446"/>
      <c r="AZ56" s="446"/>
      <c r="BA56" s="446"/>
      <c r="BB56" s="446"/>
      <c r="BC56" s="446"/>
      <c r="BD56" s="446"/>
      <c r="BE56" s="446"/>
      <c r="BF56" s="446"/>
      <c r="BG56" s="446"/>
      <c r="BH56" s="446"/>
      <c r="BI56" s="446"/>
      <c r="BJ56" s="446"/>
      <c r="BK56" s="446"/>
      <c r="BL56" s="446"/>
      <c r="BM56" s="446"/>
      <c r="BN56" s="950"/>
      <c r="BO56" s="446"/>
      <c r="BP56" s="446"/>
      <c r="BQ56" s="446"/>
      <c r="BR56" s="446"/>
      <c r="BS56" s="446"/>
      <c r="BT56" s="446"/>
      <c r="BU56" s="446"/>
      <c r="BV56" s="446"/>
      <c r="BW56" s="446">
        <f t="shared" si="9"/>
        <v>0</v>
      </c>
      <c r="BX56" s="446"/>
      <c r="BY56" s="446"/>
      <c r="BZ56" s="446"/>
      <c r="CA56" s="446"/>
      <c r="CB56" s="446"/>
    </row>
    <row r="57" spans="1:80" ht="28.5" customHeight="1">
      <c r="A57" s="195" t="s">
        <v>1295</v>
      </c>
      <c r="B57" s="108">
        <v>45943</v>
      </c>
      <c r="C57" s="108">
        <v>45946</v>
      </c>
      <c r="D57" s="109">
        <v>2562</v>
      </c>
      <c r="E57" s="170" t="s">
        <v>1741</v>
      </c>
      <c r="F57" s="110" t="s">
        <v>135</v>
      </c>
      <c r="G57" s="110" t="s">
        <v>1297</v>
      </c>
      <c r="H57" s="110" t="s">
        <v>88</v>
      </c>
      <c r="I57" s="110" t="s">
        <v>89</v>
      </c>
      <c r="J57" s="110" t="s">
        <v>1742</v>
      </c>
      <c r="K57" s="110" t="s">
        <v>189</v>
      </c>
      <c r="L57" s="110" t="s">
        <v>88</v>
      </c>
      <c r="M57" s="110" t="s">
        <v>1743</v>
      </c>
      <c r="N57" s="110" t="s">
        <v>1744</v>
      </c>
      <c r="O57" s="110" t="s">
        <v>1745</v>
      </c>
      <c r="P57" s="110" t="s">
        <v>249</v>
      </c>
      <c r="Q57" s="111" t="s">
        <v>88</v>
      </c>
      <c r="R57" s="219" t="s">
        <v>88</v>
      </c>
      <c r="S57" s="111" t="s">
        <v>88</v>
      </c>
      <c r="T57" s="279" t="s">
        <v>88</v>
      </c>
      <c r="U57" s="220" t="s">
        <v>88</v>
      </c>
      <c r="V57" s="111" t="s">
        <v>88</v>
      </c>
      <c r="W57" s="111" t="s">
        <v>88</v>
      </c>
      <c r="X57" s="111" t="s">
        <v>88</v>
      </c>
      <c r="Y57" s="111" t="s">
        <v>88</v>
      </c>
      <c r="Z57" s="111" t="s">
        <v>88</v>
      </c>
      <c r="AA57" s="111" t="s">
        <v>88</v>
      </c>
      <c r="AB57" s="154" t="s">
        <v>88</v>
      </c>
      <c r="AC57" s="111" t="s">
        <v>88</v>
      </c>
      <c r="AD57" s="111" t="s">
        <v>88</v>
      </c>
      <c r="AE57" s="111" t="s">
        <v>88</v>
      </c>
      <c r="AF57" s="111" t="s">
        <v>88</v>
      </c>
      <c r="AG57" s="111" t="s">
        <v>88</v>
      </c>
      <c r="AH57" s="111" t="s">
        <v>88</v>
      </c>
      <c r="AI57" s="111" t="s">
        <v>88</v>
      </c>
      <c r="AJ57" s="111" t="s">
        <v>88</v>
      </c>
      <c r="AK57" s="111" t="s">
        <v>88</v>
      </c>
      <c r="AL57" s="446"/>
      <c r="AM57" s="446"/>
      <c r="AN57" s="446"/>
      <c r="AO57" s="952"/>
      <c r="AP57" s="446"/>
      <c r="AQ57" s="953"/>
      <c r="AR57" s="446"/>
      <c r="AS57" s="775"/>
      <c r="AT57" s="954"/>
      <c r="AU57" s="446"/>
      <c r="AV57" s="446"/>
      <c r="AW57" s="446"/>
      <c r="AX57" s="446"/>
      <c r="AY57" s="446"/>
      <c r="AZ57" s="446"/>
      <c r="BA57" s="446"/>
      <c r="BB57" s="446"/>
      <c r="BC57" s="446"/>
      <c r="BD57" s="446"/>
      <c r="BE57" s="446"/>
      <c r="BF57" s="446"/>
      <c r="BG57" s="446"/>
      <c r="BH57" s="446"/>
      <c r="BI57" s="446"/>
      <c r="BJ57" s="446"/>
      <c r="BK57" s="446"/>
      <c r="BL57" s="446"/>
      <c r="BM57" s="446"/>
      <c r="BN57" s="950"/>
      <c r="BO57" s="446"/>
      <c r="BP57" s="446"/>
      <c r="BQ57" s="446"/>
      <c r="BR57" s="446"/>
      <c r="BS57" s="446"/>
      <c r="BT57" s="446"/>
      <c r="BU57" s="446"/>
      <c r="BV57" s="446"/>
      <c r="BW57" s="446">
        <f t="shared" si="9"/>
        <v>0</v>
      </c>
      <c r="BX57" s="446"/>
      <c r="BY57" s="446"/>
      <c r="BZ57" s="446"/>
      <c r="CA57" s="446"/>
      <c r="CB57" s="446"/>
    </row>
    <row r="58" spans="1:80" ht="29.25" customHeight="1">
      <c r="A58" s="197" t="s">
        <v>1295</v>
      </c>
      <c r="B58" s="108">
        <v>45943</v>
      </c>
      <c r="C58" s="108">
        <v>45946</v>
      </c>
      <c r="D58" s="109">
        <v>2577</v>
      </c>
      <c r="E58" s="170" t="s">
        <v>1746</v>
      </c>
      <c r="F58" s="110" t="s">
        <v>86</v>
      </c>
      <c r="G58" s="110" t="s">
        <v>1297</v>
      </c>
      <c r="H58" s="110" t="s">
        <v>88</v>
      </c>
      <c r="I58" s="110" t="s">
        <v>89</v>
      </c>
      <c r="J58" s="110" t="s">
        <v>1747</v>
      </c>
      <c r="K58" s="110" t="s">
        <v>169</v>
      </c>
      <c r="L58" s="110" t="s">
        <v>88</v>
      </c>
      <c r="M58" s="110" t="s">
        <v>1748</v>
      </c>
      <c r="N58" s="110" t="s">
        <v>1749</v>
      </c>
      <c r="O58" s="110" t="s">
        <v>1750</v>
      </c>
      <c r="P58" s="110" t="s">
        <v>249</v>
      </c>
      <c r="Q58" s="111" t="s">
        <v>110</v>
      </c>
      <c r="R58" s="275" t="s">
        <v>110</v>
      </c>
      <c r="S58" s="111" t="s">
        <v>97</v>
      </c>
      <c r="T58" s="279">
        <v>1</v>
      </c>
      <c r="U58" s="220" t="s">
        <v>1751</v>
      </c>
      <c r="V58" s="111" t="s">
        <v>1752</v>
      </c>
      <c r="W58" s="132" t="s">
        <v>1753</v>
      </c>
      <c r="X58" s="111" t="s">
        <v>88</v>
      </c>
      <c r="Y58" s="111" t="s">
        <v>88</v>
      </c>
      <c r="Z58" s="111" t="s">
        <v>88</v>
      </c>
      <c r="AA58" s="111" t="s">
        <v>97</v>
      </c>
      <c r="AB58" s="154">
        <v>1</v>
      </c>
      <c r="AC58" s="111" t="s">
        <v>1751</v>
      </c>
      <c r="AD58" s="111" t="s">
        <v>1752</v>
      </c>
      <c r="AE58" s="111" t="s">
        <v>1753</v>
      </c>
      <c r="AF58" s="111" t="s">
        <v>88</v>
      </c>
      <c r="AG58" s="111" t="s">
        <v>88</v>
      </c>
      <c r="AH58" s="111" t="s">
        <v>88</v>
      </c>
      <c r="AI58" s="111" t="s">
        <v>1754</v>
      </c>
      <c r="AJ58" s="111" t="s">
        <v>88</v>
      </c>
      <c r="AK58" s="111" t="s">
        <v>88</v>
      </c>
      <c r="AL58" s="361" t="s">
        <v>1751</v>
      </c>
      <c r="AM58" s="361" t="s">
        <v>1752</v>
      </c>
      <c r="AN58" s="361" t="s">
        <v>1753</v>
      </c>
      <c r="AO58" s="452">
        <v>33770311832</v>
      </c>
      <c r="AP58" s="361" t="s">
        <v>995</v>
      </c>
      <c r="AQ58" s="361" t="s">
        <v>98</v>
      </c>
      <c r="AR58" s="361" t="s">
        <v>154</v>
      </c>
      <c r="AS58" s="360" t="s">
        <v>1755</v>
      </c>
      <c r="AT58" s="362">
        <v>45943</v>
      </c>
      <c r="AU58" s="453">
        <v>0.35416666666666669</v>
      </c>
      <c r="AV58" s="360" t="s">
        <v>1755</v>
      </c>
      <c r="AW58" s="364">
        <v>45946</v>
      </c>
      <c r="AX58" s="453">
        <v>0.43402777777777779</v>
      </c>
      <c r="AY58" s="361" t="s">
        <v>98</v>
      </c>
      <c r="AZ58" s="331"/>
      <c r="BA58" s="111" t="s">
        <v>98</v>
      </c>
      <c r="BB58" s="111" t="s">
        <v>98</v>
      </c>
      <c r="BC58" s="111" t="s">
        <v>98</v>
      </c>
      <c r="BD58" s="111" t="s">
        <v>98</v>
      </c>
      <c r="BE58" s="507" t="s">
        <v>1755</v>
      </c>
      <c r="BF58" s="111" t="s">
        <v>425</v>
      </c>
      <c r="BG58" s="508">
        <v>45943</v>
      </c>
      <c r="BH58" s="509">
        <v>0.34375</v>
      </c>
      <c r="BI58" s="510" t="s">
        <v>1756</v>
      </c>
      <c r="BJ58" s="507" t="s">
        <v>1755</v>
      </c>
      <c r="BK58" s="508">
        <v>45946</v>
      </c>
      <c r="BL58" s="509">
        <v>0.43402777777777779</v>
      </c>
      <c r="BM58" s="510" t="s">
        <v>1757</v>
      </c>
      <c r="BN58" s="704">
        <v>235.98</v>
      </c>
      <c r="BO58" s="111"/>
      <c r="BP58" s="111"/>
      <c r="BQ58" s="111"/>
      <c r="BR58" s="132">
        <v>1</v>
      </c>
      <c r="BS58" s="132">
        <v>1</v>
      </c>
      <c r="BT58" s="132">
        <v>1</v>
      </c>
      <c r="BU58" s="111" t="s">
        <v>1325</v>
      </c>
      <c r="BV58" s="483">
        <v>45946</v>
      </c>
      <c r="BW58" s="111">
        <f t="shared" si="0"/>
        <v>3</v>
      </c>
      <c r="BX58" s="111"/>
      <c r="BY58" s="111"/>
      <c r="BZ58" s="111"/>
      <c r="CA58" s="111"/>
      <c r="CB58" s="111"/>
    </row>
    <row r="59" spans="1:80" ht="29.25" customHeight="1">
      <c r="A59" s="1085" t="s">
        <v>1295</v>
      </c>
      <c r="B59" s="1087">
        <v>45943</v>
      </c>
      <c r="C59" s="1087">
        <v>45946</v>
      </c>
      <c r="D59" s="1088">
        <v>2580</v>
      </c>
      <c r="E59" s="1081" t="s">
        <v>1758</v>
      </c>
      <c r="F59" s="1087" t="s">
        <v>86</v>
      </c>
      <c r="G59" s="1087" t="s">
        <v>1297</v>
      </c>
      <c r="H59" s="1087" t="s">
        <v>88</v>
      </c>
      <c r="I59" s="1087" t="s">
        <v>89</v>
      </c>
      <c r="J59" s="1087" t="s">
        <v>1759</v>
      </c>
      <c r="K59" s="1087" t="s">
        <v>189</v>
      </c>
      <c r="L59" s="1087" t="s">
        <v>88</v>
      </c>
      <c r="M59" s="1087" t="s">
        <v>1760</v>
      </c>
      <c r="N59" s="1087" t="s">
        <v>1761</v>
      </c>
      <c r="O59" s="1087" t="s">
        <v>1762</v>
      </c>
      <c r="P59" s="1087" t="s">
        <v>827</v>
      </c>
      <c r="Q59" s="1087" t="s">
        <v>110</v>
      </c>
      <c r="R59" s="1128" t="s">
        <v>98</v>
      </c>
      <c r="S59" s="1087" t="s">
        <v>97</v>
      </c>
      <c r="T59" s="1104">
        <v>2</v>
      </c>
      <c r="U59" s="1130" t="s">
        <v>1763</v>
      </c>
      <c r="V59" s="1027" t="s">
        <v>1764</v>
      </c>
      <c r="W59" s="1041" t="s">
        <v>1765</v>
      </c>
      <c r="X59" s="1131" t="s">
        <v>1766</v>
      </c>
      <c r="Y59" s="1027" t="s">
        <v>1767</v>
      </c>
      <c r="Z59" s="1041" t="s">
        <v>1768</v>
      </c>
      <c r="AA59" s="1087" t="s">
        <v>97</v>
      </c>
      <c r="AB59" s="1108">
        <v>2</v>
      </c>
      <c r="AC59" s="1131" t="s">
        <v>1763</v>
      </c>
      <c r="AD59" s="1027" t="s">
        <v>1764</v>
      </c>
      <c r="AE59" s="1041" t="s">
        <v>1765</v>
      </c>
      <c r="AF59" s="1131" t="s">
        <v>1766</v>
      </c>
      <c r="AG59" s="1027" t="s">
        <v>1767</v>
      </c>
      <c r="AH59" s="1015" t="s">
        <v>1768</v>
      </c>
      <c r="AI59" s="1087" t="s">
        <v>1769</v>
      </c>
      <c r="AJ59" s="1087" t="s">
        <v>88</v>
      </c>
      <c r="AK59" s="1132" t="s">
        <v>88</v>
      </c>
      <c r="AL59" s="331" t="s">
        <v>1770</v>
      </c>
      <c r="AM59" s="331" t="s">
        <v>1764</v>
      </c>
      <c r="AN59" s="343" t="s">
        <v>1765</v>
      </c>
      <c r="AO59" s="381" t="s">
        <v>1771</v>
      </c>
      <c r="AP59" s="381" t="s">
        <v>995</v>
      </c>
      <c r="AQ59" s="331" t="s">
        <v>98</v>
      </c>
      <c r="AR59" s="381" t="s">
        <v>121</v>
      </c>
      <c r="AS59" s="381" t="s">
        <v>1772</v>
      </c>
      <c r="AT59" s="382">
        <v>45943</v>
      </c>
      <c r="AU59" s="383">
        <v>0.26041666666666669</v>
      </c>
      <c r="AV59" s="381" t="s">
        <v>1772</v>
      </c>
      <c r="AW59" s="382">
        <v>45947</v>
      </c>
      <c r="AX59" s="383">
        <v>0.43055555555555558</v>
      </c>
      <c r="AY59" s="331" t="s">
        <v>98</v>
      </c>
      <c r="AZ59" s="347" t="s">
        <v>1773</v>
      </c>
      <c r="BA59" s="111" t="s">
        <v>98</v>
      </c>
      <c r="BB59" s="111" t="s">
        <v>98</v>
      </c>
      <c r="BC59" s="111" t="s">
        <v>98</v>
      </c>
      <c r="BD59" s="111" t="s">
        <v>98</v>
      </c>
      <c r="BE59" s="716" t="s">
        <v>1772</v>
      </c>
      <c r="BF59" s="111" t="s">
        <v>126</v>
      </c>
      <c r="BG59" s="705">
        <v>45943</v>
      </c>
      <c r="BH59" s="706">
        <v>0.375</v>
      </c>
      <c r="BI59" s="697" t="s">
        <v>1774</v>
      </c>
      <c r="BJ59" s="716" t="s">
        <v>1772</v>
      </c>
      <c r="BK59" s="705">
        <v>45947</v>
      </c>
      <c r="BL59" s="706">
        <v>0.58333333333333337</v>
      </c>
      <c r="BM59" s="697" t="s">
        <v>1775</v>
      </c>
      <c r="BN59" s="707" t="s">
        <v>1776</v>
      </c>
      <c r="BO59" s="111"/>
      <c r="BP59" s="111"/>
      <c r="BQ59" s="111"/>
      <c r="BR59" s="132">
        <v>1</v>
      </c>
      <c r="BS59" s="132">
        <v>1</v>
      </c>
      <c r="BT59" s="132">
        <v>1</v>
      </c>
      <c r="BU59" s="111" t="s">
        <v>1325</v>
      </c>
      <c r="BV59" s="483">
        <v>45946</v>
      </c>
      <c r="BW59" s="111">
        <f t="shared" si="0"/>
        <v>3</v>
      </c>
      <c r="BX59" s="111"/>
      <c r="BY59" s="111"/>
      <c r="BZ59" s="391" t="s">
        <v>1777</v>
      </c>
      <c r="CA59" s="111" t="s">
        <v>1778</v>
      </c>
      <c r="CB59" s="111"/>
    </row>
    <row r="60" spans="1:80" ht="23" customHeight="1">
      <c r="A60" s="1086"/>
      <c r="B60" s="1005"/>
      <c r="C60" s="1005"/>
      <c r="D60" s="1088"/>
      <c r="E60" s="1082" t="s">
        <v>88</v>
      </c>
      <c r="F60" s="1005" t="s">
        <v>88</v>
      </c>
      <c r="G60" s="1005" t="s">
        <v>88</v>
      </c>
      <c r="H60" s="1005" t="s">
        <v>88</v>
      </c>
      <c r="I60" s="1005" t="s">
        <v>88</v>
      </c>
      <c r="J60" s="1005" t="s">
        <v>88</v>
      </c>
      <c r="K60" s="1005" t="s">
        <v>88</v>
      </c>
      <c r="L60" s="1005" t="s">
        <v>88</v>
      </c>
      <c r="M60" s="1005" t="s">
        <v>88</v>
      </c>
      <c r="N60" s="1005" t="s">
        <v>88</v>
      </c>
      <c r="O60" s="1005" t="s">
        <v>88</v>
      </c>
      <c r="P60" s="1005" t="s">
        <v>88</v>
      </c>
      <c r="Q60" s="1005" t="s">
        <v>88</v>
      </c>
      <c r="R60" s="1115" t="s">
        <v>88</v>
      </c>
      <c r="S60" s="1005" t="s">
        <v>88</v>
      </c>
      <c r="T60" s="1104" t="s">
        <v>88</v>
      </c>
      <c r="U60" s="1106" t="s">
        <v>88</v>
      </c>
      <c r="V60" s="1005" t="s">
        <v>88</v>
      </c>
      <c r="W60" s="1042" t="s">
        <v>88</v>
      </c>
      <c r="X60" s="1005" t="s">
        <v>88</v>
      </c>
      <c r="Y60" s="1005" t="s">
        <v>88</v>
      </c>
      <c r="Z60" s="1040" t="s">
        <v>88</v>
      </c>
      <c r="AA60" s="1005" t="s">
        <v>88</v>
      </c>
      <c r="AB60" s="1108" t="s">
        <v>88</v>
      </c>
      <c r="AC60" s="1005" t="s">
        <v>88</v>
      </c>
      <c r="AD60" s="1005" t="s">
        <v>88</v>
      </c>
      <c r="AE60" s="1042" t="s">
        <v>88</v>
      </c>
      <c r="AF60" s="1005" t="s">
        <v>88</v>
      </c>
      <c r="AG60" s="1005" t="s">
        <v>88</v>
      </c>
      <c r="AH60" s="1040" t="s">
        <v>88</v>
      </c>
      <c r="AI60" s="1005" t="s">
        <v>88</v>
      </c>
      <c r="AJ60" s="1005" t="s">
        <v>88</v>
      </c>
      <c r="AK60" s="1103" t="s">
        <v>88</v>
      </c>
      <c r="AL60" s="331" t="s">
        <v>1779</v>
      </c>
      <c r="AM60" s="380" t="s">
        <v>1767</v>
      </c>
      <c r="AN60" s="345" t="s">
        <v>1768</v>
      </c>
      <c r="AO60" s="334">
        <v>351927713863</v>
      </c>
      <c r="AP60" s="334" t="s">
        <v>1780</v>
      </c>
      <c r="AQ60" s="331" t="s">
        <v>98</v>
      </c>
      <c r="AR60" s="334" t="s">
        <v>121</v>
      </c>
      <c r="AS60" s="334" t="s">
        <v>1781</v>
      </c>
      <c r="AT60" s="334">
        <v>13</v>
      </c>
      <c r="AU60" s="334" t="s">
        <v>1782</v>
      </c>
      <c r="AV60" s="334" t="s">
        <v>1781</v>
      </c>
      <c r="AW60" s="334">
        <v>16</v>
      </c>
      <c r="AX60" s="608">
        <v>0.375</v>
      </c>
      <c r="AY60" s="331" t="s">
        <v>98</v>
      </c>
      <c r="AZ60" s="347"/>
      <c r="BA60" s="111"/>
      <c r="BB60" s="111"/>
      <c r="BC60" s="111"/>
      <c r="BD60" s="111"/>
      <c r="BE60" s="111"/>
      <c r="BF60" s="111"/>
      <c r="BG60" s="111"/>
      <c r="BH60" s="111"/>
      <c r="BI60" s="111"/>
      <c r="BJ60" s="111"/>
      <c r="BK60" s="111"/>
      <c r="BL60" s="111"/>
      <c r="BM60" s="111"/>
      <c r="BN60" s="720"/>
      <c r="BO60" s="111"/>
      <c r="BP60" s="111"/>
      <c r="BQ60" s="111"/>
      <c r="BR60" s="737"/>
      <c r="BS60" s="737"/>
      <c r="BT60" s="111"/>
      <c r="BU60" s="111"/>
      <c r="BV60" s="111"/>
      <c r="BW60" s="111">
        <f t="shared" si="0"/>
        <v>0</v>
      </c>
      <c r="BX60" s="111"/>
      <c r="BY60" s="111"/>
      <c r="BZ60" t="s">
        <v>1783</v>
      </c>
      <c r="CA60" s="111"/>
      <c r="CB60" s="111"/>
    </row>
    <row r="61" spans="1:80" ht="29.25" customHeight="1">
      <c r="A61" s="1085" t="s">
        <v>1295</v>
      </c>
      <c r="B61" s="1087">
        <v>45943</v>
      </c>
      <c r="C61" s="1087">
        <v>45946</v>
      </c>
      <c r="D61" s="1083">
        <v>2592</v>
      </c>
      <c r="E61" s="1081" t="s">
        <v>1784</v>
      </c>
      <c r="F61" s="1087" t="s">
        <v>135</v>
      </c>
      <c r="G61" s="1087" t="s">
        <v>1297</v>
      </c>
      <c r="H61" s="1087" t="s">
        <v>88</v>
      </c>
      <c r="I61" s="1087" t="s">
        <v>89</v>
      </c>
      <c r="J61" s="1087" t="s">
        <v>1785</v>
      </c>
      <c r="K61" s="1087" t="s">
        <v>428</v>
      </c>
      <c r="L61" s="1087" t="s">
        <v>88</v>
      </c>
      <c r="M61" s="1087" t="s">
        <v>1786</v>
      </c>
      <c r="N61" s="1087" t="s">
        <v>1787</v>
      </c>
      <c r="O61" s="1087" t="s">
        <v>1788</v>
      </c>
      <c r="P61" s="1087" t="s">
        <v>249</v>
      </c>
      <c r="Q61" s="1087" t="s">
        <v>251</v>
      </c>
      <c r="R61" s="1099" t="s">
        <v>110</v>
      </c>
      <c r="S61" s="1087" t="s">
        <v>97</v>
      </c>
      <c r="T61" s="1104">
        <v>2</v>
      </c>
      <c r="U61" s="1118" t="s">
        <v>1789</v>
      </c>
      <c r="V61" s="963" t="s">
        <v>1790</v>
      </c>
      <c r="W61" s="1006" t="s">
        <v>1791</v>
      </c>
      <c r="X61" s="963" t="s">
        <v>1792</v>
      </c>
      <c r="Y61" s="963" t="s">
        <v>1793</v>
      </c>
      <c r="Z61" s="1006" t="s">
        <v>1794</v>
      </c>
      <c r="AA61" s="1087" t="s">
        <v>97</v>
      </c>
      <c r="AB61" s="1108">
        <v>2</v>
      </c>
      <c r="AC61" s="1087" t="s">
        <v>1789</v>
      </c>
      <c r="AD61" s="1087" t="s">
        <v>1790</v>
      </c>
      <c r="AE61" s="1087" t="s">
        <v>1791</v>
      </c>
      <c r="AF61" s="1087" t="s">
        <v>1792</v>
      </c>
      <c r="AG61" s="1087" t="s">
        <v>1793</v>
      </c>
      <c r="AH61" s="1087" t="s">
        <v>1794</v>
      </c>
      <c r="AI61" s="1087" t="s">
        <v>88</v>
      </c>
      <c r="AJ61" s="1087" t="s">
        <v>88</v>
      </c>
      <c r="AK61" s="1129" t="s">
        <v>1795</v>
      </c>
      <c r="AL61" s="222" t="s">
        <v>1789</v>
      </c>
      <c r="AM61" s="222" t="s">
        <v>1790</v>
      </c>
      <c r="AN61" s="222" t="s">
        <v>1791</v>
      </c>
      <c r="AO61" s="454">
        <v>393483418950</v>
      </c>
      <c r="AP61" s="455" t="s">
        <v>995</v>
      </c>
      <c r="AQ61" s="222" t="s">
        <v>1006</v>
      </c>
      <c r="AR61" s="222"/>
      <c r="AS61" s="222"/>
      <c r="AT61" s="860">
        <v>45943</v>
      </c>
      <c r="AU61" s="222"/>
      <c r="AV61" s="222"/>
      <c r="AW61" s="861">
        <v>45946</v>
      </c>
      <c r="AX61" s="222"/>
      <c r="AY61" s="222" t="s">
        <v>98</v>
      </c>
      <c r="AZ61" s="222" t="s">
        <v>1796</v>
      </c>
      <c r="BA61" s="111"/>
      <c r="BB61" s="111"/>
      <c r="BC61" s="111"/>
      <c r="BD61" s="111"/>
      <c r="BE61" s="111"/>
      <c r="BF61" s="111"/>
      <c r="BG61" s="111"/>
      <c r="BH61" s="111"/>
      <c r="BI61" s="111"/>
      <c r="BJ61" s="111"/>
      <c r="BK61" s="111"/>
      <c r="BL61" s="111"/>
      <c r="BM61" s="111"/>
      <c r="BN61" s="720"/>
      <c r="BO61" s="111"/>
      <c r="BP61" s="111"/>
      <c r="BQ61" s="111"/>
      <c r="BR61" s="737"/>
      <c r="BS61" s="737"/>
      <c r="BT61" s="737"/>
      <c r="BU61" s="111"/>
      <c r="BV61" s="111"/>
      <c r="BW61" s="111">
        <f t="shared" si="0"/>
        <v>0</v>
      </c>
      <c r="BX61" s="111"/>
      <c r="BY61" s="111"/>
      <c r="BZ61" s="746" t="s">
        <v>1797</v>
      </c>
      <c r="CA61" s="746" t="s">
        <v>1798</v>
      </c>
      <c r="CB61" s="111"/>
    </row>
    <row r="62" spans="1:80" ht="23" customHeight="1">
      <c r="A62" s="1086"/>
      <c r="B62" s="1005"/>
      <c r="C62" s="1005"/>
      <c r="D62" s="1083"/>
      <c r="E62" s="1082" t="s">
        <v>88</v>
      </c>
      <c r="F62" s="1005" t="s">
        <v>88</v>
      </c>
      <c r="G62" s="1005" t="s">
        <v>88</v>
      </c>
      <c r="H62" s="1005" t="s">
        <v>88</v>
      </c>
      <c r="I62" s="1005" t="s">
        <v>88</v>
      </c>
      <c r="J62" s="1005" t="s">
        <v>88</v>
      </c>
      <c r="K62" s="1005" t="s">
        <v>88</v>
      </c>
      <c r="L62" s="1005" t="s">
        <v>88</v>
      </c>
      <c r="M62" s="1005" t="s">
        <v>88</v>
      </c>
      <c r="N62" s="1005" t="s">
        <v>88</v>
      </c>
      <c r="O62" s="1005" t="s">
        <v>88</v>
      </c>
      <c r="P62" s="1005" t="s">
        <v>88</v>
      </c>
      <c r="Q62" s="1005" t="s">
        <v>88</v>
      </c>
      <c r="R62" s="1099" t="s">
        <v>88</v>
      </c>
      <c r="S62" s="1005" t="s">
        <v>88</v>
      </c>
      <c r="T62" s="1104" t="s">
        <v>88</v>
      </c>
      <c r="U62" s="1118" t="s">
        <v>88</v>
      </c>
      <c r="V62" s="963" t="s">
        <v>88</v>
      </c>
      <c r="W62" s="1006" t="s">
        <v>88</v>
      </c>
      <c r="X62" s="963" t="s">
        <v>88</v>
      </c>
      <c r="Y62" s="963" t="s">
        <v>88</v>
      </c>
      <c r="Z62" s="1006" t="s">
        <v>88</v>
      </c>
      <c r="AA62" s="1005" t="s">
        <v>88</v>
      </c>
      <c r="AB62" s="1108" t="s">
        <v>88</v>
      </c>
      <c r="AC62" s="1005" t="s">
        <v>88</v>
      </c>
      <c r="AD62" s="1005" t="s">
        <v>88</v>
      </c>
      <c r="AE62" s="1005" t="s">
        <v>88</v>
      </c>
      <c r="AF62" s="1005" t="s">
        <v>88</v>
      </c>
      <c r="AG62" s="1005" t="s">
        <v>88</v>
      </c>
      <c r="AH62" s="1005" t="s">
        <v>88</v>
      </c>
      <c r="AI62" s="1005" t="s">
        <v>88</v>
      </c>
      <c r="AJ62" s="1005" t="s">
        <v>88</v>
      </c>
      <c r="AK62" s="1119" t="s">
        <v>88</v>
      </c>
      <c r="AL62" s="331" t="s">
        <v>1792</v>
      </c>
      <c r="AM62" s="331" t="s">
        <v>1793</v>
      </c>
      <c r="AN62" s="331" t="s">
        <v>1794</v>
      </c>
      <c r="AO62" s="352">
        <v>393454053220</v>
      </c>
      <c r="AP62" s="350" t="s">
        <v>995</v>
      </c>
      <c r="AQ62" s="331" t="s">
        <v>98</v>
      </c>
      <c r="AR62" s="350" t="s">
        <v>121</v>
      </c>
      <c r="AS62" s="350" t="s">
        <v>1799</v>
      </c>
      <c r="AT62" s="351">
        <v>45943</v>
      </c>
      <c r="AU62" s="355">
        <v>0.375</v>
      </c>
      <c r="AV62" s="350" t="s">
        <v>1799</v>
      </c>
      <c r="AW62" s="348">
        <v>45946</v>
      </c>
      <c r="AX62" s="355">
        <v>0.33333333333333331</v>
      </c>
      <c r="AY62" s="331" t="s">
        <v>98</v>
      </c>
      <c r="AZ62" s="337" t="s">
        <v>1800</v>
      </c>
      <c r="BA62" s="111" t="s">
        <v>98</v>
      </c>
      <c r="BB62" s="111" t="s">
        <v>98</v>
      </c>
      <c r="BC62" s="111" t="s">
        <v>98</v>
      </c>
      <c r="BD62" s="111" t="s">
        <v>98</v>
      </c>
      <c r="BE62" s="511" t="s">
        <v>1799</v>
      </c>
      <c r="BF62" s="111" t="s">
        <v>126</v>
      </c>
      <c r="BG62" s="508">
        <v>45943</v>
      </c>
      <c r="BH62" s="509">
        <v>0.4236111111111111</v>
      </c>
      <c r="BI62" s="510" t="s">
        <v>1127</v>
      </c>
      <c r="BJ62" s="511" t="s">
        <v>1799</v>
      </c>
      <c r="BK62" s="508">
        <v>45946</v>
      </c>
      <c r="BL62" s="509">
        <v>0.4826388888888889</v>
      </c>
      <c r="BM62" s="510" t="s">
        <v>1801</v>
      </c>
      <c r="BN62" s="704">
        <v>410.67</v>
      </c>
      <c r="BO62" s="111"/>
      <c r="BP62" s="111"/>
      <c r="BQ62" s="111"/>
      <c r="BR62" s="132">
        <v>1</v>
      </c>
      <c r="BS62" s="132">
        <v>1</v>
      </c>
      <c r="BT62" s="132">
        <v>1</v>
      </c>
      <c r="BU62" s="111" t="s">
        <v>1325</v>
      </c>
      <c r="BV62" s="483">
        <v>45946</v>
      </c>
      <c r="BW62" s="111">
        <f t="shared" si="0"/>
        <v>3</v>
      </c>
      <c r="BX62" s="111"/>
      <c r="BY62" s="111"/>
      <c r="BZ62" s="111"/>
      <c r="CA62" s="111"/>
      <c r="CB62" s="111"/>
    </row>
    <row r="63" spans="1:80" ht="58" customHeight="1">
      <c r="A63" s="195" t="s">
        <v>1295</v>
      </c>
      <c r="B63" s="108">
        <v>45943</v>
      </c>
      <c r="C63" s="108">
        <v>45946</v>
      </c>
      <c r="D63" s="109">
        <v>2600</v>
      </c>
      <c r="E63" s="171" t="s">
        <v>1802</v>
      </c>
      <c r="F63" s="110" t="s">
        <v>167</v>
      </c>
      <c r="G63" s="110" t="s">
        <v>1297</v>
      </c>
      <c r="H63" s="110" t="s">
        <v>88</v>
      </c>
      <c r="I63" s="110" t="s">
        <v>89</v>
      </c>
      <c r="J63" s="110" t="s">
        <v>1803</v>
      </c>
      <c r="K63" s="110" t="s">
        <v>360</v>
      </c>
      <c r="L63" s="110" t="s">
        <v>88</v>
      </c>
      <c r="M63" s="110" t="s">
        <v>1804</v>
      </c>
      <c r="N63" s="110" t="s">
        <v>1805</v>
      </c>
      <c r="O63" s="110" t="s">
        <v>1806</v>
      </c>
      <c r="P63" s="110" t="s">
        <v>1807</v>
      </c>
      <c r="Q63" s="111" t="s">
        <v>88</v>
      </c>
      <c r="R63" s="219" t="s">
        <v>88</v>
      </c>
      <c r="S63" s="111" t="s">
        <v>88</v>
      </c>
      <c r="T63" s="279" t="s">
        <v>88</v>
      </c>
      <c r="U63" s="220" t="s">
        <v>88</v>
      </c>
      <c r="V63" s="111" t="s">
        <v>88</v>
      </c>
      <c r="W63" s="111" t="s">
        <v>88</v>
      </c>
      <c r="X63" s="111" t="s">
        <v>88</v>
      </c>
      <c r="Y63" s="111" t="s">
        <v>88</v>
      </c>
      <c r="Z63" s="111" t="s">
        <v>88</v>
      </c>
      <c r="AA63" s="111" t="s">
        <v>88</v>
      </c>
      <c r="AB63" s="154" t="s">
        <v>88</v>
      </c>
      <c r="AC63" s="111" t="s">
        <v>88</v>
      </c>
      <c r="AD63" s="111" t="s">
        <v>88</v>
      </c>
      <c r="AE63" s="111" t="s">
        <v>88</v>
      </c>
      <c r="AF63" s="111" t="s">
        <v>88</v>
      </c>
      <c r="AG63" s="111" t="s">
        <v>88</v>
      </c>
      <c r="AH63" s="111" t="s">
        <v>88</v>
      </c>
      <c r="AI63" s="111" t="s">
        <v>88</v>
      </c>
      <c r="AJ63" s="111" t="s">
        <v>88</v>
      </c>
      <c r="AK63" s="111" t="s">
        <v>88</v>
      </c>
      <c r="AL63" s="446"/>
      <c r="AM63" s="446"/>
      <c r="AN63" s="446"/>
      <c r="AO63" s="952"/>
      <c r="AP63" s="446"/>
      <c r="AQ63" s="953"/>
      <c r="AR63" s="446"/>
      <c r="AS63" s="775"/>
      <c r="AT63" s="954"/>
      <c r="AU63" s="446"/>
      <c r="AV63" s="446"/>
      <c r="AW63" s="446"/>
      <c r="AX63" s="446"/>
      <c r="AY63" s="446"/>
      <c r="AZ63" s="446"/>
      <c r="BA63" s="446"/>
      <c r="BB63" s="446"/>
      <c r="BC63" s="446"/>
      <c r="BD63" s="446"/>
      <c r="BE63" s="446"/>
      <c r="BF63" s="446"/>
      <c r="BG63" s="446"/>
      <c r="BH63" s="446"/>
      <c r="BI63" s="446"/>
      <c r="BJ63" s="446"/>
      <c r="BK63" s="446"/>
      <c r="BL63" s="446"/>
      <c r="BM63" s="446"/>
      <c r="BN63" s="950"/>
      <c r="BO63" s="446"/>
      <c r="BP63" s="446"/>
      <c r="BQ63" s="446"/>
      <c r="BR63" s="446"/>
      <c r="BS63" s="446"/>
      <c r="BT63" s="446"/>
      <c r="BU63" s="446"/>
      <c r="BV63" s="446"/>
      <c r="BW63" s="446">
        <f t="shared" ref="BW63" si="10">BR63+BS63+BT63</f>
        <v>0</v>
      </c>
      <c r="BX63" s="446"/>
      <c r="BY63" s="446"/>
      <c r="BZ63" s="746" t="s">
        <v>1808</v>
      </c>
      <c r="CA63" s="446"/>
      <c r="CB63" s="446"/>
    </row>
    <row r="64" spans="1:80" ht="29.25" customHeight="1">
      <c r="A64" s="1085" t="s">
        <v>1295</v>
      </c>
      <c r="B64" s="1087">
        <v>45943</v>
      </c>
      <c r="C64" s="1087">
        <v>45946</v>
      </c>
      <c r="D64" s="1083">
        <v>2604</v>
      </c>
      <c r="E64" s="1097" t="s">
        <v>1809</v>
      </c>
      <c r="F64" s="1087" t="s">
        <v>135</v>
      </c>
      <c r="G64" s="1087" t="s">
        <v>1297</v>
      </c>
      <c r="H64" s="1087" t="s">
        <v>88</v>
      </c>
      <c r="I64" s="1087" t="s">
        <v>89</v>
      </c>
      <c r="J64" s="1087" t="s">
        <v>1810</v>
      </c>
      <c r="K64" s="1087" t="s">
        <v>1811</v>
      </c>
      <c r="L64" s="1087" t="s">
        <v>88</v>
      </c>
      <c r="M64" s="1087" t="s">
        <v>1812</v>
      </c>
      <c r="N64" s="110" t="s">
        <v>1813</v>
      </c>
      <c r="O64" s="110" t="s">
        <v>1814</v>
      </c>
      <c r="P64" s="110" t="s">
        <v>249</v>
      </c>
      <c r="Q64" s="1087" t="s">
        <v>110</v>
      </c>
      <c r="R64" s="1102" t="s">
        <v>110</v>
      </c>
      <c r="S64" s="1087" t="s">
        <v>97</v>
      </c>
      <c r="T64" s="1104">
        <v>2</v>
      </c>
      <c r="U64" s="1105" t="s">
        <v>1815</v>
      </c>
      <c r="V64" s="1087" t="s">
        <v>1816</v>
      </c>
      <c r="W64" s="1107" t="s">
        <v>1817</v>
      </c>
      <c r="X64" s="1087" t="s">
        <v>1818</v>
      </c>
      <c r="Y64" s="1087" t="s">
        <v>1819</v>
      </c>
      <c r="Z64" s="1107" t="s">
        <v>1820</v>
      </c>
      <c r="AA64" s="1087" t="s">
        <v>97</v>
      </c>
      <c r="AB64" s="1108">
        <v>2</v>
      </c>
      <c r="AC64" s="1087" t="s">
        <v>1815</v>
      </c>
      <c r="AD64" s="1087" t="s">
        <v>1816</v>
      </c>
      <c r="AE64" s="1087" t="s">
        <v>1817</v>
      </c>
      <c r="AF64" s="1087" t="s">
        <v>1818</v>
      </c>
      <c r="AG64" s="1087" t="s">
        <v>1819</v>
      </c>
      <c r="AH64" s="1087" t="s">
        <v>1820</v>
      </c>
      <c r="AI64" s="1087" t="s">
        <v>376</v>
      </c>
      <c r="AJ64" s="1087" t="s">
        <v>88</v>
      </c>
      <c r="AK64" s="1087" t="s">
        <v>88</v>
      </c>
      <c r="AL64" s="331" t="s">
        <v>1815</v>
      </c>
      <c r="AM64" s="331" t="s">
        <v>1816</v>
      </c>
      <c r="AN64" s="331" t="s">
        <v>1817</v>
      </c>
      <c r="AO64" s="336">
        <v>40757421909</v>
      </c>
      <c r="AP64" s="331" t="s">
        <v>995</v>
      </c>
      <c r="AQ64" s="331" t="s">
        <v>98</v>
      </c>
      <c r="AR64" s="331" t="s">
        <v>121</v>
      </c>
      <c r="AS64" s="354" t="s">
        <v>1821</v>
      </c>
      <c r="AT64" s="351">
        <v>45943</v>
      </c>
      <c r="AU64" s="342">
        <v>0.33333333333333331</v>
      </c>
      <c r="AV64" s="354" t="s">
        <v>384</v>
      </c>
      <c r="AW64" s="348">
        <v>45946</v>
      </c>
      <c r="AX64" s="342">
        <v>0.58333333333333337</v>
      </c>
      <c r="AY64" s="331" t="s">
        <v>98</v>
      </c>
      <c r="AZ64" s="331"/>
      <c r="BA64" s="111" t="s">
        <v>98</v>
      </c>
      <c r="BB64" s="111" t="s">
        <v>98</v>
      </c>
      <c r="BC64" s="111" t="s">
        <v>98</v>
      </c>
      <c r="BD64" s="111" t="s">
        <v>98</v>
      </c>
      <c r="BE64" s="507" t="s">
        <v>1821</v>
      </c>
      <c r="BF64" s="111" t="s">
        <v>126</v>
      </c>
      <c r="BG64" s="508">
        <v>45943</v>
      </c>
      <c r="BH64" s="509">
        <v>0.2638888888888889</v>
      </c>
      <c r="BI64" s="510" t="s">
        <v>1822</v>
      </c>
      <c r="BJ64" s="507" t="s">
        <v>1821</v>
      </c>
      <c r="BK64" s="508">
        <v>45946</v>
      </c>
      <c r="BL64" s="509">
        <v>0.3611111111111111</v>
      </c>
      <c r="BM64" s="510" t="s">
        <v>1823</v>
      </c>
      <c r="BN64" s="704">
        <v>546.4</v>
      </c>
      <c r="BO64" s="111"/>
      <c r="BP64" s="111"/>
      <c r="BQ64" s="111"/>
      <c r="BR64" s="132">
        <v>1</v>
      </c>
      <c r="BS64" s="132">
        <v>1</v>
      </c>
      <c r="BT64" s="132">
        <v>1</v>
      </c>
      <c r="BU64" s="111" t="s">
        <v>1325</v>
      </c>
      <c r="BV64" s="483">
        <v>45946</v>
      </c>
      <c r="BW64" s="111">
        <f t="shared" si="0"/>
        <v>3</v>
      </c>
      <c r="BX64" s="111"/>
      <c r="BY64" s="111"/>
      <c r="BZ64" s="111"/>
      <c r="CA64" s="111"/>
      <c r="CB64" s="111"/>
    </row>
    <row r="65" spans="1:80" ht="23" customHeight="1">
      <c r="A65" s="1086"/>
      <c r="B65" s="1005"/>
      <c r="C65" s="1005"/>
      <c r="D65" s="1083"/>
      <c r="E65" s="1098" t="s">
        <v>88</v>
      </c>
      <c r="F65" s="1005" t="s">
        <v>88</v>
      </c>
      <c r="G65" s="1005" t="s">
        <v>88</v>
      </c>
      <c r="H65" s="1005" t="s">
        <v>88</v>
      </c>
      <c r="I65" s="1005" t="s">
        <v>88</v>
      </c>
      <c r="J65" s="1005" t="s">
        <v>88</v>
      </c>
      <c r="K65" s="1005" t="s">
        <v>88</v>
      </c>
      <c r="L65" s="1005" t="s">
        <v>88</v>
      </c>
      <c r="M65" s="1005" t="s">
        <v>88</v>
      </c>
      <c r="N65" s="110" t="s">
        <v>88</v>
      </c>
      <c r="O65" s="110" t="s">
        <v>88</v>
      </c>
      <c r="P65" s="110" t="s">
        <v>88</v>
      </c>
      <c r="Q65" s="1005" t="s">
        <v>88</v>
      </c>
      <c r="R65" s="1103" t="s">
        <v>88</v>
      </c>
      <c r="S65" s="1005" t="s">
        <v>88</v>
      </c>
      <c r="T65" s="1104" t="s">
        <v>88</v>
      </c>
      <c r="U65" s="1106" t="s">
        <v>88</v>
      </c>
      <c r="V65" s="1005" t="s">
        <v>88</v>
      </c>
      <c r="W65" s="1005" t="s">
        <v>88</v>
      </c>
      <c r="X65" s="1005" t="s">
        <v>88</v>
      </c>
      <c r="Y65" s="1005" t="s">
        <v>88</v>
      </c>
      <c r="Z65" s="1005" t="s">
        <v>88</v>
      </c>
      <c r="AA65" s="1005" t="s">
        <v>88</v>
      </c>
      <c r="AB65" s="1108" t="s">
        <v>88</v>
      </c>
      <c r="AC65" s="1005" t="s">
        <v>88</v>
      </c>
      <c r="AD65" s="1005" t="s">
        <v>88</v>
      </c>
      <c r="AE65" s="1005" t="s">
        <v>88</v>
      </c>
      <c r="AF65" s="1005" t="s">
        <v>88</v>
      </c>
      <c r="AG65" s="1005" t="s">
        <v>88</v>
      </c>
      <c r="AH65" s="1005" t="s">
        <v>88</v>
      </c>
      <c r="AI65" s="1005" t="s">
        <v>88</v>
      </c>
      <c r="AJ65" s="1005" t="s">
        <v>88</v>
      </c>
      <c r="AK65" s="1005" t="s">
        <v>88</v>
      </c>
      <c r="AL65" s="331" t="s">
        <v>1818</v>
      </c>
      <c r="AM65" s="331" t="s">
        <v>1824</v>
      </c>
      <c r="AN65" s="331" t="s">
        <v>1820</v>
      </c>
      <c r="AO65" s="359">
        <v>40753450170</v>
      </c>
      <c r="AP65" s="360" t="s">
        <v>995</v>
      </c>
      <c r="AQ65" s="361" t="s">
        <v>98</v>
      </c>
      <c r="AR65" s="360" t="s">
        <v>121</v>
      </c>
      <c r="AS65" s="360" t="s">
        <v>1821</v>
      </c>
      <c r="AT65" s="362">
        <v>45943</v>
      </c>
      <c r="AU65" s="363">
        <v>0.33333333333333331</v>
      </c>
      <c r="AV65" s="360" t="s">
        <v>384</v>
      </c>
      <c r="AW65" s="364">
        <v>45946</v>
      </c>
      <c r="AX65" s="363">
        <v>0.58333333333333337</v>
      </c>
      <c r="AY65" s="361" t="s">
        <v>98</v>
      </c>
      <c r="AZ65" s="361"/>
      <c r="BA65" s="111" t="s">
        <v>98</v>
      </c>
      <c r="BB65" s="111" t="s">
        <v>98</v>
      </c>
      <c r="BC65" s="111" t="s">
        <v>98</v>
      </c>
      <c r="BD65" s="111" t="s">
        <v>98</v>
      </c>
      <c r="BE65" s="507" t="s">
        <v>1821</v>
      </c>
      <c r="BF65" s="111" t="s">
        <v>126</v>
      </c>
      <c r="BG65" s="512">
        <v>45943</v>
      </c>
      <c r="BH65" s="513">
        <v>0.2638888888888889</v>
      </c>
      <c r="BI65" s="514" t="s">
        <v>1822</v>
      </c>
      <c r="BJ65" s="507" t="s">
        <v>1821</v>
      </c>
      <c r="BK65" s="512">
        <v>45946</v>
      </c>
      <c r="BL65" s="513">
        <v>0.3611111111111111</v>
      </c>
      <c r="BM65" s="514" t="s">
        <v>1823</v>
      </c>
      <c r="BN65" s="724">
        <v>546.4</v>
      </c>
      <c r="BO65" s="111"/>
      <c r="BP65" s="111"/>
      <c r="BQ65" s="111"/>
      <c r="BR65" s="132">
        <v>1</v>
      </c>
      <c r="BS65" s="132">
        <v>1</v>
      </c>
      <c r="BT65" s="132">
        <v>1</v>
      </c>
      <c r="BU65" s="111" t="s">
        <v>1325</v>
      </c>
      <c r="BV65" s="483">
        <v>45946</v>
      </c>
      <c r="BW65" s="111">
        <f t="shared" si="0"/>
        <v>3</v>
      </c>
      <c r="BX65" s="111"/>
      <c r="BY65" s="111"/>
      <c r="BZ65" s="111"/>
      <c r="CA65" s="111"/>
      <c r="CB65" s="111"/>
    </row>
    <row r="66" spans="1:80" s="23" customFormat="1" ht="48" customHeight="1">
      <c r="A66" s="195" t="s">
        <v>1295</v>
      </c>
      <c r="B66" s="108">
        <v>45943</v>
      </c>
      <c r="C66" s="108">
        <v>45946</v>
      </c>
      <c r="D66" s="109">
        <v>2620</v>
      </c>
      <c r="E66" s="171" t="s">
        <v>1825</v>
      </c>
      <c r="F66" s="110" t="s">
        <v>167</v>
      </c>
      <c r="G66" s="110" t="s">
        <v>1297</v>
      </c>
      <c r="H66" s="110" t="s">
        <v>88</v>
      </c>
      <c r="I66" s="110" t="s">
        <v>89</v>
      </c>
      <c r="J66" s="110" t="s">
        <v>1826</v>
      </c>
      <c r="K66" s="110" t="s">
        <v>189</v>
      </c>
      <c r="L66" s="110" t="s">
        <v>88</v>
      </c>
      <c r="M66" s="110" t="s">
        <v>1827</v>
      </c>
      <c r="N66" s="286" t="s">
        <v>1828</v>
      </c>
      <c r="O66" s="110" t="s">
        <v>1829</v>
      </c>
      <c r="P66" s="110" t="s">
        <v>140</v>
      </c>
      <c r="Q66" s="111" t="s">
        <v>88</v>
      </c>
      <c r="R66" s="219" t="s">
        <v>88</v>
      </c>
      <c r="S66" s="111" t="s">
        <v>88</v>
      </c>
      <c r="T66" s="279" t="s">
        <v>88</v>
      </c>
      <c r="U66" s="220" t="s">
        <v>88</v>
      </c>
      <c r="V66" s="111" t="s">
        <v>88</v>
      </c>
      <c r="W66" s="111" t="s">
        <v>88</v>
      </c>
      <c r="X66" s="111" t="s">
        <v>88</v>
      </c>
      <c r="Y66" s="111" t="s">
        <v>88</v>
      </c>
      <c r="Z66" s="111" t="s">
        <v>88</v>
      </c>
      <c r="AA66" s="111" t="s">
        <v>88</v>
      </c>
      <c r="AB66" s="154" t="s">
        <v>88</v>
      </c>
      <c r="AC66" s="111" t="s">
        <v>88</v>
      </c>
      <c r="AD66" s="111" t="s">
        <v>88</v>
      </c>
      <c r="AE66" s="111" t="s">
        <v>88</v>
      </c>
      <c r="AF66" s="111" t="s">
        <v>88</v>
      </c>
      <c r="AG66" s="111" t="s">
        <v>88</v>
      </c>
      <c r="AH66" s="111" t="s">
        <v>88</v>
      </c>
      <c r="AI66" s="111" t="s">
        <v>88</v>
      </c>
      <c r="AJ66" s="111" t="s">
        <v>88</v>
      </c>
      <c r="AK66" s="111" t="s">
        <v>88</v>
      </c>
      <c r="AL66" s="446"/>
      <c r="AM66" s="446"/>
      <c r="AN66" s="446"/>
      <c r="AO66" s="952"/>
      <c r="AP66" s="446"/>
      <c r="AQ66" s="953"/>
      <c r="AR66" s="446"/>
      <c r="AS66" s="775"/>
      <c r="AT66" s="954"/>
      <c r="AU66" s="446"/>
      <c r="AV66" s="446"/>
      <c r="AW66" s="446"/>
      <c r="AX66" s="446"/>
      <c r="AY66" s="446"/>
      <c r="AZ66" s="446"/>
      <c r="BA66" s="446"/>
      <c r="BB66" s="446"/>
      <c r="BC66" s="446"/>
      <c r="BD66" s="446"/>
      <c r="BE66" s="446"/>
      <c r="BF66" s="446"/>
      <c r="BG66" s="446"/>
      <c r="BH66" s="446"/>
      <c r="BI66" s="446"/>
      <c r="BJ66" s="446"/>
      <c r="BK66" s="446"/>
      <c r="BL66" s="446"/>
      <c r="BM66" s="446"/>
      <c r="BN66" s="950"/>
      <c r="BO66" s="446"/>
      <c r="BP66" s="446"/>
      <c r="BQ66" s="446"/>
      <c r="BR66" s="446"/>
      <c r="BS66" s="446"/>
      <c r="BT66" s="446"/>
      <c r="BU66" s="446"/>
      <c r="BV66" s="446"/>
      <c r="BW66" s="446">
        <f t="shared" ref="BW66" si="11">BR66+BS66+BT66</f>
        <v>0</v>
      </c>
      <c r="BX66" s="446"/>
      <c r="BY66" s="446"/>
      <c r="BZ66" s="446"/>
      <c r="CA66" s="446"/>
      <c r="CB66" s="446"/>
    </row>
    <row r="67" spans="1:80" ht="29.25" customHeight="1">
      <c r="A67" s="1085" t="s">
        <v>1295</v>
      </c>
      <c r="B67" s="1087">
        <v>45943</v>
      </c>
      <c r="C67" s="1087">
        <v>45946</v>
      </c>
      <c r="D67" s="1088">
        <v>2621</v>
      </c>
      <c r="E67" s="1097" t="s">
        <v>1830</v>
      </c>
      <c r="F67" s="1087" t="s">
        <v>167</v>
      </c>
      <c r="G67" s="1087" t="s">
        <v>1297</v>
      </c>
      <c r="H67" s="1087" t="s">
        <v>88</v>
      </c>
      <c r="I67" s="1087" t="s">
        <v>89</v>
      </c>
      <c r="J67" s="1087" t="s">
        <v>1831</v>
      </c>
      <c r="K67" s="1087" t="s">
        <v>189</v>
      </c>
      <c r="L67" s="1087" t="s">
        <v>88</v>
      </c>
      <c r="M67" s="1087" t="s">
        <v>1832</v>
      </c>
      <c r="N67" s="1015" t="s">
        <v>1833</v>
      </c>
      <c r="O67" s="1087" t="s">
        <v>1834</v>
      </c>
      <c r="P67" s="1087" t="s">
        <v>140</v>
      </c>
      <c r="Q67" s="1087" t="s">
        <v>110</v>
      </c>
      <c r="R67" s="1099" t="s">
        <v>98</v>
      </c>
      <c r="S67" s="1087" t="s">
        <v>97</v>
      </c>
      <c r="T67" s="1104">
        <v>2</v>
      </c>
      <c r="U67" s="1105" t="s">
        <v>1835</v>
      </c>
      <c r="V67" s="1087" t="s">
        <v>1836</v>
      </c>
      <c r="W67" s="1006" t="s">
        <v>1837</v>
      </c>
      <c r="X67" s="1087" t="s">
        <v>400</v>
      </c>
      <c r="Y67" s="1087" t="s">
        <v>1838</v>
      </c>
      <c r="Z67" s="1006" t="s">
        <v>1839</v>
      </c>
      <c r="AA67" s="1087" t="s">
        <v>97</v>
      </c>
      <c r="AB67" s="1108">
        <v>2</v>
      </c>
      <c r="AC67" s="1087" t="s">
        <v>1835</v>
      </c>
      <c r="AD67" s="1087" t="s">
        <v>1836</v>
      </c>
      <c r="AE67" s="1088" t="s">
        <v>1837</v>
      </c>
      <c r="AF67" s="1087" t="s">
        <v>400</v>
      </c>
      <c r="AG67" s="1087" t="s">
        <v>1838</v>
      </c>
      <c r="AH67" s="1088" t="s">
        <v>1839</v>
      </c>
      <c r="AI67" s="1087" t="s">
        <v>376</v>
      </c>
      <c r="AJ67" s="1133" t="s">
        <v>1840</v>
      </c>
      <c r="AK67" s="1087" t="s">
        <v>1841</v>
      </c>
      <c r="AL67" s="611" t="s">
        <v>1835</v>
      </c>
      <c r="AM67" s="331" t="s">
        <v>1836</v>
      </c>
      <c r="AN67" s="365" t="s">
        <v>1837</v>
      </c>
      <c r="AO67" s="335" t="s">
        <v>1842</v>
      </c>
      <c r="AP67" s="340" t="s">
        <v>1843</v>
      </c>
      <c r="AQ67" s="331" t="s">
        <v>98</v>
      </c>
      <c r="AR67" s="340" t="s">
        <v>121</v>
      </c>
      <c r="AS67" s="340" t="s">
        <v>1844</v>
      </c>
      <c r="AT67" s="333">
        <v>45943</v>
      </c>
      <c r="AU67" s="340" t="s">
        <v>1845</v>
      </c>
      <c r="AV67" s="340" t="s">
        <v>1844</v>
      </c>
      <c r="AW67" s="609">
        <v>45945</v>
      </c>
      <c r="AX67" s="340" t="s">
        <v>1846</v>
      </c>
      <c r="AY67" s="331" t="s">
        <v>98</v>
      </c>
      <c r="AZ67" s="331"/>
      <c r="BA67" s="111" t="s">
        <v>98</v>
      </c>
      <c r="BB67" s="111" t="s">
        <v>98</v>
      </c>
      <c r="BC67" s="111" t="s">
        <v>98</v>
      </c>
      <c r="BD67" s="111" t="s">
        <v>98</v>
      </c>
      <c r="BE67" s="721" t="s">
        <v>1844</v>
      </c>
      <c r="BF67" s="111" t="s">
        <v>126</v>
      </c>
      <c r="BG67" s="705">
        <v>45943</v>
      </c>
      <c r="BH67" s="706">
        <v>0.43402777777777779</v>
      </c>
      <c r="BI67" s="697" t="s">
        <v>132</v>
      </c>
      <c r="BJ67" s="721" t="s">
        <v>1844</v>
      </c>
      <c r="BK67" s="705">
        <v>45945</v>
      </c>
      <c r="BL67" s="706">
        <v>0.89930555555555558</v>
      </c>
      <c r="BM67" s="697" t="s">
        <v>1847</v>
      </c>
      <c r="BN67" s="707" t="s">
        <v>1848</v>
      </c>
      <c r="BO67" s="111"/>
      <c r="BP67" s="111"/>
      <c r="BQ67" s="111"/>
      <c r="BR67" s="132">
        <v>1</v>
      </c>
      <c r="BS67" s="132">
        <v>1</v>
      </c>
      <c r="BT67" s="619">
        <v>0</v>
      </c>
      <c r="BU67" s="111" t="s">
        <v>1325</v>
      </c>
      <c r="BV67" s="483">
        <v>45945</v>
      </c>
      <c r="BW67" s="111">
        <f t="shared" ref="BW67:BW83" si="12">BR67+BS67+BT67</f>
        <v>2</v>
      </c>
      <c r="BX67" s="111"/>
      <c r="BY67" s="111"/>
      <c r="BZ67" s="391" t="s">
        <v>1442</v>
      </c>
      <c r="CA67" s="195" t="s">
        <v>1849</v>
      </c>
      <c r="CB67" s="111"/>
    </row>
    <row r="68" spans="1:80" ht="23" customHeight="1">
      <c r="A68" s="1086"/>
      <c r="B68" s="1005"/>
      <c r="C68" s="1005"/>
      <c r="D68" s="1088"/>
      <c r="E68" s="1098" t="s">
        <v>88</v>
      </c>
      <c r="F68" s="1005" t="s">
        <v>88</v>
      </c>
      <c r="G68" s="1005" t="s">
        <v>88</v>
      </c>
      <c r="H68" s="1005" t="s">
        <v>88</v>
      </c>
      <c r="I68" s="1005" t="s">
        <v>88</v>
      </c>
      <c r="J68" s="1005" t="s">
        <v>88</v>
      </c>
      <c r="K68" s="1005" t="s">
        <v>88</v>
      </c>
      <c r="L68" s="1005" t="s">
        <v>88</v>
      </c>
      <c r="M68" s="1005" t="s">
        <v>88</v>
      </c>
      <c r="N68" s="1040" t="s">
        <v>88</v>
      </c>
      <c r="O68" s="1005" t="s">
        <v>88</v>
      </c>
      <c r="P68" s="1005" t="s">
        <v>88</v>
      </c>
      <c r="Q68" s="1005" t="s">
        <v>88</v>
      </c>
      <c r="R68" s="1099" t="s">
        <v>88</v>
      </c>
      <c r="S68" s="1005" t="s">
        <v>88</v>
      </c>
      <c r="T68" s="1104" t="s">
        <v>88</v>
      </c>
      <c r="U68" s="1106" t="s">
        <v>88</v>
      </c>
      <c r="V68" s="1005" t="s">
        <v>88</v>
      </c>
      <c r="W68" s="1006" t="s">
        <v>88</v>
      </c>
      <c r="X68" s="1005" t="s">
        <v>88</v>
      </c>
      <c r="Y68" s="1005" t="s">
        <v>88</v>
      </c>
      <c r="Z68" s="1006" t="s">
        <v>88</v>
      </c>
      <c r="AA68" s="1005" t="s">
        <v>88</v>
      </c>
      <c r="AB68" s="1108" t="s">
        <v>88</v>
      </c>
      <c r="AC68" s="1005" t="s">
        <v>88</v>
      </c>
      <c r="AD68" s="1005" t="s">
        <v>88</v>
      </c>
      <c r="AE68" s="1088" t="s">
        <v>88</v>
      </c>
      <c r="AF68" s="1005" t="s">
        <v>88</v>
      </c>
      <c r="AG68" s="1005" t="s">
        <v>88</v>
      </c>
      <c r="AH68" s="1088" t="s">
        <v>88</v>
      </c>
      <c r="AI68" s="1005" t="s">
        <v>88</v>
      </c>
      <c r="AJ68" s="1133"/>
      <c r="AK68" s="1005" t="s">
        <v>88</v>
      </c>
      <c r="AL68" s="446" t="s">
        <v>400</v>
      </c>
      <c r="AM68" s="446" t="s">
        <v>1838</v>
      </c>
      <c r="AN68" s="365" t="s">
        <v>1839</v>
      </c>
      <c r="AO68" s="332">
        <v>37061006946</v>
      </c>
      <c r="AP68" s="434">
        <v>2621</v>
      </c>
      <c r="AQ68" s="331" t="s">
        <v>98</v>
      </c>
      <c r="AR68" s="434" t="s">
        <v>121</v>
      </c>
      <c r="AS68" s="434" t="s">
        <v>1850</v>
      </c>
      <c r="AT68" s="434" t="s">
        <v>1851</v>
      </c>
      <c r="AU68" s="434" t="s">
        <v>1094</v>
      </c>
      <c r="AV68" s="434" t="s">
        <v>1850</v>
      </c>
      <c r="AW68" s="434" t="s">
        <v>1852</v>
      </c>
      <c r="AX68" s="434" t="s">
        <v>1521</v>
      </c>
      <c r="AY68" s="331" t="s">
        <v>98</v>
      </c>
      <c r="AZ68" s="331"/>
      <c r="BA68" s="111" t="s">
        <v>98</v>
      </c>
      <c r="BB68" s="111" t="s">
        <v>98</v>
      </c>
      <c r="BC68" s="111" t="s">
        <v>98</v>
      </c>
      <c r="BD68" s="111" t="s">
        <v>98</v>
      </c>
      <c r="BE68" s="723" t="s">
        <v>1850</v>
      </c>
      <c r="BF68" s="111" t="s">
        <v>126</v>
      </c>
      <c r="BG68" s="705">
        <v>45943</v>
      </c>
      <c r="BH68" s="706">
        <v>0.29166666666666669</v>
      </c>
      <c r="BI68" s="697" t="s">
        <v>1853</v>
      </c>
      <c r="BJ68" s="723" t="s">
        <v>1850</v>
      </c>
      <c r="BK68" s="705">
        <v>45945</v>
      </c>
      <c r="BL68" s="706">
        <v>0.85416666666666663</v>
      </c>
      <c r="BM68" s="697" t="s">
        <v>1854</v>
      </c>
      <c r="BN68" s="707" t="s">
        <v>1855</v>
      </c>
      <c r="BO68" s="111"/>
      <c r="BP68" s="111"/>
      <c r="BQ68" s="111"/>
      <c r="BR68" s="132">
        <v>1</v>
      </c>
      <c r="BS68" s="132">
        <v>1</v>
      </c>
      <c r="BT68" s="619">
        <v>0</v>
      </c>
      <c r="BU68" s="111" t="s">
        <v>1325</v>
      </c>
      <c r="BV68" s="483">
        <v>45945</v>
      </c>
      <c r="BW68" s="111">
        <f t="shared" si="12"/>
        <v>2</v>
      </c>
      <c r="BX68" s="111"/>
      <c r="BY68" s="111"/>
      <c r="BZ68" s="111"/>
      <c r="CA68" s="111"/>
      <c r="CB68" s="111"/>
    </row>
    <row r="69" spans="1:80" ht="29.25" customHeight="1">
      <c r="A69" s="1085" t="s">
        <v>1295</v>
      </c>
      <c r="B69" s="1087">
        <v>45943</v>
      </c>
      <c r="C69" s="1087">
        <v>45946</v>
      </c>
      <c r="D69" s="1083">
        <v>2634</v>
      </c>
      <c r="E69" s="1097" t="s">
        <v>1856</v>
      </c>
      <c r="F69" s="1087" t="s">
        <v>86</v>
      </c>
      <c r="G69" s="1087" t="s">
        <v>1297</v>
      </c>
      <c r="H69" s="1087" t="s">
        <v>88</v>
      </c>
      <c r="I69" s="1087" t="s">
        <v>89</v>
      </c>
      <c r="J69" s="1087" t="s">
        <v>906</v>
      </c>
      <c r="K69" s="1087" t="s">
        <v>428</v>
      </c>
      <c r="L69" s="1087" t="s">
        <v>88</v>
      </c>
      <c r="M69" s="1087" t="s">
        <v>907</v>
      </c>
      <c r="N69" s="1087" t="s">
        <v>908</v>
      </c>
      <c r="O69" s="1087" t="s">
        <v>909</v>
      </c>
      <c r="P69" s="1087" t="s">
        <v>249</v>
      </c>
      <c r="Q69" s="1087" t="s">
        <v>251</v>
      </c>
      <c r="R69" s="1128" t="s">
        <v>98</v>
      </c>
      <c r="S69" s="1087" t="s">
        <v>97</v>
      </c>
      <c r="T69" s="1104">
        <v>2</v>
      </c>
      <c r="U69" s="1105" t="s">
        <v>1857</v>
      </c>
      <c r="V69" s="1087" t="s">
        <v>1858</v>
      </c>
      <c r="W69" s="1041" t="s">
        <v>1859</v>
      </c>
      <c r="X69" s="1087" t="s">
        <v>1714</v>
      </c>
      <c r="Y69" s="1087" t="s">
        <v>1860</v>
      </c>
      <c r="Z69" s="1041" t="s">
        <v>1783</v>
      </c>
      <c r="AA69" s="1087" t="s">
        <v>97</v>
      </c>
      <c r="AB69" s="1108">
        <v>2</v>
      </c>
      <c r="AC69" s="1087" t="s">
        <v>1857</v>
      </c>
      <c r="AD69" s="1087" t="s">
        <v>1858</v>
      </c>
      <c r="AE69" s="1041" t="s">
        <v>1859</v>
      </c>
      <c r="AF69" s="1087" t="s">
        <v>1714</v>
      </c>
      <c r="AG69" s="1087" t="s">
        <v>1860</v>
      </c>
      <c r="AH69" s="1015" t="s">
        <v>1783</v>
      </c>
      <c r="AI69" s="1087" t="s">
        <v>376</v>
      </c>
      <c r="AJ69" s="1087" t="s">
        <v>118</v>
      </c>
      <c r="AK69" s="1087" t="s">
        <v>1861</v>
      </c>
      <c r="AL69" s="331" t="s">
        <v>1862</v>
      </c>
      <c r="AM69" s="331" t="s">
        <v>1858</v>
      </c>
      <c r="AN69" s="365" t="s">
        <v>1859</v>
      </c>
      <c r="AO69" s="332" t="s">
        <v>1863</v>
      </c>
      <c r="AP69" s="331" t="s">
        <v>1864</v>
      </c>
      <c r="AQ69" s="331" t="s">
        <v>98</v>
      </c>
      <c r="AR69" s="331" t="s">
        <v>121</v>
      </c>
      <c r="AS69" s="331" t="s">
        <v>1865</v>
      </c>
      <c r="AT69" s="333">
        <v>45943</v>
      </c>
      <c r="AU69" s="331" t="s">
        <v>1866</v>
      </c>
      <c r="AV69" s="331" t="s">
        <v>1867</v>
      </c>
      <c r="AW69" s="348">
        <v>45946</v>
      </c>
      <c r="AX69" s="331" t="s">
        <v>1868</v>
      </c>
      <c r="AY69" s="331" t="s">
        <v>98</v>
      </c>
      <c r="AZ69" s="344" t="s">
        <v>1869</v>
      </c>
      <c r="BA69" s="111" t="s">
        <v>98</v>
      </c>
      <c r="BB69" s="111" t="s">
        <v>98</v>
      </c>
      <c r="BC69" s="111" t="s">
        <v>98</v>
      </c>
      <c r="BD69" s="111" t="s">
        <v>98</v>
      </c>
      <c r="BE69" s="516" t="s">
        <v>1865</v>
      </c>
      <c r="BF69" s="111" t="s">
        <v>126</v>
      </c>
      <c r="BG69" s="508">
        <v>45943</v>
      </c>
      <c r="BH69" s="509">
        <v>0.33333333333333331</v>
      </c>
      <c r="BI69" s="510" t="s">
        <v>1870</v>
      </c>
      <c r="BJ69" s="516" t="s">
        <v>1867</v>
      </c>
      <c r="BK69" s="508">
        <v>45946</v>
      </c>
      <c r="BL69" s="509">
        <v>0.88888888888888884</v>
      </c>
      <c r="BM69" s="510" t="s">
        <v>1871</v>
      </c>
      <c r="BN69" s="704">
        <v>365.95</v>
      </c>
      <c r="BO69" s="111"/>
      <c r="BP69" s="111"/>
      <c r="BQ69" s="111"/>
      <c r="BR69" s="132">
        <v>1</v>
      </c>
      <c r="BS69" s="132">
        <v>1</v>
      </c>
      <c r="BT69" s="132">
        <v>1</v>
      </c>
      <c r="BU69" s="111" t="s">
        <v>1325</v>
      </c>
      <c r="BV69" s="483">
        <v>45946</v>
      </c>
      <c r="BW69" s="111">
        <f t="shared" si="12"/>
        <v>3</v>
      </c>
      <c r="BX69" s="111"/>
      <c r="BY69" s="111"/>
      <c r="BZ69" s="447"/>
      <c r="CA69" s="111"/>
      <c r="CB69" s="111"/>
    </row>
    <row r="70" spans="1:80" ht="43.5" customHeight="1">
      <c r="A70" s="1086"/>
      <c r="B70" s="1005"/>
      <c r="C70" s="1005"/>
      <c r="D70" s="1083"/>
      <c r="E70" s="1098" t="s">
        <v>88</v>
      </c>
      <c r="F70" s="1005" t="s">
        <v>88</v>
      </c>
      <c r="G70" s="1005" t="s">
        <v>88</v>
      </c>
      <c r="H70" s="1005" t="s">
        <v>88</v>
      </c>
      <c r="I70" s="1005" t="s">
        <v>88</v>
      </c>
      <c r="J70" s="1005" t="s">
        <v>88</v>
      </c>
      <c r="K70" s="1005" t="s">
        <v>88</v>
      </c>
      <c r="L70" s="1005" t="s">
        <v>88</v>
      </c>
      <c r="M70" s="1005" t="s">
        <v>88</v>
      </c>
      <c r="N70" s="1005" t="s">
        <v>88</v>
      </c>
      <c r="O70" s="1005" t="s">
        <v>88</v>
      </c>
      <c r="P70" s="1005" t="s">
        <v>88</v>
      </c>
      <c r="Q70" s="1005" t="s">
        <v>88</v>
      </c>
      <c r="R70" s="1128" t="s">
        <v>88</v>
      </c>
      <c r="S70" s="1005" t="s">
        <v>88</v>
      </c>
      <c r="T70" s="1104" t="s">
        <v>88</v>
      </c>
      <c r="U70" s="1106"/>
      <c r="V70" s="1005" t="s">
        <v>88</v>
      </c>
      <c r="W70" s="1042" t="s">
        <v>88</v>
      </c>
      <c r="X70" s="1005" t="s">
        <v>88</v>
      </c>
      <c r="Y70" s="1005" t="s">
        <v>88</v>
      </c>
      <c r="Z70" s="1042" t="s">
        <v>88</v>
      </c>
      <c r="AA70" s="1005" t="s">
        <v>88</v>
      </c>
      <c r="AB70" s="1108" t="s">
        <v>88</v>
      </c>
      <c r="AC70" s="1005"/>
      <c r="AD70" s="1005" t="s">
        <v>88</v>
      </c>
      <c r="AE70" s="1042" t="s">
        <v>88</v>
      </c>
      <c r="AF70" s="1005" t="s">
        <v>88</v>
      </c>
      <c r="AG70" s="1005" t="s">
        <v>88</v>
      </c>
      <c r="AH70" s="1040" t="s">
        <v>88</v>
      </c>
      <c r="AI70" s="1005" t="s">
        <v>88</v>
      </c>
      <c r="AJ70" s="1005" t="s">
        <v>88</v>
      </c>
      <c r="AK70" s="1005" t="s">
        <v>88</v>
      </c>
      <c r="AL70" s="331" t="s">
        <v>1727</v>
      </c>
      <c r="AM70" s="331" t="s">
        <v>1860</v>
      </c>
      <c r="AN70" s="343" t="s">
        <v>1872</v>
      </c>
      <c r="AO70" s="434">
        <v>3356469570</v>
      </c>
      <c r="AP70" s="434" t="s">
        <v>1873</v>
      </c>
      <c r="AQ70" s="612" t="s">
        <v>98</v>
      </c>
      <c r="AR70" s="434" t="s">
        <v>121</v>
      </c>
      <c r="AS70" s="434" t="s">
        <v>1874</v>
      </c>
      <c r="AT70" s="385">
        <v>45943</v>
      </c>
      <c r="AU70" s="606">
        <v>0.4236111111111111</v>
      </c>
      <c r="AV70" s="434" t="s">
        <v>647</v>
      </c>
      <c r="AW70" s="613">
        <v>45947</v>
      </c>
      <c r="AX70" s="606">
        <v>0.78819444444444442</v>
      </c>
      <c r="AY70" s="612" t="s">
        <v>98</v>
      </c>
      <c r="AZ70" s="484" t="s">
        <v>1875</v>
      </c>
      <c r="BA70" s="111" t="s">
        <v>98</v>
      </c>
      <c r="BB70" s="111" t="s">
        <v>98</v>
      </c>
      <c r="BC70" s="111" t="s">
        <v>98</v>
      </c>
      <c r="BD70" s="111" t="s">
        <v>98</v>
      </c>
      <c r="BE70" s="722" t="s">
        <v>647</v>
      </c>
      <c r="BF70" s="111" t="s">
        <v>126</v>
      </c>
      <c r="BG70" s="705">
        <v>45943</v>
      </c>
      <c r="BH70" s="706">
        <v>0.4236111111111111</v>
      </c>
      <c r="BI70" s="697" t="s">
        <v>1127</v>
      </c>
      <c r="BJ70" s="723" t="s">
        <v>647</v>
      </c>
      <c r="BK70" s="709">
        <v>45947</v>
      </c>
      <c r="BL70" s="706">
        <v>0.78819444444444442</v>
      </c>
      <c r="BM70" s="697" t="s">
        <v>1876</v>
      </c>
      <c r="BN70" s="707" t="s">
        <v>1877</v>
      </c>
      <c r="BO70" s="213"/>
      <c r="BP70" s="213"/>
      <c r="BQ70" s="213"/>
      <c r="BR70" s="132">
        <v>1</v>
      </c>
      <c r="BS70" s="132">
        <v>1</v>
      </c>
      <c r="BT70" s="132">
        <v>1</v>
      </c>
      <c r="BU70" s="111" t="s">
        <v>1325</v>
      </c>
      <c r="BV70" s="483">
        <v>45946</v>
      </c>
      <c r="BW70" s="111">
        <f t="shared" si="12"/>
        <v>3</v>
      </c>
      <c r="BX70" s="213"/>
      <c r="BY70" s="213"/>
      <c r="BZ70" s="196" t="s">
        <v>1878</v>
      </c>
      <c r="CA70" s="195" t="s">
        <v>1879</v>
      </c>
      <c r="CB70" s="111"/>
    </row>
    <row r="71" spans="1:80" ht="29.25" customHeight="1">
      <c r="A71" s="1085" t="s">
        <v>1295</v>
      </c>
      <c r="B71" s="1087">
        <v>45943</v>
      </c>
      <c r="C71" s="1087">
        <v>45946</v>
      </c>
      <c r="D71" s="1083">
        <v>2640</v>
      </c>
      <c r="E71" s="1081" t="s">
        <v>1880</v>
      </c>
      <c r="F71" s="1087" t="s">
        <v>135</v>
      </c>
      <c r="G71" s="1087" t="s">
        <v>1297</v>
      </c>
      <c r="H71" s="1087" t="s">
        <v>88</v>
      </c>
      <c r="I71" s="1087" t="s">
        <v>89</v>
      </c>
      <c r="J71" s="1087" t="s">
        <v>1221</v>
      </c>
      <c r="K71" s="1087" t="s">
        <v>428</v>
      </c>
      <c r="L71" s="1087" t="s">
        <v>88</v>
      </c>
      <c r="M71" s="1087" t="s">
        <v>1881</v>
      </c>
      <c r="N71" s="1087" t="s">
        <v>1882</v>
      </c>
      <c r="O71" s="1087" t="s">
        <v>591</v>
      </c>
      <c r="P71" s="1087" t="s">
        <v>660</v>
      </c>
      <c r="Q71" s="1087" t="s">
        <v>110</v>
      </c>
      <c r="R71" s="1099" t="s">
        <v>110</v>
      </c>
      <c r="S71" s="1087" t="s">
        <v>97</v>
      </c>
      <c r="T71" s="1104">
        <v>2</v>
      </c>
      <c r="U71" s="1118" t="s">
        <v>1883</v>
      </c>
      <c r="V71" s="963" t="s">
        <v>1884</v>
      </c>
      <c r="W71" s="1006" t="s">
        <v>1885</v>
      </c>
      <c r="X71" s="1134" t="s">
        <v>663</v>
      </c>
      <c r="Y71" s="1134" t="s">
        <v>663</v>
      </c>
      <c r="Z71" s="1134" t="s">
        <v>663</v>
      </c>
      <c r="AA71" s="1087" t="s">
        <v>97</v>
      </c>
      <c r="AB71" s="1108">
        <v>2</v>
      </c>
      <c r="AC71" s="1087" t="s">
        <v>1883</v>
      </c>
      <c r="AD71" s="1087" t="s">
        <v>1884</v>
      </c>
      <c r="AE71" s="1087" t="s">
        <v>1885</v>
      </c>
      <c r="AF71" s="1134" t="s">
        <v>663</v>
      </c>
      <c r="AG71" s="1134" t="s">
        <v>663</v>
      </c>
      <c r="AH71" s="1134" t="s">
        <v>663</v>
      </c>
      <c r="AI71" s="1087" t="s">
        <v>1886</v>
      </c>
      <c r="AJ71" s="1087" t="s">
        <v>88</v>
      </c>
      <c r="AK71" s="1087" t="s">
        <v>1226</v>
      </c>
      <c r="AL71" s="331" t="s">
        <v>1789</v>
      </c>
      <c r="AM71" s="331" t="s">
        <v>1887</v>
      </c>
      <c r="AN71" s="331" t="s">
        <v>1885</v>
      </c>
      <c r="AO71" s="336">
        <v>393358218457</v>
      </c>
      <c r="AP71" s="331" t="s">
        <v>1888</v>
      </c>
      <c r="AQ71" s="331" t="s">
        <v>98</v>
      </c>
      <c r="AR71" s="331" t="s">
        <v>121</v>
      </c>
      <c r="AS71" s="354" t="s">
        <v>1889</v>
      </c>
      <c r="AT71" s="351">
        <v>45943</v>
      </c>
      <c r="AU71" s="331">
        <v>8</v>
      </c>
      <c r="AV71" s="354" t="s">
        <v>1889</v>
      </c>
      <c r="AW71" s="348">
        <v>45946</v>
      </c>
      <c r="AX71" s="331">
        <v>18</v>
      </c>
      <c r="AY71" s="331" t="s">
        <v>98</v>
      </c>
      <c r="AZ71" s="331" t="s">
        <v>1890</v>
      </c>
      <c r="BA71" s="111" t="s">
        <v>98</v>
      </c>
      <c r="BB71" s="111" t="s">
        <v>98</v>
      </c>
      <c r="BC71" s="111" t="s">
        <v>98</v>
      </c>
      <c r="BD71" s="111" t="s">
        <v>98</v>
      </c>
      <c r="BE71" s="507" t="s">
        <v>1889</v>
      </c>
      <c r="BF71" s="111" t="s">
        <v>126</v>
      </c>
      <c r="BG71" s="508">
        <v>45943</v>
      </c>
      <c r="BH71" s="509">
        <v>0.27430555555555558</v>
      </c>
      <c r="BI71" s="510" t="s">
        <v>1891</v>
      </c>
      <c r="BJ71" s="507" t="s">
        <v>1889</v>
      </c>
      <c r="BK71" s="508">
        <v>45946</v>
      </c>
      <c r="BL71" s="509">
        <v>0.78819444444444442</v>
      </c>
      <c r="BM71" s="510" t="s">
        <v>1892</v>
      </c>
      <c r="BN71" s="704">
        <v>443.6</v>
      </c>
      <c r="BO71" s="111"/>
      <c r="BP71" s="111"/>
      <c r="BQ71" s="111"/>
      <c r="BR71" s="132">
        <v>1</v>
      </c>
      <c r="BS71" s="132">
        <v>1</v>
      </c>
      <c r="BT71" s="132">
        <v>1</v>
      </c>
      <c r="BU71" s="111" t="s">
        <v>1325</v>
      </c>
      <c r="BV71" s="483">
        <v>45946</v>
      </c>
      <c r="BW71" s="111">
        <f t="shared" si="12"/>
        <v>3</v>
      </c>
      <c r="BX71" s="111"/>
      <c r="BY71" s="111"/>
      <c r="BZ71" s="111"/>
      <c r="CA71" s="111"/>
      <c r="CB71" s="111"/>
    </row>
    <row r="72" spans="1:80" ht="36" customHeight="1">
      <c r="A72" s="1086"/>
      <c r="B72" s="1005"/>
      <c r="C72" s="1005"/>
      <c r="D72" s="1083"/>
      <c r="E72" s="1082" t="s">
        <v>88</v>
      </c>
      <c r="F72" s="1005" t="s">
        <v>88</v>
      </c>
      <c r="G72" s="1005" t="s">
        <v>88</v>
      </c>
      <c r="H72" s="1005" t="s">
        <v>88</v>
      </c>
      <c r="I72" s="1005" t="s">
        <v>88</v>
      </c>
      <c r="J72" s="1005" t="s">
        <v>88</v>
      </c>
      <c r="K72" s="1005" t="s">
        <v>88</v>
      </c>
      <c r="L72" s="1005" t="s">
        <v>88</v>
      </c>
      <c r="M72" s="1005" t="s">
        <v>88</v>
      </c>
      <c r="N72" s="1005" t="s">
        <v>88</v>
      </c>
      <c r="O72" s="1005" t="s">
        <v>88</v>
      </c>
      <c r="P72" s="1005" t="s">
        <v>88</v>
      </c>
      <c r="Q72" s="1005" t="s">
        <v>88</v>
      </c>
      <c r="R72" s="1099" t="s">
        <v>88</v>
      </c>
      <c r="S72" s="1005" t="s">
        <v>88</v>
      </c>
      <c r="T72" s="1104" t="s">
        <v>88</v>
      </c>
      <c r="U72" s="1118"/>
      <c r="V72" s="963" t="s">
        <v>88</v>
      </c>
      <c r="W72" s="1006" t="s">
        <v>88</v>
      </c>
      <c r="X72" s="1134"/>
      <c r="Y72" s="1134" t="s">
        <v>88</v>
      </c>
      <c r="Z72" s="1134" t="s">
        <v>88</v>
      </c>
      <c r="AA72" s="1005" t="s">
        <v>88</v>
      </c>
      <c r="AB72" s="1108" t="s">
        <v>88</v>
      </c>
      <c r="AC72" s="1005" t="s">
        <v>88</v>
      </c>
      <c r="AD72" s="1005" t="s">
        <v>88</v>
      </c>
      <c r="AE72" s="1005" t="s">
        <v>88</v>
      </c>
      <c r="AF72" s="1134" t="s">
        <v>88</v>
      </c>
      <c r="AG72" s="1134" t="s">
        <v>88</v>
      </c>
      <c r="AH72" s="1134" t="s">
        <v>88</v>
      </c>
      <c r="AI72" s="1005" t="s">
        <v>88</v>
      </c>
      <c r="AJ72" s="1005" t="s">
        <v>88</v>
      </c>
      <c r="AK72" s="1005" t="s">
        <v>88</v>
      </c>
      <c r="AL72" s="429" t="s">
        <v>1893</v>
      </c>
      <c r="AM72" s="429" t="s">
        <v>1894</v>
      </c>
      <c r="AN72" s="429" t="s">
        <v>663</v>
      </c>
      <c r="AO72" s="194"/>
      <c r="AP72" s="111"/>
      <c r="AQ72" s="111" t="s">
        <v>98</v>
      </c>
      <c r="AR72" s="111"/>
      <c r="AS72" s="111"/>
      <c r="AT72" s="214"/>
      <c r="AU72" s="111"/>
      <c r="AV72" s="111"/>
      <c r="AW72" s="111"/>
      <c r="AX72" s="111"/>
      <c r="AY72" s="111" t="s">
        <v>1006</v>
      </c>
      <c r="AZ72" s="111"/>
      <c r="BA72" s="111"/>
      <c r="BB72" s="111"/>
      <c r="BC72" s="111"/>
      <c r="BD72" s="111"/>
      <c r="BE72" s="111"/>
      <c r="BF72" s="111"/>
      <c r="BG72" s="111"/>
      <c r="BH72" s="111"/>
      <c r="BI72" s="111"/>
      <c r="BJ72" s="111"/>
      <c r="BK72" s="111"/>
      <c r="BL72" s="111"/>
      <c r="BM72" s="111"/>
      <c r="BN72" s="720"/>
      <c r="BO72" s="111"/>
      <c r="BP72" s="111"/>
      <c r="BQ72" s="111"/>
      <c r="BR72" s="688">
        <v>0</v>
      </c>
      <c r="BS72" s="688">
        <v>0</v>
      </c>
      <c r="BT72" s="688">
        <v>0</v>
      </c>
      <c r="BU72" s="111"/>
      <c r="BV72" s="111"/>
      <c r="BW72" s="111">
        <f t="shared" si="12"/>
        <v>0</v>
      </c>
      <c r="BX72" s="111"/>
      <c r="BY72" s="111"/>
      <c r="BZ72" s="111"/>
      <c r="CA72" s="111"/>
      <c r="CB72" s="111"/>
    </row>
    <row r="73" spans="1:80" ht="29.25" customHeight="1">
      <c r="A73" s="1085" t="s">
        <v>1295</v>
      </c>
      <c r="B73" s="1087">
        <v>45943</v>
      </c>
      <c r="C73" s="1087">
        <v>45946</v>
      </c>
      <c r="D73" s="1083">
        <v>2641</v>
      </c>
      <c r="E73" s="1081" t="s">
        <v>1895</v>
      </c>
      <c r="F73" s="1087" t="s">
        <v>86</v>
      </c>
      <c r="G73" s="1087" t="s">
        <v>1297</v>
      </c>
      <c r="H73" s="1087" t="s">
        <v>88</v>
      </c>
      <c r="I73" s="1087" t="s">
        <v>89</v>
      </c>
      <c r="J73" s="1087" t="s">
        <v>1189</v>
      </c>
      <c r="K73" s="1087" t="s">
        <v>428</v>
      </c>
      <c r="L73" s="1087" t="s">
        <v>88</v>
      </c>
      <c r="M73" s="1087" t="s">
        <v>1896</v>
      </c>
      <c r="N73" s="1087" t="s">
        <v>1897</v>
      </c>
      <c r="O73" s="1087" t="s">
        <v>591</v>
      </c>
      <c r="P73" s="1087" t="s">
        <v>660</v>
      </c>
      <c r="Q73" s="1087" t="s">
        <v>110</v>
      </c>
      <c r="R73" s="1128" t="s">
        <v>98</v>
      </c>
      <c r="S73" s="1087" t="s">
        <v>97</v>
      </c>
      <c r="T73" s="1104">
        <v>2</v>
      </c>
      <c r="U73" s="1105" t="s">
        <v>1898</v>
      </c>
      <c r="V73" s="1087" t="s">
        <v>1899</v>
      </c>
      <c r="W73" s="1041" t="s">
        <v>1900</v>
      </c>
      <c r="X73" s="1087" t="s">
        <v>1694</v>
      </c>
      <c r="Y73" s="1087" t="s">
        <v>1901</v>
      </c>
      <c r="Z73" s="1041" t="s">
        <v>1902</v>
      </c>
      <c r="AA73" s="1087" t="s">
        <v>97</v>
      </c>
      <c r="AB73" s="1108">
        <v>2</v>
      </c>
      <c r="AC73" s="1087" t="s">
        <v>1898</v>
      </c>
      <c r="AD73" s="1087" t="s">
        <v>1899</v>
      </c>
      <c r="AE73" s="1015" t="s">
        <v>1900</v>
      </c>
      <c r="AF73" s="1087" t="s">
        <v>1694</v>
      </c>
      <c r="AG73" s="1087" t="s">
        <v>1901</v>
      </c>
      <c r="AH73" s="1015" t="s">
        <v>1902</v>
      </c>
      <c r="AI73" s="1087" t="s">
        <v>376</v>
      </c>
      <c r="AJ73" s="1087" t="s">
        <v>88</v>
      </c>
      <c r="AK73" s="1087" t="s">
        <v>88</v>
      </c>
      <c r="AL73" s="331" t="s">
        <v>1898</v>
      </c>
      <c r="AM73" s="331" t="s">
        <v>1899</v>
      </c>
      <c r="AN73" s="384" t="s">
        <v>1900</v>
      </c>
      <c r="AO73" s="332">
        <v>393473444705</v>
      </c>
      <c r="AP73" s="331" t="s">
        <v>995</v>
      </c>
      <c r="AQ73" s="331" t="s">
        <v>98</v>
      </c>
      <c r="AR73" s="349" t="s">
        <v>579</v>
      </c>
      <c r="AS73" s="349" t="s">
        <v>647</v>
      </c>
      <c r="AT73" s="385">
        <v>45943</v>
      </c>
      <c r="AU73" s="349" t="s">
        <v>444</v>
      </c>
      <c r="AV73" s="349" t="s">
        <v>647</v>
      </c>
      <c r="AW73" s="348">
        <v>45946</v>
      </c>
      <c r="AX73" s="349" t="s">
        <v>1903</v>
      </c>
      <c r="AY73" s="331" t="s">
        <v>98</v>
      </c>
      <c r="AZ73" s="331"/>
      <c r="BA73" s="111" t="s">
        <v>98</v>
      </c>
      <c r="BB73" s="111" t="s">
        <v>98</v>
      </c>
      <c r="BC73" s="111" t="s">
        <v>98</v>
      </c>
      <c r="BD73" s="111" t="s">
        <v>98</v>
      </c>
      <c r="BE73" s="225" t="s">
        <v>647</v>
      </c>
      <c r="BF73" s="111" t="s">
        <v>126</v>
      </c>
      <c r="BG73" s="508">
        <v>45943</v>
      </c>
      <c r="BH73" s="509">
        <v>0.4236111111111111</v>
      </c>
      <c r="BI73" s="510" t="s">
        <v>1127</v>
      </c>
      <c r="BJ73" s="225" t="s">
        <v>647</v>
      </c>
      <c r="BK73" s="508">
        <v>45946</v>
      </c>
      <c r="BL73" s="509">
        <v>0.62152777777777779</v>
      </c>
      <c r="BM73" s="510" t="s">
        <v>1128</v>
      </c>
      <c r="BN73" s="704">
        <v>347.67</v>
      </c>
      <c r="BO73" s="111"/>
      <c r="BP73" s="111"/>
      <c r="BQ73" s="111"/>
      <c r="BR73" s="132">
        <v>1</v>
      </c>
      <c r="BS73" s="132">
        <v>1</v>
      </c>
      <c r="BT73" s="132">
        <v>1</v>
      </c>
      <c r="BU73" s="111" t="s">
        <v>1325</v>
      </c>
      <c r="BV73" s="483">
        <v>45946</v>
      </c>
      <c r="BW73" s="111">
        <f t="shared" si="12"/>
        <v>3</v>
      </c>
      <c r="BX73" s="111"/>
      <c r="BY73" s="111"/>
      <c r="BZ73" s="111"/>
      <c r="CA73" s="111"/>
      <c r="CB73" s="111"/>
    </row>
    <row r="74" spans="1:80" ht="23" customHeight="1">
      <c r="A74" s="1086"/>
      <c r="B74" s="1005"/>
      <c r="C74" s="1005"/>
      <c r="D74" s="1083"/>
      <c r="E74" s="1082" t="s">
        <v>88</v>
      </c>
      <c r="F74" s="1005" t="s">
        <v>88</v>
      </c>
      <c r="G74" s="1005" t="s">
        <v>88</v>
      </c>
      <c r="H74" s="1005" t="s">
        <v>88</v>
      </c>
      <c r="I74" s="1005" t="s">
        <v>88</v>
      </c>
      <c r="J74" s="1005" t="s">
        <v>88</v>
      </c>
      <c r="K74" s="1005" t="s">
        <v>88</v>
      </c>
      <c r="L74" s="1005" t="s">
        <v>88</v>
      </c>
      <c r="M74" s="1005" t="s">
        <v>88</v>
      </c>
      <c r="N74" s="1005" t="s">
        <v>88</v>
      </c>
      <c r="O74" s="1005" t="s">
        <v>88</v>
      </c>
      <c r="P74" s="1005" t="s">
        <v>88</v>
      </c>
      <c r="Q74" s="1005" t="s">
        <v>88</v>
      </c>
      <c r="R74" s="1128" t="s">
        <v>88</v>
      </c>
      <c r="S74" s="1005" t="s">
        <v>88</v>
      </c>
      <c r="T74" s="1104" t="s">
        <v>88</v>
      </c>
      <c r="U74" s="1106" t="s">
        <v>88</v>
      </c>
      <c r="V74" s="1005" t="s">
        <v>88</v>
      </c>
      <c r="W74" s="1111" t="s">
        <v>88</v>
      </c>
      <c r="X74" s="1005" t="s">
        <v>88</v>
      </c>
      <c r="Y74" s="1005" t="s">
        <v>88</v>
      </c>
      <c r="Z74" s="1111" t="s">
        <v>88</v>
      </c>
      <c r="AA74" s="1005" t="s">
        <v>88</v>
      </c>
      <c r="AB74" s="1108" t="s">
        <v>88</v>
      </c>
      <c r="AC74" s="1005" t="s">
        <v>88</v>
      </c>
      <c r="AD74" s="1005" t="s">
        <v>88</v>
      </c>
      <c r="AE74" s="1040" t="s">
        <v>88</v>
      </c>
      <c r="AF74" s="1005" t="s">
        <v>88</v>
      </c>
      <c r="AG74" s="1005" t="s">
        <v>88</v>
      </c>
      <c r="AH74" s="1040" t="s">
        <v>88</v>
      </c>
      <c r="AI74" s="1005" t="s">
        <v>88</v>
      </c>
      <c r="AJ74" s="1005" t="s">
        <v>88</v>
      </c>
      <c r="AK74" s="1005" t="s">
        <v>88</v>
      </c>
      <c r="AL74" s="331" t="s">
        <v>1694</v>
      </c>
      <c r="AM74" s="436" t="s">
        <v>1901</v>
      </c>
      <c r="AN74" s="384" t="s">
        <v>1902</v>
      </c>
      <c r="AO74" s="437">
        <v>393290073740</v>
      </c>
      <c r="AP74" s="331" t="s">
        <v>1456</v>
      </c>
      <c r="AQ74" s="331" t="s">
        <v>98</v>
      </c>
      <c r="AR74" s="434" t="s">
        <v>121</v>
      </c>
      <c r="AS74" s="434" t="s">
        <v>1904</v>
      </c>
      <c r="AT74" s="385">
        <v>45943</v>
      </c>
      <c r="AU74" s="434" t="s">
        <v>1905</v>
      </c>
      <c r="AV74" s="434" t="s">
        <v>1904</v>
      </c>
      <c r="AW74" s="438">
        <v>45945</v>
      </c>
      <c r="AX74" s="434" t="s">
        <v>1906</v>
      </c>
      <c r="AY74" s="331" t="s">
        <v>98</v>
      </c>
      <c r="AZ74" s="271" t="s">
        <v>1907</v>
      </c>
      <c r="BA74" s="111" t="s">
        <v>98</v>
      </c>
      <c r="BB74" s="111" t="s">
        <v>98</v>
      </c>
      <c r="BC74" s="111" t="s">
        <v>98</v>
      </c>
      <c r="BD74" s="111" t="s">
        <v>98</v>
      </c>
      <c r="BE74" s="225" t="s">
        <v>647</v>
      </c>
      <c r="BF74" s="111" t="s">
        <v>126</v>
      </c>
      <c r="BG74" s="508">
        <v>45943</v>
      </c>
      <c r="BH74" s="509">
        <v>0.4236111111111111</v>
      </c>
      <c r="BI74" s="510" t="s">
        <v>1127</v>
      </c>
      <c r="BJ74" s="225" t="s">
        <v>647</v>
      </c>
      <c r="BK74" s="108">
        <v>45945</v>
      </c>
      <c r="BL74" s="708">
        <v>0.86805555555555558</v>
      </c>
      <c r="BM74" s="697" t="s">
        <v>1908</v>
      </c>
      <c r="BN74" s="707" t="s">
        <v>1909</v>
      </c>
      <c r="BO74" s="111"/>
      <c r="BP74" s="111"/>
      <c r="BQ74" s="111"/>
      <c r="BR74" s="132">
        <v>1</v>
      </c>
      <c r="BS74" s="132">
        <v>1</v>
      </c>
      <c r="BT74" s="619">
        <v>0</v>
      </c>
      <c r="BU74" s="111" t="s">
        <v>1325</v>
      </c>
      <c r="BV74" s="483">
        <v>45945</v>
      </c>
      <c r="BW74" s="111">
        <f t="shared" si="12"/>
        <v>2</v>
      </c>
      <c r="BX74" s="111"/>
      <c r="BY74" s="111"/>
      <c r="BZ74" s="111"/>
      <c r="CA74" s="111"/>
      <c r="CB74" s="111"/>
    </row>
    <row r="75" spans="1:80" ht="47" customHeight="1">
      <c r="A75" s="195" t="s">
        <v>1295</v>
      </c>
      <c r="B75" s="108">
        <v>45943</v>
      </c>
      <c r="C75" s="108">
        <v>45946</v>
      </c>
      <c r="D75" s="109">
        <v>2666</v>
      </c>
      <c r="E75" s="170" t="s">
        <v>1910</v>
      </c>
      <c r="F75" s="110" t="s">
        <v>135</v>
      </c>
      <c r="G75" s="110" t="s">
        <v>1297</v>
      </c>
      <c r="H75" s="110" t="s">
        <v>88</v>
      </c>
      <c r="I75" s="110" t="s">
        <v>89</v>
      </c>
      <c r="J75" s="110" t="s">
        <v>1911</v>
      </c>
      <c r="K75" s="110" t="s">
        <v>91</v>
      </c>
      <c r="L75" s="110" t="s">
        <v>88</v>
      </c>
      <c r="M75" s="110" t="s">
        <v>1912</v>
      </c>
      <c r="N75" s="286" t="s">
        <v>1913</v>
      </c>
      <c r="O75" s="110" t="s">
        <v>1914</v>
      </c>
      <c r="P75" s="110" t="s">
        <v>140</v>
      </c>
      <c r="Q75" s="111" t="s">
        <v>88</v>
      </c>
      <c r="R75" s="219" t="s">
        <v>88</v>
      </c>
      <c r="S75" s="111" t="s">
        <v>88</v>
      </c>
      <c r="T75" s="279" t="s">
        <v>88</v>
      </c>
      <c r="U75" s="220" t="s">
        <v>88</v>
      </c>
      <c r="V75" s="111" t="s">
        <v>88</v>
      </c>
      <c r="W75" s="111" t="s">
        <v>88</v>
      </c>
      <c r="X75" s="111" t="s">
        <v>88</v>
      </c>
      <c r="Y75" s="111" t="s">
        <v>88</v>
      </c>
      <c r="Z75" s="111" t="s">
        <v>88</v>
      </c>
      <c r="AA75" s="111" t="s">
        <v>88</v>
      </c>
      <c r="AB75" s="154" t="s">
        <v>88</v>
      </c>
      <c r="AC75" s="111" t="s">
        <v>88</v>
      </c>
      <c r="AD75" s="111" t="s">
        <v>88</v>
      </c>
      <c r="AE75" s="111" t="s">
        <v>88</v>
      </c>
      <c r="AF75" s="111" t="s">
        <v>88</v>
      </c>
      <c r="AG75" s="111" t="s">
        <v>88</v>
      </c>
      <c r="AH75" s="111" t="s">
        <v>88</v>
      </c>
      <c r="AI75" s="111" t="s">
        <v>88</v>
      </c>
      <c r="AJ75" s="111" t="s">
        <v>88</v>
      </c>
      <c r="AK75" s="111" t="s">
        <v>88</v>
      </c>
      <c r="AL75" s="446"/>
      <c r="AM75" s="446"/>
      <c r="AN75" s="446"/>
      <c r="AO75" s="952"/>
      <c r="AP75" s="446"/>
      <c r="AQ75" s="953"/>
      <c r="AR75" s="446"/>
      <c r="AS75" s="775"/>
      <c r="AT75" s="954"/>
      <c r="AU75" s="446"/>
      <c r="AV75" s="446"/>
      <c r="AW75" s="446"/>
      <c r="AX75" s="446"/>
      <c r="AY75" s="446"/>
      <c r="AZ75" s="446"/>
      <c r="BA75" s="446"/>
      <c r="BB75" s="446"/>
      <c r="BC75" s="446"/>
      <c r="BD75" s="446"/>
      <c r="BE75" s="446"/>
      <c r="BF75" s="446"/>
      <c r="BG75" s="446"/>
      <c r="BH75" s="446"/>
      <c r="BI75" s="446"/>
      <c r="BJ75" s="446"/>
      <c r="BK75" s="446"/>
      <c r="BL75" s="446"/>
      <c r="BM75" s="446"/>
      <c r="BN75" s="950"/>
      <c r="BO75" s="446"/>
      <c r="BP75" s="446"/>
      <c r="BQ75" s="446"/>
      <c r="BR75" s="446"/>
      <c r="BS75" s="446"/>
      <c r="BT75" s="446"/>
      <c r="BU75" s="446"/>
      <c r="BV75" s="446"/>
      <c r="BW75" s="446">
        <f t="shared" si="12"/>
        <v>0</v>
      </c>
      <c r="BX75" s="446"/>
      <c r="BY75" s="446"/>
      <c r="BZ75" s="446"/>
      <c r="CA75" s="446"/>
      <c r="CB75" s="446"/>
    </row>
    <row r="76" spans="1:80" ht="31" customHeight="1">
      <c r="A76" s="195" t="s">
        <v>1295</v>
      </c>
      <c r="B76" s="108">
        <v>45943</v>
      </c>
      <c r="C76" s="108">
        <v>45946</v>
      </c>
      <c r="D76" s="109">
        <v>2670</v>
      </c>
      <c r="E76" s="170" t="s">
        <v>1915</v>
      </c>
      <c r="F76" s="110" t="s">
        <v>135</v>
      </c>
      <c r="G76" s="110" t="s">
        <v>1297</v>
      </c>
      <c r="H76" s="110" t="s">
        <v>88</v>
      </c>
      <c r="I76" s="110" t="s">
        <v>89</v>
      </c>
      <c r="J76" s="110" t="s">
        <v>1916</v>
      </c>
      <c r="K76" s="110" t="s">
        <v>104</v>
      </c>
      <c r="L76" s="110" t="s">
        <v>88</v>
      </c>
      <c r="M76" s="110" t="s">
        <v>1917</v>
      </c>
      <c r="N76" s="110" t="s">
        <v>1918</v>
      </c>
      <c r="O76" s="110" t="s">
        <v>1267</v>
      </c>
      <c r="P76" s="110" t="s">
        <v>249</v>
      </c>
      <c r="Q76" s="111" t="s">
        <v>88</v>
      </c>
      <c r="R76" s="219" t="s">
        <v>88</v>
      </c>
      <c r="S76" s="111" t="s">
        <v>88</v>
      </c>
      <c r="T76" s="279" t="s">
        <v>88</v>
      </c>
      <c r="U76" s="220" t="s">
        <v>88</v>
      </c>
      <c r="V76" s="111" t="s">
        <v>88</v>
      </c>
      <c r="W76" s="111" t="s">
        <v>88</v>
      </c>
      <c r="X76" s="111" t="s">
        <v>88</v>
      </c>
      <c r="Y76" s="111" t="s">
        <v>88</v>
      </c>
      <c r="Z76" s="111" t="s">
        <v>88</v>
      </c>
      <c r="AA76" s="111" t="s">
        <v>88</v>
      </c>
      <c r="AB76" s="154" t="s">
        <v>88</v>
      </c>
      <c r="AC76" s="111" t="s">
        <v>88</v>
      </c>
      <c r="AD76" s="111" t="s">
        <v>88</v>
      </c>
      <c r="AE76" s="111" t="s">
        <v>88</v>
      </c>
      <c r="AF76" s="111" t="s">
        <v>88</v>
      </c>
      <c r="AG76" s="111" t="s">
        <v>88</v>
      </c>
      <c r="AH76" s="111" t="s">
        <v>88</v>
      </c>
      <c r="AI76" s="111" t="s">
        <v>88</v>
      </c>
      <c r="AJ76" s="111" t="s">
        <v>88</v>
      </c>
      <c r="AK76" s="111" t="s">
        <v>88</v>
      </c>
      <c r="AL76" s="446"/>
      <c r="AM76" s="446"/>
      <c r="AN76" s="446"/>
      <c r="AO76" s="952"/>
      <c r="AP76" s="446"/>
      <c r="AQ76" s="953"/>
      <c r="AR76" s="446"/>
      <c r="AS76" s="775"/>
      <c r="AT76" s="954"/>
      <c r="AU76" s="446"/>
      <c r="AV76" s="446"/>
      <c r="AW76" s="446"/>
      <c r="AX76" s="446"/>
      <c r="AY76" s="446"/>
      <c r="AZ76" s="446"/>
      <c r="BA76" s="446"/>
      <c r="BB76" s="446"/>
      <c r="BC76" s="446"/>
      <c r="BD76" s="446"/>
      <c r="BE76" s="446"/>
      <c r="BF76" s="446"/>
      <c r="BG76" s="446"/>
      <c r="BH76" s="446"/>
      <c r="BI76" s="446"/>
      <c r="BJ76" s="446"/>
      <c r="BK76" s="446"/>
      <c r="BL76" s="446"/>
      <c r="BM76" s="446"/>
      <c r="BN76" s="950"/>
      <c r="BO76" s="446"/>
      <c r="BP76" s="446"/>
      <c r="BQ76" s="446"/>
      <c r="BR76" s="446"/>
      <c r="BS76" s="446"/>
      <c r="BT76" s="446"/>
      <c r="BU76" s="446"/>
      <c r="BV76" s="446"/>
      <c r="BW76" s="446">
        <f t="shared" si="12"/>
        <v>0</v>
      </c>
      <c r="BX76" s="446"/>
      <c r="BY76" s="446"/>
      <c r="BZ76" s="446"/>
      <c r="CA76" s="446"/>
      <c r="CB76" s="446"/>
    </row>
    <row r="77" spans="1:80" ht="29.25" customHeight="1">
      <c r="A77" s="1085" t="s">
        <v>1295</v>
      </c>
      <c r="B77" s="1087">
        <v>45943</v>
      </c>
      <c r="C77" s="1087">
        <v>45946</v>
      </c>
      <c r="D77" s="1083">
        <v>2675</v>
      </c>
      <c r="E77" s="1081" t="s">
        <v>1919</v>
      </c>
      <c r="F77" s="1087" t="s">
        <v>167</v>
      </c>
      <c r="G77" s="1087" t="s">
        <v>1297</v>
      </c>
      <c r="H77" s="1087" t="s">
        <v>88</v>
      </c>
      <c r="I77" s="1087" t="s">
        <v>89</v>
      </c>
      <c r="J77" s="1087" t="s">
        <v>1920</v>
      </c>
      <c r="K77" s="1087" t="s">
        <v>189</v>
      </c>
      <c r="L77" s="1087" t="s">
        <v>88</v>
      </c>
      <c r="M77" s="1087" t="s">
        <v>1921</v>
      </c>
      <c r="N77" s="1087" t="s">
        <v>1922</v>
      </c>
      <c r="O77" s="1087" t="s">
        <v>1923</v>
      </c>
      <c r="P77" s="1087" t="s">
        <v>249</v>
      </c>
      <c r="Q77" s="1087" t="s">
        <v>110</v>
      </c>
      <c r="R77" s="1099" t="s">
        <v>110</v>
      </c>
      <c r="S77" s="1087" t="s">
        <v>97</v>
      </c>
      <c r="T77" s="1104">
        <v>2</v>
      </c>
      <c r="U77" s="1118" t="s">
        <v>1924</v>
      </c>
      <c r="V77" s="963" t="s">
        <v>1925</v>
      </c>
      <c r="W77" s="1006" t="s">
        <v>1926</v>
      </c>
      <c r="X77" s="1108" t="s">
        <v>1927</v>
      </c>
      <c r="Y77" s="1108" t="s">
        <v>1928</v>
      </c>
      <c r="Z77" s="1006" t="s">
        <v>1929</v>
      </c>
      <c r="AA77" s="1108" t="s">
        <v>97</v>
      </c>
      <c r="AB77" s="1108">
        <v>2</v>
      </c>
      <c r="AC77" s="1108" t="s">
        <v>1924</v>
      </c>
      <c r="AD77" s="1108" t="s">
        <v>1925</v>
      </c>
      <c r="AE77" s="1108" t="s">
        <v>1926</v>
      </c>
      <c r="AF77" s="1108" t="s">
        <v>1927</v>
      </c>
      <c r="AG77" s="1108" t="s">
        <v>1928</v>
      </c>
      <c r="AH77" s="1108" t="s">
        <v>1929</v>
      </c>
      <c r="AI77" s="1108" t="s">
        <v>376</v>
      </c>
      <c r="AJ77" s="1108" t="s">
        <v>88</v>
      </c>
      <c r="AK77" s="1108"/>
      <c r="AL77" s="331" t="s">
        <v>1924</v>
      </c>
      <c r="AM77" s="331" t="s">
        <v>1925</v>
      </c>
      <c r="AN77" s="331" t="s">
        <v>1926</v>
      </c>
      <c r="AO77" s="336">
        <v>36308693910</v>
      </c>
      <c r="AP77" s="337" t="s">
        <v>995</v>
      </c>
      <c r="AQ77" s="331" t="s">
        <v>98</v>
      </c>
      <c r="AR77" s="340" t="s">
        <v>121</v>
      </c>
      <c r="AS77" s="334" t="s">
        <v>237</v>
      </c>
      <c r="AT77" s="351">
        <v>45943</v>
      </c>
      <c r="AU77" s="340" t="s">
        <v>1930</v>
      </c>
      <c r="AV77" s="334" t="s">
        <v>237</v>
      </c>
      <c r="AW77" s="348">
        <v>45946</v>
      </c>
      <c r="AX77" s="340" t="s">
        <v>1931</v>
      </c>
      <c r="AY77" s="331" t="s">
        <v>98</v>
      </c>
      <c r="AZ77" s="331"/>
      <c r="BA77" s="111" t="s">
        <v>98</v>
      </c>
      <c r="BB77" s="111" t="s">
        <v>98</v>
      </c>
      <c r="BC77" s="111" t="s">
        <v>98</v>
      </c>
      <c r="BD77" s="111" t="s">
        <v>98</v>
      </c>
      <c r="BE77" s="507" t="s">
        <v>237</v>
      </c>
      <c r="BF77" s="111" t="s">
        <v>126</v>
      </c>
      <c r="BG77" s="508">
        <v>45943</v>
      </c>
      <c r="BH77" s="509">
        <v>0.27430555555555558</v>
      </c>
      <c r="BI77" s="510" t="s">
        <v>1932</v>
      </c>
      <c r="BJ77" s="507" t="s">
        <v>237</v>
      </c>
      <c r="BK77" s="508">
        <v>45946</v>
      </c>
      <c r="BL77" s="509">
        <v>0.87847222222222221</v>
      </c>
      <c r="BM77" s="510" t="s">
        <v>1933</v>
      </c>
      <c r="BN77" s="704">
        <v>484.69</v>
      </c>
      <c r="BO77" s="111"/>
      <c r="BP77" s="111"/>
      <c r="BQ77" s="111"/>
      <c r="BR77" s="132">
        <v>1</v>
      </c>
      <c r="BS77" s="132">
        <v>1</v>
      </c>
      <c r="BT77" s="132">
        <v>1</v>
      </c>
      <c r="BU77" s="111" t="s">
        <v>1325</v>
      </c>
      <c r="BV77" s="483">
        <v>45946</v>
      </c>
      <c r="BW77" s="111">
        <f t="shared" si="12"/>
        <v>3</v>
      </c>
      <c r="BX77" s="111"/>
      <c r="BY77" s="111"/>
      <c r="BZ77" s="111"/>
      <c r="CA77" s="111"/>
      <c r="CB77" s="111"/>
    </row>
    <row r="78" spans="1:80" ht="23" customHeight="1">
      <c r="A78" s="1086"/>
      <c r="B78" s="1005"/>
      <c r="C78" s="1005"/>
      <c r="D78" s="1083"/>
      <c r="E78" s="1082" t="s">
        <v>88</v>
      </c>
      <c r="F78" s="1005" t="s">
        <v>88</v>
      </c>
      <c r="G78" s="1005" t="s">
        <v>88</v>
      </c>
      <c r="H78" s="1005" t="s">
        <v>88</v>
      </c>
      <c r="I78" s="1005" t="s">
        <v>88</v>
      </c>
      <c r="J78" s="1005" t="s">
        <v>88</v>
      </c>
      <c r="K78" s="1005" t="s">
        <v>88</v>
      </c>
      <c r="L78" s="1005" t="s">
        <v>88</v>
      </c>
      <c r="M78" s="1005" t="s">
        <v>88</v>
      </c>
      <c r="N78" s="1005" t="s">
        <v>88</v>
      </c>
      <c r="O78" s="1005" t="s">
        <v>88</v>
      </c>
      <c r="P78" s="1005" t="s">
        <v>88</v>
      </c>
      <c r="Q78" s="1005" t="s">
        <v>88</v>
      </c>
      <c r="R78" s="1099" t="s">
        <v>88</v>
      </c>
      <c r="S78" s="1005" t="s">
        <v>88</v>
      </c>
      <c r="T78" s="1104" t="s">
        <v>88</v>
      </c>
      <c r="U78" s="1118" t="s">
        <v>88</v>
      </c>
      <c r="V78" s="963" t="s">
        <v>88</v>
      </c>
      <c r="W78" s="1006" t="s">
        <v>88</v>
      </c>
      <c r="X78" s="1108" t="s">
        <v>88</v>
      </c>
      <c r="Y78" s="1108" t="s">
        <v>88</v>
      </c>
      <c r="Z78" s="1006" t="s">
        <v>88</v>
      </c>
      <c r="AA78" s="1108" t="s">
        <v>88</v>
      </c>
      <c r="AB78" s="1108" t="s">
        <v>88</v>
      </c>
      <c r="AC78" s="1108" t="s">
        <v>88</v>
      </c>
      <c r="AD78" s="1108" t="s">
        <v>88</v>
      </c>
      <c r="AE78" s="1108" t="s">
        <v>88</v>
      </c>
      <c r="AF78" s="1108" t="s">
        <v>88</v>
      </c>
      <c r="AG78" s="1108" t="s">
        <v>88</v>
      </c>
      <c r="AH78" s="1108" t="s">
        <v>88</v>
      </c>
      <c r="AI78" s="1108" t="s">
        <v>88</v>
      </c>
      <c r="AJ78" s="1108" t="s">
        <v>88</v>
      </c>
      <c r="AK78" s="1108"/>
      <c r="AL78" s="331" t="s">
        <v>1927</v>
      </c>
      <c r="AM78" s="331" t="s">
        <v>1928</v>
      </c>
      <c r="AN78" s="331" t="s">
        <v>1929</v>
      </c>
      <c r="AO78" s="352">
        <v>306943069126</v>
      </c>
      <c r="AP78" s="350" t="s">
        <v>995</v>
      </c>
      <c r="AQ78" s="331" t="s">
        <v>98</v>
      </c>
      <c r="AR78" s="350" t="s">
        <v>121</v>
      </c>
      <c r="AS78" s="350" t="s">
        <v>1119</v>
      </c>
      <c r="AT78" s="351">
        <v>45943</v>
      </c>
      <c r="AU78" s="350" t="s">
        <v>1934</v>
      </c>
      <c r="AV78" s="350" t="s">
        <v>1119</v>
      </c>
      <c r="AW78" s="348">
        <v>45946</v>
      </c>
      <c r="AX78" s="350" t="s">
        <v>1935</v>
      </c>
      <c r="AY78" s="331" t="s">
        <v>98</v>
      </c>
      <c r="AZ78" s="331"/>
      <c r="BA78" s="111" t="s">
        <v>98</v>
      </c>
      <c r="BB78" s="111" t="s">
        <v>98</v>
      </c>
      <c r="BC78" s="111" t="s">
        <v>98</v>
      </c>
      <c r="BD78" s="111" t="s">
        <v>98</v>
      </c>
      <c r="BE78" s="511" t="s">
        <v>1119</v>
      </c>
      <c r="BF78" s="111" t="s">
        <v>126</v>
      </c>
      <c r="BG78" s="508">
        <v>45943</v>
      </c>
      <c r="BH78" s="509">
        <v>0.33333333333333331</v>
      </c>
      <c r="BI78" s="510" t="s">
        <v>1121</v>
      </c>
      <c r="BJ78" s="511" t="s">
        <v>1119</v>
      </c>
      <c r="BK78" s="508">
        <v>45946</v>
      </c>
      <c r="BL78" s="509">
        <v>0.83333333333333337</v>
      </c>
      <c r="BM78" s="510" t="s">
        <v>1936</v>
      </c>
      <c r="BN78" s="726">
        <v>216.95</v>
      </c>
      <c r="BO78" s="111"/>
      <c r="BP78" s="111"/>
      <c r="BQ78" s="111"/>
      <c r="BR78" s="132">
        <v>1</v>
      </c>
      <c r="BS78" s="132">
        <v>1</v>
      </c>
      <c r="BT78" s="132">
        <v>1</v>
      </c>
      <c r="BU78" s="111" t="s">
        <v>1325</v>
      </c>
      <c r="BV78" s="483">
        <v>45946</v>
      </c>
      <c r="BW78" s="111">
        <f t="shared" si="12"/>
        <v>3</v>
      </c>
      <c r="BX78" s="111"/>
      <c r="BY78" s="111"/>
      <c r="BZ78" s="111"/>
      <c r="CA78" s="111"/>
      <c r="CB78" s="111"/>
    </row>
    <row r="79" spans="1:80" ht="33.5" customHeight="1">
      <c r="A79" s="195" t="s">
        <v>1295</v>
      </c>
      <c r="B79" s="108">
        <v>45943</v>
      </c>
      <c r="C79" s="108">
        <v>45946</v>
      </c>
      <c r="D79" s="109">
        <v>2728</v>
      </c>
      <c r="E79" s="170" t="s">
        <v>1937</v>
      </c>
      <c r="F79" s="110" t="s">
        <v>135</v>
      </c>
      <c r="G79" s="110" t="s">
        <v>1297</v>
      </c>
      <c r="H79" s="110" t="s">
        <v>88</v>
      </c>
      <c r="I79" s="110" t="s">
        <v>89</v>
      </c>
      <c r="J79" s="110" t="s">
        <v>1938</v>
      </c>
      <c r="K79" s="110" t="s">
        <v>189</v>
      </c>
      <c r="L79" s="110" t="s">
        <v>88</v>
      </c>
      <c r="M79" s="110" t="s">
        <v>1939</v>
      </c>
      <c r="N79" s="110" t="s">
        <v>1940</v>
      </c>
      <c r="O79" s="110" t="s">
        <v>591</v>
      </c>
      <c r="P79" s="110" t="s">
        <v>660</v>
      </c>
      <c r="Q79" s="111" t="s">
        <v>88</v>
      </c>
      <c r="R79" s="219" t="s">
        <v>88</v>
      </c>
      <c r="S79" s="111" t="s">
        <v>88</v>
      </c>
      <c r="T79" s="279" t="s">
        <v>88</v>
      </c>
      <c r="U79" s="220" t="s">
        <v>88</v>
      </c>
      <c r="V79" s="111" t="s">
        <v>88</v>
      </c>
      <c r="W79" s="111" t="s">
        <v>88</v>
      </c>
      <c r="X79" s="111" t="s">
        <v>88</v>
      </c>
      <c r="Y79" s="111" t="s">
        <v>88</v>
      </c>
      <c r="Z79" s="111" t="s">
        <v>88</v>
      </c>
      <c r="AA79" s="111" t="s">
        <v>88</v>
      </c>
      <c r="AB79" s="154" t="s">
        <v>88</v>
      </c>
      <c r="AC79" s="111" t="s">
        <v>88</v>
      </c>
      <c r="AD79" s="111" t="s">
        <v>88</v>
      </c>
      <c r="AE79" s="111" t="s">
        <v>88</v>
      </c>
      <c r="AF79" s="111" t="s">
        <v>88</v>
      </c>
      <c r="AG79" s="111" t="s">
        <v>88</v>
      </c>
      <c r="AH79" s="111" t="s">
        <v>88</v>
      </c>
      <c r="AI79" s="111" t="s">
        <v>88</v>
      </c>
      <c r="AJ79" s="111" t="s">
        <v>88</v>
      </c>
      <c r="AK79" s="111" t="s">
        <v>88</v>
      </c>
      <c r="AL79" s="446"/>
      <c r="AM79" s="446"/>
      <c r="AN79" s="446"/>
      <c r="AO79" s="952"/>
      <c r="AP79" s="446"/>
      <c r="AQ79" s="953"/>
      <c r="AR79" s="446"/>
      <c r="AS79" s="775"/>
      <c r="AT79" s="954"/>
      <c r="AU79" s="446"/>
      <c r="AV79" s="446"/>
      <c r="AW79" s="446"/>
      <c r="AX79" s="446"/>
      <c r="AY79" s="446"/>
      <c r="AZ79" s="446"/>
      <c r="BA79" s="446"/>
      <c r="BB79" s="446"/>
      <c r="BC79" s="446"/>
      <c r="BD79" s="446"/>
      <c r="BE79" s="446"/>
      <c r="BF79" s="446"/>
      <c r="BG79" s="446"/>
      <c r="BH79" s="446"/>
      <c r="BI79" s="446"/>
      <c r="BJ79" s="446"/>
      <c r="BK79" s="446"/>
      <c r="BL79" s="446"/>
      <c r="BM79" s="446"/>
      <c r="BN79" s="950"/>
      <c r="BO79" s="446"/>
      <c r="BP79" s="446"/>
      <c r="BQ79" s="446"/>
      <c r="BR79" s="446"/>
      <c r="BS79" s="446"/>
      <c r="BT79" s="446"/>
      <c r="BU79" s="446"/>
      <c r="BV79" s="446"/>
      <c r="BW79" s="446">
        <f t="shared" si="12"/>
        <v>0</v>
      </c>
      <c r="BX79" s="446"/>
      <c r="BY79" s="446"/>
      <c r="BZ79" s="446"/>
      <c r="CA79" s="446"/>
      <c r="CB79" s="446"/>
    </row>
    <row r="80" spans="1:80" ht="48.75" customHeight="1">
      <c r="A80" s="1085" t="s">
        <v>1295</v>
      </c>
      <c r="B80" s="1087">
        <v>45943</v>
      </c>
      <c r="C80" s="1087">
        <v>45946</v>
      </c>
      <c r="D80" s="1083">
        <v>2123</v>
      </c>
      <c r="E80" s="1087" t="s">
        <v>1941</v>
      </c>
      <c r="F80" s="1087" t="s">
        <v>167</v>
      </c>
      <c r="G80" s="1087" t="s">
        <v>1297</v>
      </c>
      <c r="H80" s="1116" t="s">
        <v>1942</v>
      </c>
      <c r="I80" s="1087" t="s">
        <v>97</v>
      </c>
      <c r="J80" s="1087" t="s">
        <v>1943</v>
      </c>
      <c r="K80" s="1087" t="s">
        <v>1944</v>
      </c>
      <c r="L80" s="1087" t="s">
        <v>88</v>
      </c>
      <c r="M80" s="1087" t="s">
        <v>1945</v>
      </c>
      <c r="N80" s="1087" t="s">
        <v>1946</v>
      </c>
      <c r="O80" s="1087" t="s">
        <v>1947</v>
      </c>
      <c r="P80" s="1087" t="s">
        <v>140</v>
      </c>
      <c r="Q80" s="1087" t="s">
        <v>97</v>
      </c>
      <c r="R80" s="1099" t="s">
        <v>110</v>
      </c>
      <c r="S80" s="1087" t="s">
        <v>97</v>
      </c>
      <c r="T80" s="1104">
        <v>2</v>
      </c>
      <c r="U80" s="1118" t="s">
        <v>1948</v>
      </c>
      <c r="V80" s="963" t="s">
        <v>1949</v>
      </c>
      <c r="W80" s="1006" t="s">
        <v>1950</v>
      </c>
      <c r="X80" s="1108" t="s">
        <v>1951</v>
      </c>
      <c r="Y80" s="1108" t="s">
        <v>1952</v>
      </c>
      <c r="Z80" s="1006" t="s">
        <v>1953</v>
      </c>
      <c r="AA80" s="1108" t="s">
        <v>97</v>
      </c>
      <c r="AB80" s="1108">
        <v>2</v>
      </c>
      <c r="AC80" s="1108" t="s">
        <v>1948</v>
      </c>
      <c r="AD80" s="1108" t="s">
        <v>1949</v>
      </c>
      <c r="AE80" s="1108" t="s">
        <v>1950</v>
      </c>
      <c r="AF80" s="1108" t="s">
        <v>1951</v>
      </c>
      <c r="AG80" s="1108" t="s">
        <v>1952</v>
      </c>
      <c r="AH80" s="1108" t="s">
        <v>1953</v>
      </c>
      <c r="AI80" s="1108" t="s">
        <v>1379</v>
      </c>
      <c r="AJ80" s="1108" t="s">
        <v>88</v>
      </c>
      <c r="AK80" s="1108" t="s">
        <v>88</v>
      </c>
      <c r="AL80" s="331" t="s">
        <v>1948</v>
      </c>
      <c r="AM80" s="331" t="s">
        <v>1949</v>
      </c>
      <c r="AN80" s="331" t="s">
        <v>1950</v>
      </c>
      <c r="AO80" s="336">
        <v>36305816989</v>
      </c>
      <c r="AP80" s="331" t="s">
        <v>995</v>
      </c>
      <c r="AQ80" s="331" t="s">
        <v>98</v>
      </c>
      <c r="AR80" s="331" t="s">
        <v>121</v>
      </c>
      <c r="AS80" s="354" t="s">
        <v>689</v>
      </c>
      <c r="AT80" s="351">
        <v>45942</v>
      </c>
      <c r="AU80" s="342">
        <v>0.45833333333333331</v>
      </c>
      <c r="AV80" s="354" t="s">
        <v>689</v>
      </c>
      <c r="AW80" s="348">
        <v>45946</v>
      </c>
      <c r="AX80" s="342">
        <v>0.66666666666666663</v>
      </c>
      <c r="AY80" s="331" t="s">
        <v>98</v>
      </c>
      <c r="AZ80" s="331"/>
      <c r="BA80" s="111" t="s">
        <v>98</v>
      </c>
      <c r="BB80" s="111" t="s">
        <v>98</v>
      </c>
      <c r="BC80" s="111" t="s">
        <v>98</v>
      </c>
      <c r="BD80" s="111" t="s">
        <v>98</v>
      </c>
      <c r="BE80" s="715" t="s">
        <v>689</v>
      </c>
      <c r="BF80" s="111" t="s">
        <v>126</v>
      </c>
      <c r="BG80" s="699">
        <v>45943</v>
      </c>
      <c r="BH80" s="700">
        <v>0.28472222222222221</v>
      </c>
      <c r="BI80" s="698" t="s">
        <v>1414</v>
      </c>
      <c r="BJ80" s="715" t="s">
        <v>689</v>
      </c>
      <c r="BK80" s="702">
        <v>45945</v>
      </c>
      <c r="BL80" s="703">
        <v>0.85416666666666663</v>
      </c>
      <c r="BM80" s="701" t="s">
        <v>1415</v>
      </c>
      <c r="BN80" s="707" t="s">
        <v>1954</v>
      </c>
      <c r="BO80" s="111"/>
      <c r="BP80" s="111"/>
      <c r="BQ80" s="111"/>
      <c r="BR80" s="132">
        <v>1</v>
      </c>
      <c r="BS80" s="132">
        <v>1</v>
      </c>
      <c r="BT80" s="619">
        <v>0</v>
      </c>
      <c r="BU80" s="111" t="s">
        <v>1325</v>
      </c>
      <c r="BV80" s="483">
        <v>45945</v>
      </c>
      <c r="BW80" s="111">
        <f t="shared" si="12"/>
        <v>2</v>
      </c>
      <c r="BX80" s="111"/>
      <c r="BY80" s="111"/>
      <c r="BZ80" s="391" t="s">
        <v>1955</v>
      </c>
      <c r="CA80" s="195" t="s">
        <v>1879</v>
      </c>
      <c r="CB80" s="111"/>
    </row>
    <row r="81" spans="1:80" ht="23" customHeight="1">
      <c r="A81" s="1086"/>
      <c r="B81" s="1005"/>
      <c r="C81" s="1005"/>
      <c r="D81" s="1083"/>
      <c r="E81" s="1005" t="s">
        <v>88</v>
      </c>
      <c r="F81" s="1005" t="s">
        <v>88</v>
      </c>
      <c r="G81" s="1005" t="s">
        <v>88</v>
      </c>
      <c r="H81" s="1116" t="s">
        <v>88</v>
      </c>
      <c r="I81" s="1005" t="s">
        <v>88</v>
      </c>
      <c r="J81" s="1005" t="s">
        <v>88</v>
      </c>
      <c r="K81" s="1005" t="s">
        <v>88</v>
      </c>
      <c r="L81" s="1005" t="s">
        <v>88</v>
      </c>
      <c r="M81" s="1005" t="s">
        <v>88</v>
      </c>
      <c r="N81" s="1005" t="s">
        <v>88</v>
      </c>
      <c r="O81" s="1005" t="s">
        <v>88</v>
      </c>
      <c r="P81" s="1005" t="s">
        <v>88</v>
      </c>
      <c r="Q81" s="1005" t="s">
        <v>88</v>
      </c>
      <c r="R81" s="1099" t="s">
        <v>88</v>
      </c>
      <c r="S81" s="1005" t="s">
        <v>88</v>
      </c>
      <c r="T81" s="1104" t="s">
        <v>88</v>
      </c>
      <c r="U81" s="1118" t="s">
        <v>88</v>
      </c>
      <c r="V81" s="963" t="s">
        <v>88</v>
      </c>
      <c r="W81" s="1006" t="s">
        <v>88</v>
      </c>
      <c r="X81" s="1108" t="s">
        <v>88</v>
      </c>
      <c r="Y81" s="1108" t="s">
        <v>88</v>
      </c>
      <c r="Z81" s="1006" t="s">
        <v>88</v>
      </c>
      <c r="AA81" s="1108" t="s">
        <v>88</v>
      </c>
      <c r="AB81" s="1108" t="s">
        <v>88</v>
      </c>
      <c r="AC81" s="1108" t="s">
        <v>88</v>
      </c>
      <c r="AD81" s="1108" t="s">
        <v>88</v>
      </c>
      <c r="AE81" s="1108" t="s">
        <v>88</v>
      </c>
      <c r="AF81" s="1108" t="s">
        <v>88</v>
      </c>
      <c r="AG81" s="1108" t="s">
        <v>88</v>
      </c>
      <c r="AH81" s="1108" t="s">
        <v>88</v>
      </c>
      <c r="AI81" s="1108" t="s">
        <v>88</v>
      </c>
      <c r="AJ81" s="1108" t="s">
        <v>88</v>
      </c>
      <c r="AK81" s="1108" t="s">
        <v>88</v>
      </c>
      <c r="AL81" s="331" t="s">
        <v>1951</v>
      </c>
      <c r="AM81" s="331" t="s">
        <v>1952</v>
      </c>
      <c r="AN81" s="331" t="s">
        <v>1953</v>
      </c>
      <c r="AO81" s="366" t="s">
        <v>1956</v>
      </c>
      <c r="AP81" s="366" t="s">
        <v>995</v>
      </c>
      <c r="AQ81" s="331" t="s">
        <v>98</v>
      </c>
      <c r="AR81" s="366" t="s">
        <v>121</v>
      </c>
      <c r="AS81" s="366" t="s">
        <v>237</v>
      </c>
      <c r="AT81" s="351">
        <v>45943</v>
      </c>
      <c r="AU81" s="366" t="s">
        <v>499</v>
      </c>
      <c r="AV81" s="366" t="s">
        <v>237</v>
      </c>
      <c r="AW81" s="348">
        <v>45946</v>
      </c>
      <c r="AX81" s="366" t="s">
        <v>1521</v>
      </c>
      <c r="AY81" s="331" t="s">
        <v>98</v>
      </c>
      <c r="AZ81" s="331"/>
      <c r="BA81" s="111" t="s">
        <v>98</v>
      </c>
      <c r="BB81" s="111" t="s">
        <v>98</v>
      </c>
      <c r="BC81" s="111" t="s">
        <v>98</v>
      </c>
      <c r="BD81" s="111" t="s">
        <v>98</v>
      </c>
      <c r="BE81" s="507" t="s">
        <v>237</v>
      </c>
      <c r="BF81" s="111" t="s">
        <v>126</v>
      </c>
      <c r="BG81" s="508">
        <v>45943</v>
      </c>
      <c r="BH81" s="692">
        <v>0.75</v>
      </c>
      <c r="BI81" s="111" t="s">
        <v>240</v>
      </c>
      <c r="BJ81" s="507" t="s">
        <v>237</v>
      </c>
      <c r="BK81" s="108">
        <v>45945</v>
      </c>
      <c r="BL81" s="692">
        <v>0.87847222222222221</v>
      </c>
      <c r="BM81" s="111" t="s">
        <v>1957</v>
      </c>
      <c r="BN81" s="949"/>
      <c r="BO81" s="111"/>
      <c r="BP81" s="111"/>
      <c r="BQ81" s="111"/>
      <c r="BR81" s="132">
        <v>1</v>
      </c>
      <c r="BS81" s="132">
        <v>1</v>
      </c>
      <c r="BT81" s="619">
        <v>0</v>
      </c>
      <c r="BU81" s="111" t="s">
        <v>1325</v>
      </c>
      <c r="BV81" s="483">
        <v>45945</v>
      </c>
      <c r="BW81" s="111">
        <f t="shared" si="12"/>
        <v>2</v>
      </c>
      <c r="BX81" s="111"/>
      <c r="BY81" s="111"/>
      <c r="BZ81" s="111"/>
      <c r="CA81" s="111"/>
      <c r="CB81" s="111"/>
    </row>
    <row r="82" spans="1:80" ht="31.5" customHeight="1">
      <c r="A82" s="195" t="s">
        <v>1295</v>
      </c>
      <c r="B82" s="108">
        <v>45943</v>
      </c>
      <c r="C82" s="108">
        <v>45946</v>
      </c>
      <c r="D82" s="109">
        <v>2257</v>
      </c>
      <c r="E82" s="110" t="s">
        <v>1958</v>
      </c>
      <c r="F82" s="110" t="s">
        <v>135</v>
      </c>
      <c r="G82" s="110" t="s">
        <v>1297</v>
      </c>
      <c r="H82" s="153">
        <v>22572267</v>
      </c>
      <c r="I82" s="110" t="s">
        <v>97</v>
      </c>
      <c r="J82" s="110" t="s">
        <v>1959</v>
      </c>
      <c r="K82" s="110" t="s">
        <v>189</v>
      </c>
      <c r="L82" s="110" t="s">
        <v>88</v>
      </c>
      <c r="M82" s="110" t="s">
        <v>1960</v>
      </c>
      <c r="N82" s="286" t="s">
        <v>1961</v>
      </c>
      <c r="O82" s="110" t="s">
        <v>1962</v>
      </c>
      <c r="P82" s="110" t="s">
        <v>249</v>
      </c>
      <c r="Q82" s="111" t="s">
        <v>88</v>
      </c>
      <c r="R82" s="219" t="s">
        <v>88</v>
      </c>
      <c r="S82" s="111" t="s">
        <v>88</v>
      </c>
      <c r="T82" s="279" t="s">
        <v>88</v>
      </c>
      <c r="U82" s="220" t="s">
        <v>88</v>
      </c>
      <c r="V82" s="111" t="s">
        <v>88</v>
      </c>
      <c r="W82" s="111" t="s">
        <v>88</v>
      </c>
      <c r="X82" s="111" t="s">
        <v>88</v>
      </c>
      <c r="Y82" s="111" t="s">
        <v>88</v>
      </c>
      <c r="Z82" s="111" t="s">
        <v>88</v>
      </c>
      <c r="AA82" s="111" t="s">
        <v>88</v>
      </c>
      <c r="AB82" s="154" t="s">
        <v>88</v>
      </c>
      <c r="AC82" s="111" t="s">
        <v>88</v>
      </c>
      <c r="AD82" s="111" t="s">
        <v>88</v>
      </c>
      <c r="AE82" s="111" t="s">
        <v>88</v>
      </c>
      <c r="AF82" s="111" t="s">
        <v>88</v>
      </c>
      <c r="AG82" s="111" t="s">
        <v>88</v>
      </c>
      <c r="AH82" s="111" t="s">
        <v>88</v>
      </c>
      <c r="AI82" s="111" t="s">
        <v>88</v>
      </c>
      <c r="AJ82" s="111" t="s">
        <v>88</v>
      </c>
      <c r="AK82" s="111" t="s">
        <v>88</v>
      </c>
      <c r="AL82" s="446"/>
      <c r="AM82" s="446"/>
      <c r="AN82" s="446"/>
      <c r="AO82" s="952"/>
      <c r="AP82" s="446"/>
      <c r="AQ82" s="953"/>
      <c r="AR82" s="446"/>
      <c r="AS82" s="775"/>
      <c r="AT82" s="954"/>
      <c r="AU82" s="446"/>
      <c r="AV82" s="446"/>
      <c r="AW82" s="446"/>
      <c r="AX82" s="446"/>
      <c r="AY82" s="446"/>
      <c r="AZ82" s="446"/>
      <c r="BA82" s="446"/>
      <c r="BB82" s="446"/>
      <c r="BC82" s="446"/>
      <c r="BD82" s="446"/>
      <c r="BE82" s="446"/>
      <c r="BF82" s="446"/>
      <c r="BG82" s="446"/>
      <c r="BH82" s="446"/>
      <c r="BI82" s="446"/>
      <c r="BJ82" s="446"/>
      <c r="BK82" s="446"/>
      <c r="BL82" s="446"/>
      <c r="BM82" s="446"/>
      <c r="BN82" s="950"/>
      <c r="BO82" s="446"/>
      <c r="BP82" s="446"/>
      <c r="BQ82" s="446"/>
      <c r="BR82" s="446"/>
      <c r="BS82" s="446"/>
      <c r="BT82" s="446"/>
      <c r="BU82" s="446"/>
      <c r="BV82" s="446"/>
      <c r="BW82" s="446">
        <f t="shared" si="12"/>
        <v>0</v>
      </c>
      <c r="BX82" s="446"/>
      <c r="BY82" s="446"/>
      <c r="BZ82" s="446"/>
      <c r="CA82" s="446"/>
      <c r="CB82" s="446"/>
    </row>
    <row r="83" spans="1:80" ht="49" customHeight="1">
      <c r="A83" s="195" t="s">
        <v>1295</v>
      </c>
      <c r="B83" s="108">
        <v>45943</v>
      </c>
      <c r="C83" s="108">
        <v>45946</v>
      </c>
      <c r="D83" s="109">
        <v>2299</v>
      </c>
      <c r="E83" s="170" t="s">
        <v>1963</v>
      </c>
      <c r="F83" s="110" t="s">
        <v>167</v>
      </c>
      <c r="G83" s="110" t="s">
        <v>1297</v>
      </c>
      <c r="H83" s="153">
        <v>22372299</v>
      </c>
      <c r="I83" s="110" t="s">
        <v>97</v>
      </c>
      <c r="J83" s="110" t="s">
        <v>1964</v>
      </c>
      <c r="K83" s="110" t="s">
        <v>169</v>
      </c>
      <c r="L83" s="110" t="s">
        <v>88</v>
      </c>
      <c r="M83" s="110" t="s">
        <v>1965</v>
      </c>
      <c r="N83" s="286" t="s">
        <v>1966</v>
      </c>
      <c r="O83" s="110" t="s">
        <v>1967</v>
      </c>
      <c r="P83" s="110" t="s">
        <v>559</v>
      </c>
      <c r="Q83" s="111" t="s">
        <v>88</v>
      </c>
      <c r="R83" s="219" t="s">
        <v>88</v>
      </c>
      <c r="S83" s="111" t="s">
        <v>88</v>
      </c>
      <c r="T83" s="279" t="s">
        <v>88</v>
      </c>
      <c r="U83" s="220" t="s">
        <v>88</v>
      </c>
      <c r="V83" s="111" t="s">
        <v>88</v>
      </c>
      <c r="W83" s="111" t="s">
        <v>88</v>
      </c>
      <c r="X83" s="111" t="s">
        <v>88</v>
      </c>
      <c r="Y83" s="111" t="s">
        <v>88</v>
      </c>
      <c r="Z83" s="111" t="s">
        <v>88</v>
      </c>
      <c r="AA83" s="111" t="s">
        <v>88</v>
      </c>
      <c r="AB83" s="154" t="s">
        <v>88</v>
      </c>
      <c r="AC83" s="111" t="s">
        <v>88</v>
      </c>
      <c r="AD83" s="111" t="s">
        <v>88</v>
      </c>
      <c r="AE83" s="111" t="s">
        <v>88</v>
      </c>
      <c r="AF83" s="111" t="s">
        <v>88</v>
      </c>
      <c r="AG83" s="111" t="s">
        <v>88</v>
      </c>
      <c r="AH83" s="111" t="s">
        <v>88</v>
      </c>
      <c r="AI83" s="111" t="s">
        <v>88</v>
      </c>
      <c r="AJ83" s="111" t="s">
        <v>88</v>
      </c>
      <c r="AK83" s="111" t="s">
        <v>88</v>
      </c>
      <c r="AL83" s="446"/>
      <c r="AM83" s="446"/>
      <c r="AN83" s="446"/>
      <c r="AO83" s="952"/>
      <c r="AP83" s="446"/>
      <c r="AQ83" s="953"/>
      <c r="AR83" s="446"/>
      <c r="AS83" s="775"/>
      <c r="AT83" s="954"/>
      <c r="AU83" s="446"/>
      <c r="AV83" s="446"/>
      <c r="AW83" s="446"/>
      <c r="AX83" s="446"/>
      <c r="AY83" s="446"/>
      <c r="AZ83" s="446"/>
      <c r="BA83" s="446"/>
      <c r="BB83" s="446"/>
      <c r="BC83" s="446"/>
      <c r="BD83" s="446"/>
      <c r="BE83" s="446"/>
      <c r="BF83" s="446"/>
      <c r="BG83" s="446"/>
      <c r="BH83" s="446"/>
      <c r="BI83" s="446"/>
      <c r="BJ83" s="446"/>
      <c r="BK83" s="446"/>
      <c r="BL83" s="446"/>
      <c r="BM83" s="446"/>
      <c r="BN83" s="950"/>
      <c r="BO83" s="446"/>
      <c r="BP83" s="446"/>
      <c r="BQ83" s="446"/>
      <c r="BR83" s="446"/>
      <c r="BS83" s="446"/>
      <c r="BT83" s="446"/>
      <c r="BU83" s="446"/>
      <c r="BV83" s="446"/>
      <c r="BW83" s="446">
        <f t="shared" si="12"/>
        <v>0</v>
      </c>
      <c r="BX83" s="446"/>
      <c r="BY83" s="446"/>
      <c r="BZ83" s="446"/>
      <c r="CA83" s="446"/>
      <c r="CB83" s="446"/>
    </row>
    <row r="84" spans="1:80" ht="23" customHeight="1">
      <c r="A84" s="90"/>
      <c r="B84" s="90"/>
      <c r="C84" s="90"/>
      <c r="D84" s="92" t="s">
        <v>1269</v>
      </c>
      <c r="E84" s="90"/>
      <c r="F84" s="90"/>
      <c r="G84" s="90"/>
      <c r="H84" s="90"/>
      <c r="I84" s="90"/>
      <c r="J84" s="90"/>
      <c r="K84" s="90"/>
      <c r="L84" s="90"/>
      <c r="M84" s="90"/>
      <c r="N84" s="90"/>
      <c r="O84" s="90"/>
      <c r="P84" s="90"/>
      <c r="Q84" s="101" t="s">
        <v>1269</v>
      </c>
      <c r="R84" s="277" t="s">
        <v>88</v>
      </c>
      <c r="S84" s="261" t="s">
        <v>88</v>
      </c>
      <c r="T84" s="280" t="s">
        <v>1269</v>
      </c>
      <c r="U84" s="102" t="s">
        <v>88</v>
      </c>
      <c r="V84" s="102" t="s">
        <v>88</v>
      </c>
      <c r="W84" s="102" t="s">
        <v>88</v>
      </c>
      <c r="X84" s="102" t="s">
        <v>88</v>
      </c>
      <c r="Y84" s="102" t="s">
        <v>88</v>
      </c>
      <c r="Z84" s="102" t="s">
        <v>88</v>
      </c>
      <c r="AA84" s="102" t="s">
        <v>88</v>
      </c>
      <c r="AB84" s="102" t="s">
        <v>1269</v>
      </c>
      <c r="AC84" s="103" t="s">
        <v>88</v>
      </c>
      <c r="AD84" s="103" t="s">
        <v>88</v>
      </c>
      <c r="AE84" s="103" t="s">
        <v>88</v>
      </c>
      <c r="AF84" s="103" t="s">
        <v>88</v>
      </c>
      <c r="AG84" s="103" t="s">
        <v>88</v>
      </c>
      <c r="AH84" s="103" t="s">
        <v>88</v>
      </c>
      <c r="AI84" s="101" t="s">
        <v>88</v>
      </c>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1">
        <f>SUM(BN3:BN83)</f>
        <v>8072.8599999999979</v>
      </c>
      <c r="BU84" s="90"/>
      <c r="BV84" s="90"/>
      <c r="BW84" s="90"/>
      <c r="BX84" s="90"/>
      <c r="BY84" s="90"/>
      <c r="BZ84" s="90"/>
      <c r="CA84" s="90"/>
      <c r="CB84" s="90"/>
    </row>
    <row r="85" spans="1:80" ht="23" customHeight="1">
      <c r="A85" s="90"/>
      <c r="B85" s="90"/>
      <c r="C85" s="90"/>
      <c r="D85" s="92">
        <v>54</v>
      </c>
      <c r="E85" s="90"/>
      <c r="F85" s="90"/>
      <c r="G85" s="90"/>
      <c r="H85" s="90"/>
      <c r="I85" s="90"/>
      <c r="J85" s="90"/>
      <c r="K85" s="90"/>
      <c r="L85" s="90"/>
      <c r="M85" s="90"/>
      <c r="N85" s="90"/>
      <c r="O85" s="90"/>
      <c r="P85" s="90"/>
      <c r="Q85" s="101">
        <v>28</v>
      </c>
      <c r="R85" s="277" t="s">
        <v>88</v>
      </c>
      <c r="S85" s="261" t="s">
        <v>88</v>
      </c>
      <c r="T85" s="280">
        <f>SUM(T3:T83)</f>
        <v>50</v>
      </c>
      <c r="U85" s="102" t="s">
        <v>88</v>
      </c>
      <c r="V85" s="102" t="s">
        <v>88</v>
      </c>
      <c r="W85" s="102" t="s">
        <v>88</v>
      </c>
      <c r="X85" s="102" t="s">
        <v>88</v>
      </c>
      <c r="Y85" s="102" t="s">
        <v>88</v>
      </c>
      <c r="Z85" s="102" t="s">
        <v>88</v>
      </c>
      <c r="AA85" s="102" t="s">
        <v>88</v>
      </c>
      <c r="AB85" s="392">
        <f>SUM(AB3:AB83)</f>
        <v>51</v>
      </c>
      <c r="AC85" s="103" t="s">
        <v>88</v>
      </c>
      <c r="AD85" s="103" t="s">
        <v>88</v>
      </c>
      <c r="AE85" s="103" t="s">
        <v>88</v>
      </c>
      <c r="AF85" s="103" t="s">
        <v>88</v>
      </c>
      <c r="AG85" s="103" t="s">
        <v>88</v>
      </c>
      <c r="AH85" s="103" t="s">
        <v>88</v>
      </c>
      <c r="AI85" s="101" t="s">
        <v>88</v>
      </c>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196" t="s">
        <v>1968</v>
      </c>
      <c r="BO85" s="90"/>
      <c r="BP85" s="90"/>
      <c r="BQ85" s="90"/>
      <c r="BR85" s="196">
        <f>SUM(BR3:BR83)</f>
        <v>43</v>
      </c>
      <c r="BS85" s="196">
        <f>SUM(BS3:BS83)</f>
        <v>43</v>
      </c>
      <c r="BT85" s="196">
        <f>SUM(BT3:BT83)</f>
        <v>31</v>
      </c>
      <c r="BU85" s="90"/>
      <c r="BV85" s="90"/>
      <c r="BW85" s="90"/>
      <c r="BX85" s="90"/>
      <c r="BY85" s="90"/>
      <c r="BZ85" s="90"/>
      <c r="CA85" s="90"/>
      <c r="CB85" s="90"/>
    </row>
    <row r="86" spans="1:80" ht="29.25" customHeight="1">
      <c r="A86" s="90"/>
      <c r="B86" s="90"/>
      <c r="C86" s="90"/>
      <c r="D86" s="91"/>
      <c r="E86" s="90"/>
      <c r="F86" s="90"/>
      <c r="G86" s="90"/>
      <c r="H86" s="90"/>
      <c r="I86" s="90"/>
      <c r="J86" s="90"/>
      <c r="K86" s="90"/>
      <c r="L86" s="90"/>
      <c r="M86" s="90"/>
      <c r="N86" s="90"/>
      <c r="O86" s="90"/>
      <c r="P86" s="90"/>
      <c r="Q86" s="90"/>
      <c r="R86" s="90"/>
      <c r="S86" s="90"/>
      <c r="T86" s="281"/>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c r="AY86" s="90"/>
      <c r="AZ86" s="90"/>
      <c r="BA86" s="90"/>
      <c r="BB86" s="90"/>
      <c r="BC86" s="90"/>
      <c r="BD86" s="90"/>
      <c r="BE86" s="90"/>
      <c r="BF86" s="90"/>
      <c r="BG86" s="90"/>
      <c r="BH86" s="90"/>
      <c r="BI86" s="90"/>
      <c r="BJ86" s="90"/>
      <c r="BK86" s="90"/>
      <c r="BL86" s="90"/>
      <c r="BM86" s="90"/>
      <c r="BN86" s="196" t="s">
        <v>1272</v>
      </c>
      <c r="BO86" s="90"/>
      <c r="BP86" s="90"/>
      <c r="BQ86" s="90"/>
      <c r="BR86" s="90">
        <v>1</v>
      </c>
      <c r="BS86" s="90">
        <v>1</v>
      </c>
      <c r="BT86" s="90">
        <v>13</v>
      </c>
      <c r="BU86" s="90"/>
      <c r="BV86" s="90"/>
      <c r="BW86" s="90"/>
      <c r="BX86" s="90"/>
      <c r="BY86" s="90"/>
      <c r="BZ86" s="90"/>
      <c r="CA86" s="90"/>
      <c r="CB86" s="90"/>
    </row>
    <row r="87" spans="1:80" ht="29.25" customHeight="1">
      <c r="A87" s="90"/>
      <c r="B87" s="90"/>
      <c r="C87" s="90"/>
      <c r="D87" s="91"/>
      <c r="E87" s="90"/>
      <c r="F87" s="90"/>
      <c r="G87" s="90"/>
      <c r="H87" s="90"/>
      <c r="I87" s="90"/>
      <c r="J87" s="90"/>
      <c r="K87" s="90"/>
      <c r="L87" s="90"/>
      <c r="M87" s="90"/>
      <c r="N87" s="90"/>
      <c r="O87" s="90"/>
      <c r="P87" s="90"/>
      <c r="Q87" s="90"/>
      <c r="R87" s="90"/>
      <c r="S87" s="90"/>
      <c r="T87" s="281"/>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c r="AY87" s="90"/>
      <c r="AZ87" s="90"/>
      <c r="BA87" s="90"/>
      <c r="BB87" s="90"/>
      <c r="BC87" s="90"/>
      <c r="BD87" s="90"/>
      <c r="BE87" s="90"/>
      <c r="BF87" s="90"/>
      <c r="BG87" s="90"/>
      <c r="BH87" s="90"/>
      <c r="BI87" s="90"/>
      <c r="BJ87" s="90"/>
      <c r="BK87" s="90"/>
      <c r="BL87" s="90"/>
      <c r="BM87" s="90"/>
      <c r="BN87" s="90"/>
      <c r="BO87" s="90"/>
      <c r="BP87" s="90"/>
      <c r="BQ87" s="90"/>
      <c r="BU87" s="90"/>
      <c r="BV87" s="90"/>
      <c r="BW87" s="90"/>
      <c r="BX87" s="90"/>
      <c r="BY87" s="90"/>
      <c r="BZ87" s="90"/>
      <c r="CA87" s="90"/>
      <c r="CB87" s="90"/>
    </row>
    <row r="88" spans="1:80" ht="29.25" customHeight="1">
      <c r="A88" s="91"/>
      <c r="B88" s="1138" t="s">
        <v>1273</v>
      </c>
      <c r="C88" s="1139"/>
      <c r="D88" s="1084" t="s">
        <v>1274</v>
      </c>
      <c r="E88" s="1084"/>
      <c r="F88" s="1084"/>
      <c r="G88" s="1084"/>
      <c r="H88" s="1084"/>
      <c r="I88" s="1084"/>
      <c r="J88" s="1084"/>
      <c r="K88" s="1084"/>
      <c r="L88" s="1084"/>
      <c r="M88" s="1084"/>
      <c r="N88" s="90"/>
      <c r="O88" s="90"/>
      <c r="P88" s="90"/>
      <c r="Q88" s="90"/>
      <c r="R88" s="90"/>
      <c r="S88" s="90"/>
      <c r="T88" s="281"/>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0"/>
      <c r="BK88" s="90"/>
      <c r="BL88" s="90"/>
      <c r="BM88" s="90"/>
      <c r="BO88" s="90"/>
      <c r="BP88" s="90"/>
      <c r="BQ88" s="90"/>
      <c r="BR88" s="90"/>
      <c r="BS88" s="90"/>
      <c r="BT88" s="90"/>
      <c r="BU88" s="90"/>
      <c r="BV88" s="90"/>
      <c r="BW88" s="90"/>
      <c r="BX88" s="90"/>
      <c r="BY88" s="90"/>
      <c r="BZ88" s="90"/>
      <c r="CA88" s="90"/>
      <c r="CB88" s="90"/>
    </row>
    <row r="89" spans="1:80" ht="29.25" customHeight="1">
      <c r="A89" s="91"/>
      <c r="B89" s="97" t="s">
        <v>1969</v>
      </c>
      <c r="C89" s="393" t="s">
        <v>1276</v>
      </c>
      <c r="D89" s="265" t="s">
        <v>1969</v>
      </c>
      <c r="E89" s="265" t="s">
        <v>1276</v>
      </c>
      <c r="F89" s="111"/>
      <c r="G89" s="111"/>
      <c r="H89" s="111"/>
      <c r="I89" s="111"/>
      <c r="J89" s="111"/>
      <c r="K89" s="111"/>
      <c r="L89" s="111"/>
      <c r="M89" s="265" t="s">
        <v>1276</v>
      </c>
      <c r="N89" s="90"/>
      <c r="O89" s="90"/>
      <c r="P89" s="90"/>
      <c r="Q89" s="90"/>
      <c r="R89" s="90"/>
      <c r="S89" s="90"/>
      <c r="T89" s="281"/>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48">
        <f>Sessions!BV117+Stands!BN84+Tastings!BL22+Journalists!AL65+'Jury members'!AG19</f>
        <v>55786.329999999994</v>
      </c>
      <c r="BM89" s="90"/>
      <c r="BN89" s="90"/>
      <c r="BO89" s="90"/>
      <c r="BP89" s="90"/>
      <c r="BQ89" s="90"/>
      <c r="BR89" s="90"/>
      <c r="BS89" s="90"/>
      <c r="BT89" s="90"/>
      <c r="BU89" s="90"/>
      <c r="BV89" s="90"/>
      <c r="BW89" s="90"/>
      <c r="BX89" s="90"/>
      <c r="BY89" s="90"/>
      <c r="BZ89" s="90"/>
      <c r="CA89" s="90"/>
      <c r="CB89" s="90"/>
    </row>
    <row r="90" spans="1:80" ht="29.25" customHeight="1">
      <c r="A90" s="93">
        <v>45943</v>
      </c>
      <c r="B90" s="99">
        <v>52</v>
      </c>
      <c r="C90" s="99">
        <v>0</v>
      </c>
      <c r="D90" s="99">
        <v>53</v>
      </c>
      <c r="E90" s="99">
        <v>0</v>
      </c>
      <c r="F90" s="90"/>
      <c r="G90" s="90" t="s">
        <v>660</v>
      </c>
      <c r="H90" s="90"/>
      <c r="I90" s="90"/>
      <c r="J90" s="90"/>
      <c r="K90" s="90"/>
      <c r="L90" s="90"/>
      <c r="M90" s="222"/>
      <c r="N90" s="90"/>
      <c r="O90" s="90"/>
      <c r="P90" s="90"/>
      <c r="Q90" s="90"/>
      <c r="R90" s="90"/>
      <c r="S90" s="90"/>
      <c r="T90" s="281"/>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0"/>
      <c r="BR90" s="90"/>
      <c r="BS90" s="90"/>
      <c r="BT90" s="90"/>
      <c r="BU90" s="90"/>
      <c r="BV90" s="90"/>
      <c r="BW90" s="90"/>
      <c r="BX90" s="90"/>
      <c r="BY90" s="90"/>
      <c r="BZ90" s="90"/>
      <c r="CA90" s="90"/>
      <c r="CB90" s="90"/>
    </row>
    <row r="91" spans="1:80" ht="29.25" customHeight="1">
      <c r="A91" s="100">
        <v>45944</v>
      </c>
      <c r="B91" s="99">
        <v>0</v>
      </c>
      <c r="C91" s="99">
        <v>0</v>
      </c>
      <c r="D91" s="99">
        <v>0</v>
      </c>
      <c r="E91" s="99">
        <v>0</v>
      </c>
      <c r="F91" s="90"/>
      <c r="G91" s="90"/>
      <c r="H91" s="90"/>
      <c r="I91" s="90"/>
      <c r="J91" s="90"/>
      <c r="K91" s="90"/>
      <c r="L91" s="90"/>
      <c r="M91" s="111"/>
      <c r="N91" s="90"/>
      <c r="O91" s="90"/>
      <c r="P91" s="90"/>
      <c r="Q91" s="90"/>
      <c r="R91" s="90"/>
      <c r="S91" s="90"/>
      <c r="T91" s="281"/>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c r="BZ91" s="90"/>
      <c r="CA91" s="90"/>
      <c r="CB91" s="90"/>
    </row>
    <row r="92" spans="1:80" ht="29.25" customHeight="1">
      <c r="A92" s="100">
        <v>45945</v>
      </c>
      <c r="B92" s="99">
        <v>0</v>
      </c>
      <c r="C92" s="99">
        <v>0</v>
      </c>
      <c r="D92" s="99">
        <v>0</v>
      </c>
      <c r="E92" s="99">
        <v>0</v>
      </c>
      <c r="F92" s="90"/>
      <c r="G92" s="90"/>
      <c r="H92" s="90"/>
      <c r="I92" s="90"/>
      <c r="J92" s="90"/>
      <c r="K92" s="90"/>
      <c r="L92" s="90"/>
      <c r="M92" s="111"/>
      <c r="N92" s="90"/>
      <c r="O92" s="90"/>
      <c r="P92" s="90"/>
      <c r="Q92" s="90"/>
      <c r="R92" s="90"/>
      <c r="S92" s="90"/>
      <c r="T92" s="281"/>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0"/>
      <c r="BK92" s="90"/>
      <c r="BL92" s="90"/>
      <c r="BM92" s="90"/>
      <c r="BN92" s="90"/>
      <c r="BO92" s="90"/>
      <c r="BP92" s="90"/>
      <c r="BQ92" s="90"/>
      <c r="BR92" s="90"/>
      <c r="BS92" s="90"/>
      <c r="BT92" s="90"/>
      <c r="BU92" s="90"/>
      <c r="BV92" s="90"/>
      <c r="BW92" s="90"/>
      <c r="BX92" s="90"/>
      <c r="BY92" s="90"/>
      <c r="BZ92" s="90"/>
      <c r="CA92" s="90"/>
      <c r="CB92" s="90"/>
    </row>
    <row r="93" spans="1:80" ht="29.25" customHeight="1">
      <c r="A93" s="100">
        <v>45946</v>
      </c>
      <c r="B93" s="99">
        <v>0</v>
      </c>
      <c r="C93" s="99">
        <v>52</v>
      </c>
      <c r="D93" s="99">
        <v>0</v>
      </c>
      <c r="E93" s="99">
        <v>50</v>
      </c>
      <c r="F93" s="90"/>
      <c r="G93" s="90"/>
      <c r="H93" s="90"/>
      <c r="I93" s="90"/>
      <c r="J93" s="90"/>
      <c r="K93" s="90"/>
      <c r="L93" s="90"/>
      <c r="M93" s="111">
        <v>53</v>
      </c>
      <c r="N93" s="90"/>
      <c r="O93" s="90"/>
      <c r="P93" s="90"/>
      <c r="Q93" s="90"/>
      <c r="R93" s="90"/>
      <c r="S93" s="90"/>
      <c r="T93" s="281"/>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90"/>
      <c r="BO93" s="90"/>
      <c r="BP93" s="90"/>
      <c r="BQ93" s="90"/>
      <c r="BR93" s="90"/>
      <c r="BS93" s="90"/>
      <c r="BT93" s="90"/>
      <c r="BU93" s="90"/>
      <c r="BV93" s="90"/>
      <c r="BW93" s="90"/>
      <c r="BX93" s="90"/>
      <c r="BY93" s="90"/>
      <c r="BZ93" s="90"/>
      <c r="CA93" s="90"/>
      <c r="CB93" s="90"/>
    </row>
    <row r="94" spans="1:80" ht="29.25" customHeight="1">
      <c r="A94" s="95"/>
      <c r="B94" s="97">
        <v>52</v>
      </c>
      <c r="C94" s="98">
        <v>52</v>
      </c>
      <c r="D94" s="98">
        <v>53</v>
      </c>
      <c r="E94" s="98">
        <v>50</v>
      </c>
      <c r="F94" s="95"/>
      <c r="G94" s="95"/>
      <c r="H94" s="95"/>
      <c r="I94" s="95"/>
      <c r="J94" s="95"/>
      <c r="K94" s="95"/>
      <c r="L94" s="95"/>
      <c r="M94" s="265">
        <v>53</v>
      </c>
      <c r="N94" s="95"/>
      <c r="O94" s="95"/>
      <c r="P94" s="95"/>
      <c r="Q94" s="95"/>
      <c r="R94" s="95"/>
      <c r="S94" s="95"/>
      <c r="T94" s="282"/>
      <c r="U94" s="196"/>
      <c r="V94" s="196"/>
      <c r="W94" s="196"/>
      <c r="X94" s="196"/>
      <c r="Y94" s="196"/>
      <c r="Z94" s="196"/>
      <c r="AA94" s="196"/>
      <c r="AB94" s="196"/>
      <c r="AC94" s="196"/>
      <c r="AD94" s="196"/>
      <c r="AE94" s="196"/>
      <c r="AF94" s="196"/>
      <c r="AG94" s="196"/>
      <c r="AH94" s="196"/>
      <c r="AI94" s="95"/>
      <c r="AJ94" s="196"/>
      <c r="AK94" s="196"/>
      <c r="AL94" s="196"/>
      <c r="AM94" s="196"/>
      <c r="AN94" s="196"/>
      <c r="AO94" s="196"/>
      <c r="AP94" s="196"/>
      <c r="AQ94" s="196"/>
      <c r="AR94" s="196"/>
      <c r="AS94" s="96"/>
      <c r="AT94" s="196"/>
      <c r="AU94" s="196"/>
      <c r="AV94" s="96"/>
      <c r="AW94" s="196"/>
      <c r="AX94" s="196"/>
      <c r="AY94" s="196"/>
      <c r="AZ94" s="196"/>
      <c r="BA94" s="96"/>
      <c r="BB94" s="96"/>
      <c r="BC94" s="96"/>
      <c r="BD94" s="96"/>
      <c r="BE94" s="96"/>
      <c r="BF94" s="96"/>
      <c r="BG94" s="96"/>
      <c r="BH94" s="96"/>
      <c r="BI94" s="96"/>
      <c r="BJ94" s="96"/>
      <c r="BK94" s="96"/>
      <c r="BL94" s="96"/>
      <c r="BM94" s="96"/>
      <c r="BN94" s="96"/>
      <c r="BO94" s="96"/>
      <c r="BP94" s="96"/>
      <c r="BQ94" s="96"/>
      <c r="BR94" s="96"/>
      <c r="BS94" s="96"/>
      <c r="BT94" s="96"/>
      <c r="BU94" s="96"/>
      <c r="BV94" s="96"/>
      <c r="BW94" s="96"/>
      <c r="BX94" s="96"/>
      <c r="BY94" s="96"/>
      <c r="BZ94" s="196"/>
      <c r="CA94" s="196"/>
      <c r="CB94" s="196"/>
    </row>
    <row r="96" spans="1:80" ht="29.25" customHeight="1">
      <c r="B96" s="1135" t="s">
        <v>1274</v>
      </c>
      <c r="C96" s="1136"/>
      <c r="D96" s="1137"/>
    </row>
    <row r="97" spans="1:4" ht="29.25" customHeight="1">
      <c r="B97" s="386">
        <v>45943</v>
      </c>
      <c r="C97" s="395">
        <v>45944</v>
      </c>
      <c r="D97" s="395">
        <v>45945</v>
      </c>
    </row>
    <row r="98" spans="1:4" ht="73.5" customHeight="1">
      <c r="A98" s="189" t="s">
        <v>1970</v>
      </c>
      <c r="B98" s="60">
        <v>53</v>
      </c>
      <c r="C98" s="60">
        <v>53</v>
      </c>
      <c r="D98" s="60">
        <v>53</v>
      </c>
    </row>
    <row r="99" spans="1:4" ht="73.5" customHeight="1">
      <c r="A99" s="394" t="s">
        <v>1971</v>
      </c>
      <c r="B99" s="29">
        <v>48</v>
      </c>
      <c r="C99" s="29">
        <v>48</v>
      </c>
      <c r="D99" s="81">
        <v>48</v>
      </c>
    </row>
    <row r="100" spans="1:4" ht="29.25" customHeight="1">
      <c r="A100" s="394" t="s">
        <v>1972</v>
      </c>
      <c r="B100" s="29">
        <v>41</v>
      </c>
      <c r="C100" s="29">
        <v>41</v>
      </c>
      <c r="D100" s="29">
        <v>32</v>
      </c>
    </row>
  </sheetData>
  <autoFilter ref="A2:CB85" xr:uid="{81DEACC2-3304-4A40-9617-FFDA343CEA1A}"/>
  <mergeCells count="983">
    <mergeCell ref="B96:D96"/>
    <mergeCell ref="AJ80:AJ81"/>
    <mergeCell ref="AK80:AK81"/>
    <mergeCell ref="AA80:AA81"/>
    <mergeCell ref="AB80:AB81"/>
    <mergeCell ref="AC80:AC81"/>
    <mergeCell ref="AD80:AD81"/>
    <mergeCell ref="AE80:AE81"/>
    <mergeCell ref="AF80:AF81"/>
    <mergeCell ref="AG80:AG81"/>
    <mergeCell ref="AH80:AH81"/>
    <mergeCell ref="AI80:AI81"/>
    <mergeCell ref="B88:C88"/>
    <mergeCell ref="X71:X72"/>
    <mergeCell ref="Y71:Y72"/>
    <mergeCell ref="Z71:Z72"/>
    <mergeCell ref="AA71:AA72"/>
    <mergeCell ref="AB71:AB72"/>
    <mergeCell ref="R80:R81"/>
    <mergeCell ref="S80:S81"/>
    <mergeCell ref="T80:T81"/>
    <mergeCell ref="U80:U81"/>
    <mergeCell ref="V80:V81"/>
    <mergeCell ref="W80:W81"/>
    <mergeCell ref="X80:X81"/>
    <mergeCell ref="Y80:Y81"/>
    <mergeCell ref="Z80:Z81"/>
    <mergeCell ref="X73:X74"/>
    <mergeCell ref="Y73:Y74"/>
    <mergeCell ref="Z73:Z74"/>
    <mergeCell ref="AA73:AA74"/>
    <mergeCell ref="AB73:AB74"/>
    <mergeCell ref="AE77:AE78"/>
    <mergeCell ref="AF77:AF78"/>
    <mergeCell ref="AG77:AG78"/>
    <mergeCell ref="AH77:AH78"/>
    <mergeCell ref="AI77:AI78"/>
    <mergeCell ref="AJ77:AJ78"/>
    <mergeCell ref="AK77:AK78"/>
    <mergeCell ref="AJ73:AJ74"/>
    <mergeCell ref="AK73:AK74"/>
    <mergeCell ref="AJ71:AJ72"/>
    <mergeCell ref="AK69:AK70"/>
    <mergeCell ref="AJ69:AJ70"/>
    <mergeCell ref="R77:R78"/>
    <mergeCell ref="W77:W78"/>
    <mergeCell ref="S77:S78"/>
    <mergeCell ref="T77:T78"/>
    <mergeCell ref="S71:S72"/>
    <mergeCell ref="T71:T72"/>
    <mergeCell ref="U71:U72"/>
    <mergeCell ref="V71:V72"/>
    <mergeCell ref="W71:W72"/>
    <mergeCell ref="V73:V74"/>
    <mergeCell ref="W73:W74"/>
    <mergeCell ref="AK71:AK72"/>
    <mergeCell ref="U77:U78"/>
    <mergeCell ref="V77:V78"/>
    <mergeCell ref="X77:X78"/>
    <mergeCell ref="Y77:Y78"/>
    <mergeCell ref="Z77:Z78"/>
    <mergeCell ref="AA77:AA78"/>
    <mergeCell ref="AB77:AB78"/>
    <mergeCell ref="AC77:AC78"/>
    <mergeCell ref="AD77:AD78"/>
    <mergeCell ref="R69:R70"/>
    <mergeCell ref="Q69:Q70"/>
    <mergeCell ref="Q71:Q72"/>
    <mergeCell ref="Q73:Q74"/>
    <mergeCell ref="R71:R72"/>
    <mergeCell ref="R73:R74"/>
    <mergeCell ref="S73:S74"/>
    <mergeCell ref="T73:T74"/>
    <mergeCell ref="U73:U74"/>
    <mergeCell ref="S69:S70"/>
    <mergeCell ref="T69:T70"/>
    <mergeCell ref="U69:U70"/>
    <mergeCell ref="AC73:AC74"/>
    <mergeCell ref="AD73:AD74"/>
    <mergeCell ref="AE73:AE74"/>
    <mergeCell ref="AF73:AF74"/>
    <mergeCell ref="AG73:AG74"/>
    <mergeCell ref="AH73:AH74"/>
    <mergeCell ref="AI73:AI74"/>
    <mergeCell ref="AB69:AB70"/>
    <mergeCell ref="AC69:AC70"/>
    <mergeCell ref="AD69:AD70"/>
    <mergeCell ref="AE69:AE70"/>
    <mergeCell ref="AF69:AF70"/>
    <mergeCell ref="AG69:AG70"/>
    <mergeCell ref="AH69:AH70"/>
    <mergeCell ref="AI69:AI70"/>
    <mergeCell ref="AC71:AC72"/>
    <mergeCell ref="AD71:AD72"/>
    <mergeCell ref="AE71:AE72"/>
    <mergeCell ref="AF71:AF72"/>
    <mergeCell ref="AG71:AG72"/>
    <mergeCell ref="AH71:AH72"/>
    <mergeCell ref="AI71:AI72"/>
    <mergeCell ref="V69:V70"/>
    <mergeCell ref="W69:W70"/>
    <mergeCell ref="X69:X70"/>
    <mergeCell ref="Y69:Y70"/>
    <mergeCell ref="Z69:Z70"/>
    <mergeCell ref="AA69:AA70"/>
    <mergeCell ref="AK61:AK62"/>
    <mergeCell ref="AJ64:AJ65"/>
    <mergeCell ref="AK64:AK65"/>
    <mergeCell ref="AA67:AA68"/>
    <mergeCell ref="AB67:AB68"/>
    <mergeCell ref="AC67:AC68"/>
    <mergeCell ref="AD67:AD68"/>
    <mergeCell ref="AF67:AF68"/>
    <mergeCell ref="AG67:AG68"/>
    <mergeCell ref="AE67:AE68"/>
    <mergeCell ref="AH67:AH68"/>
    <mergeCell ref="AI67:AI68"/>
    <mergeCell ref="AK67:AK68"/>
    <mergeCell ref="AJ67:AJ68"/>
    <mergeCell ref="AI64:AI65"/>
    <mergeCell ref="Q67:Q68"/>
    <mergeCell ref="R67:R68"/>
    <mergeCell ref="S67:S68"/>
    <mergeCell ref="T67:T68"/>
    <mergeCell ref="U67:U68"/>
    <mergeCell ref="V67:V68"/>
    <mergeCell ref="W67:W68"/>
    <mergeCell ref="Z67:Z68"/>
    <mergeCell ref="X67:X68"/>
    <mergeCell ref="Y67:Y68"/>
    <mergeCell ref="AJ59:AJ60"/>
    <mergeCell ref="AK59:AK60"/>
    <mergeCell ref="Q61:Q62"/>
    <mergeCell ref="R61:R62"/>
    <mergeCell ref="S61:S62"/>
    <mergeCell ref="T61:T62"/>
    <mergeCell ref="U51:U52"/>
    <mergeCell ref="V51:V52"/>
    <mergeCell ref="U61:U62"/>
    <mergeCell ref="V61:V62"/>
    <mergeCell ref="X61:X62"/>
    <mergeCell ref="Y61:Y62"/>
    <mergeCell ref="W61:W62"/>
    <mergeCell ref="Z61:Z62"/>
    <mergeCell ref="AA61:AA62"/>
    <mergeCell ref="AB61:AB62"/>
    <mergeCell ref="AC61:AC62"/>
    <mergeCell ref="AD61:AD62"/>
    <mergeCell ref="AE61:AE62"/>
    <mergeCell ref="AF61:AF62"/>
    <mergeCell ref="AG61:AG62"/>
    <mergeCell ref="AH61:AH62"/>
    <mergeCell ref="AI61:AI62"/>
    <mergeCell ref="AJ61:AJ62"/>
    <mergeCell ref="AA59:AA60"/>
    <mergeCell ref="AB59:AB60"/>
    <mergeCell ref="AC59:AC60"/>
    <mergeCell ref="AD59:AD60"/>
    <mergeCell ref="AE59:AE60"/>
    <mergeCell ref="AF59:AF60"/>
    <mergeCell ref="AG59:AG60"/>
    <mergeCell ref="AH59:AH60"/>
    <mergeCell ref="AI59:AI60"/>
    <mergeCell ref="Z51:Z52"/>
    <mergeCell ref="W51:W52"/>
    <mergeCell ref="X51:X52"/>
    <mergeCell ref="Y51:Y52"/>
    <mergeCell ref="R59:R60"/>
    <mergeCell ref="S59:S60"/>
    <mergeCell ref="T59:T60"/>
    <mergeCell ref="U59:U60"/>
    <mergeCell ref="V59:V60"/>
    <mergeCell ref="W59:W60"/>
    <mergeCell ref="X59:X60"/>
    <mergeCell ref="Y59:Y60"/>
    <mergeCell ref="Z59:Z60"/>
    <mergeCell ref="V53:V54"/>
    <mergeCell ref="W53:W54"/>
    <mergeCell ref="X53:X54"/>
    <mergeCell ref="Y53:Y54"/>
    <mergeCell ref="Z53:Z54"/>
    <mergeCell ref="AE53:AE54"/>
    <mergeCell ref="AF53:AF54"/>
    <mergeCell ref="AG53:AG54"/>
    <mergeCell ref="AH53:AH54"/>
    <mergeCell ref="AI53:AI54"/>
    <mergeCell ref="AJ53:AJ54"/>
    <mergeCell ref="AK53:AK54"/>
    <mergeCell ref="AA51:AA52"/>
    <mergeCell ref="AB51:AB52"/>
    <mergeCell ref="AC51:AC52"/>
    <mergeCell ref="AD51:AD52"/>
    <mergeCell ref="AE51:AE52"/>
    <mergeCell ref="AF51:AF52"/>
    <mergeCell ref="AG51:AG52"/>
    <mergeCell ref="AH51:AH52"/>
    <mergeCell ref="AI51:AI52"/>
    <mergeCell ref="AJ51:AJ52"/>
    <mergeCell ref="AK51:AK52"/>
    <mergeCell ref="AA53:AA54"/>
    <mergeCell ref="AB53:AB54"/>
    <mergeCell ref="AC53:AC54"/>
    <mergeCell ref="AD53:AD54"/>
    <mergeCell ref="Q51:Q52"/>
    <mergeCell ref="Q53:Q54"/>
    <mergeCell ref="R51:R52"/>
    <mergeCell ref="R53:R54"/>
    <mergeCell ref="S51:S52"/>
    <mergeCell ref="T51:T52"/>
    <mergeCell ref="S53:S54"/>
    <mergeCell ref="T53:T54"/>
    <mergeCell ref="U53:U54"/>
    <mergeCell ref="AD48:AD49"/>
    <mergeCell ref="AE48:AE49"/>
    <mergeCell ref="AF48:AF49"/>
    <mergeCell ref="AG48:AG49"/>
    <mergeCell ref="AH46:AH47"/>
    <mergeCell ref="AI46:AI47"/>
    <mergeCell ref="AJ46:AJ47"/>
    <mergeCell ref="AK46:AK47"/>
    <mergeCell ref="AI48:AI49"/>
    <mergeCell ref="AJ48:AJ49"/>
    <mergeCell ref="AK48:AK49"/>
    <mergeCell ref="U46:U47"/>
    <mergeCell ref="V46:V47"/>
    <mergeCell ref="U48:U49"/>
    <mergeCell ref="V48:V49"/>
    <mergeCell ref="W46:W47"/>
    <mergeCell ref="W48:W49"/>
    <mergeCell ref="X46:X47"/>
    <mergeCell ref="Y46:Y47"/>
    <mergeCell ref="X48:X49"/>
    <mergeCell ref="Y48:Y49"/>
    <mergeCell ref="AI41:AI42"/>
    <mergeCell ref="AJ41:AJ42"/>
    <mergeCell ref="AK41:AK42"/>
    <mergeCell ref="Q46:Q47"/>
    <mergeCell ref="S46:S47"/>
    <mergeCell ref="T46:T47"/>
    <mergeCell ref="S48:S49"/>
    <mergeCell ref="T48:T49"/>
    <mergeCell ref="Q48:Q49"/>
    <mergeCell ref="R46:R47"/>
    <mergeCell ref="R48:R49"/>
    <mergeCell ref="Z46:Z47"/>
    <mergeCell ref="Z48:Z49"/>
    <mergeCell ref="AH48:AH49"/>
    <mergeCell ref="AA46:AA47"/>
    <mergeCell ref="AB46:AB47"/>
    <mergeCell ref="AC46:AC47"/>
    <mergeCell ref="AD46:AD47"/>
    <mergeCell ref="AE46:AE47"/>
    <mergeCell ref="AF46:AF47"/>
    <mergeCell ref="AG46:AG47"/>
    <mergeCell ref="AA48:AA49"/>
    <mergeCell ref="AB48:AB49"/>
    <mergeCell ref="AC48:AC49"/>
    <mergeCell ref="Z41:Z42"/>
    <mergeCell ref="AA41:AA42"/>
    <mergeCell ref="AB41:AB42"/>
    <mergeCell ref="AC41:AC42"/>
    <mergeCell ref="AD41:AD42"/>
    <mergeCell ref="AE41:AE42"/>
    <mergeCell ref="AF41:AF42"/>
    <mergeCell ref="AG41:AG42"/>
    <mergeCell ref="AH41:AH42"/>
    <mergeCell ref="Q41:Q42"/>
    <mergeCell ref="R41:R42"/>
    <mergeCell ref="S41:S42"/>
    <mergeCell ref="T41:T42"/>
    <mergeCell ref="U41:U42"/>
    <mergeCell ref="V41:V42"/>
    <mergeCell ref="W41:W42"/>
    <mergeCell ref="X41:X42"/>
    <mergeCell ref="Y41:Y42"/>
    <mergeCell ref="AK34:AK35"/>
    <mergeCell ref="Q39:Q40"/>
    <mergeCell ref="S39:S40"/>
    <mergeCell ref="T39:T40"/>
    <mergeCell ref="U39:U40"/>
    <mergeCell ref="V39:V40"/>
    <mergeCell ref="R39:R40"/>
    <mergeCell ref="W39:W40"/>
    <mergeCell ref="Z39:Z40"/>
    <mergeCell ref="X39:X40"/>
    <mergeCell ref="Y39:Y40"/>
    <mergeCell ref="AB39:AB40"/>
    <mergeCell ref="AA39:AA40"/>
    <mergeCell ref="AD39:AD40"/>
    <mergeCell ref="AE39:AE40"/>
    <mergeCell ref="AF39:AF40"/>
    <mergeCell ref="AG39:AG40"/>
    <mergeCell ref="AH39:AH40"/>
    <mergeCell ref="AI39:AI40"/>
    <mergeCell ref="AJ39:AJ40"/>
    <mergeCell ref="AK39:AK40"/>
    <mergeCell ref="AI30:AI31"/>
    <mergeCell ref="AJ30:AJ31"/>
    <mergeCell ref="AK30:AK31"/>
    <mergeCell ref="R30:R31"/>
    <mergeCell ref="Q34:Q35"/>
    <mergeCell ref="R34:R35"/>
    <mergeCell ref="W34:W35"/>
    <mergeCell ref="S34:S35"/>
    <mergeCell ref="T34:T35"/>
    <mergeCell ref="U34:U35"/>
    <mergeCell ref="V34:V35"/>
    <mergeCell ref="X34:X35"/>
    <mergeCell ref="Y34:Y35"/>
    <mergeCell ref="Z34:Z35"/>
    <mergeCell ref="AA34:AA35"/>
    <mergeCell ref="AB34:AB35"/>
    <mergeCell ref="AC34:AC35"/>
    <mergeCell ref="AD34:AD35"/>
    <mergeCell ref="AE34:AE35"/>
    <mergeCell ref="AF34:AF35"/>
    <mergeCell ref="AG34:AG35"/>
    <mergeCell ref="AH34:AH35"/>
    <mergeCell ref="AI34:AI35"/>
    <mergeCell ref="AJ34:AJ35"/>
    <mergeCell ref="AI23:AI24"/>
    <mergeCell ref="AB20:AB21"/>
    <mergeCell ref="AC20:AC21"/>
    <mergeCell ref="AD20:AD21"/>
    <mergeCell ref="AE20:AE21"/>
    <mergeCell ref="AJ23:AJ24"/>
    <mergeCell ref="AK23:AK24"/>
    <mergeCell ref="Q30:Q31"/>
    <mergeCell ref="S30:S31"/>
    <mergeCell ref="T30:T31"/>
    <mergeCell ref="U30:U31"/>
    <mergeCell ref="V30:V31"/>
    <mergeCell ref="W30:W31"/>
    <mergeCell ref="X30:X31"/>
    <mergeCell ref="Y30:Y31"/>
    <mergeCell ref="Z30:Z31"/>
    <mergeCell ref="AA30:AA31"/>
    <mergeCell ref="AB30:AB31"/>
    <mergeCell ref="AC30:AC31"/>
    <mergeCell ref="AD30:AD31"/>
    <mergeCell ref="AE30:AE31"/>
    <mergeCell ref="AF30:AF31"/>
    <mergeCell ref="AG30:AG31"/>
    <mergeCell ref="AH30:AH31"/>
    <mergeCell ref="Z23:Z24"/>
    <mergeCell ref="AA23:AA24"/>
    <mergeCell ref="AB23:AB24"/>
    <mergeCell ref="AC23:AC24"/>
    <mergeCell ref="AD23:AD24"/>
    <mergeCell ref="AE23:AE24"/>
    <mergeCell ref="AF23:AF24"/>
    <mergeCell ref="AG23:AG24"/>
    <mergeCell ref="AH23:AH24"/>
    <mergeCell ref="Q23:Q24"/>
    <mergeCell ref="R23:R24"/>
    <mergeCell ref="W23:W24"/>
    <mergeCell ref="U23:U24"/>
    <mergeCell ref="V23:V24"/>
    <mergeCell ref="S23:S24"/>
    <mergeCell ref="T23:T24"/>
    <mergeCell ref="X23:X24"/>
    <mergeCell ref="Y23:Y24"/>
    <mergeCell ref="AK20:AK21"/>
    <mergeCell ref="AB18:AB19"/>
    <mergeCell ref="AC18:AC19"/>
    <mergeCell ref="AD18:AD19"/>
    <mergeCell ref="AE18:AE19"/>
    <mergeCell ref="AF18:AF19"/>
    <mergeCell ref="AG18:AG19"/>
    <mergeCell ref="AH18:AH19"/>
    <mergeCell ref="AI18:AI19"/>
    <mergeCell ref="AF20:AF21"/>
    <mergeCell ref="AG20:AG21"/>
    <mergeCell ref="AH20:AH21"/>
    <mergeCell ref="AI20:AI21"/>
    <mergeCell ref="AJ20:AJ21"/>
    <mergeCell ref="AK18:AK19"/>
    <mergeCell ref="S20:S21"/>
    <mergeCell ref="T20:T21"/>
    <mergeCell ref="U20:U21"/>
    <mergeCell ref="V20:V21"/>
    <mergeCell ref="W20:W21"/>
    <mergeCell ref="X20:X21"/>
    <mergeCell ref="Y20:Y21"/>
    <mergeCell ref="Z20:Z21"/>
    <mergeCell ref="AA20:AA21"/>
    <mergeCell ref="S16:S17"/>
    <mergeCell ref="W16:W17"/>
    <mergeCell ref="Z16:Z17"/>
    <mergeCell ref="T16:T17"/>
    <mergeCell ref="U16:U17"/>
    <mergeCell ref="V16:V17"/>
    <mergeCell ref="X16:X17"/>
    <mergeCell ref="AJ18:AJ19"/>
    <mergeCell ref="S18:S19"/>
    <mergeCell ref="T18:T19"/>
    <mergeCell ref="U18:U19"/>
    <mergeCell ref="V18:V19"/>
    <mergeCell ref="W18:W19"/>
    <mergeCell ref="Z18:Z19"/>
    <mergeCell ref="X18:X19"/>
    <mergeCell ref="Y18:Y19"/>
    <mergeCell ref="AA18:AA19"/>
    <mergeCell ref="AA16:AA17"/>
    <mergeCell ref="AB16:AB17"/>
    <mergeCell ref="AC16:AC17"/>
    <mergeCell ref="AD16:AD17"/>
    <mergeCell ref="AE16:AE17"/>
    <mergeCell ref="AF16:AF17"/>
    <mergeCell ref="AG16:AG17"/>
    <mergeCell ref="AH16:AH17"/>
    <mergeCell ref="AK6:AK7"/>
    <mergeCell ref="AJ6:AJ7"/>
    <mergeCell ref="AI6:AI7"/>
    <mergeCell ref="AH6:AH7"/>
    <mergeCell ref="AI16:AI17"/>
    <mergeCell ref="AK16:AK17"/>
    <mergeCell ref="AB14:AB15"/>
    <mergeCell ref="AC14:AC15"/>
    <mergeCell ref="AD14:AD15"/>
    <mergeCell ref="AE14:AE15"/>
    <mergeCell ref="AF14:AF15"/>
    <mergeCell ref="AK9:AK10"/>
    <mergeCell ref="AB12:AB13"/>
    <mergeCell ref="AC12:AC13"/>
    <mergeCell ref="AD12:AD13"/>
    <mergeCell ref="AE12:AE13"/>
    <mergeCell ref="AF12:AF13"/>
    <mergeCell ref="AG12:AG13"/>
    <mergeCell ref="AH12:AH13"/>
    <mergeCell ref="AJ16:AJ17"/>
    <mergeCell ref="AK14:AK15"/>
    <mergeCell ref="S12:S13"/>
    <mergeCell ref="T12:T13"/>
    <mergeCell ref="U12:U13"/>
    <mergeCell ref="V12:V13"/>
    <mergeCell ref="W12:W13"/>
    <mergeCell ref="Z12:Z13"/>
    <mergeCell ref="X12:X13"/>
    <mergeCell ref="Y12:Y13"/>
    <mergeCell ref="AA12:AA13"/>
    <mergeCell ref="Y16:Y17"/>
    <mergeCell ref="AI12:AI13"/>
    <mergeCell ref="AJ12:AJ13"/>
    <mergeCell ref="AK12:AK13"/>
    <mergeCell ref="AB9:AB10"/>
    <mergeCell ref="AC9:AC10"/>
    <mergeCell ref="AD9:AD10"/>
    <mergeCell ref="AE9:AE10"/>
    <mergeCell ref="Q20:Q21"/>
    <mergeCell ref="R20:R21"/>
    <mergeCell ref="Q16:Q17"/>
    <mergeCell ref="R16:R17"/>
    <mergeCell ref="AF9:AF10"/>
    <mergeCell ref="AG9:AG10"/>
    <mergeCell ref="AH9:AH10"/>
    <mergeCell ref="AI9:AI10"/>
    <mergeCell ref="AJ9:AJ10"/>
    <mergeCell ref="S9:S10"/>
    <mergeCell ref="T9:T10"/>
    <mergeCell ref="U9:U10"/>
    <mergeCell ref="V9:V10"/>
    <mergeCell ref="W9:W10"/>
    <mergeCell ref="X9:X10"/>
    <mergeCell ref="Y9:Y10"/>
    <mergeCell ref="Z9:Z10"/>
    <mergeCell ref="AG14:AG15"/>
    <mergeCell ref="AH14:AH15"/>
    <mergeCell ref="AI14:AI15"/>
    <mergeCell ref="AJ14:AJ15"/>
    <mergeCell ref="S14:S15"/>
    <mergeCell ref="T14:T15"/>
    <mergeCell ref="K67:K68"/>
    <mergeCell ref="L67:L68"/>
    <mergeCell ref="M67:M68"/>
    <mergeCell ref="N61:N62"/>
    <mergeCell ref="O61:O62"/>
    <mergeCell ref="P61:P62"/>
    <mergeCell ref="N67:N68"/>
    <mergeCell ref="O67:O68"/>
    <mergeCell ref="P67:P68"/>
    <mergeCell ref="N53:N54"/>
    <mergeCell ref="O53:O54"/>
    <mergeCell ref="P53:P54"/>
    <mergeCell ref="N59:N60"/>
    <mergeCell ref="O59:O60"/>
    <mergeCell ref="P59:P60"/>
    <mergeCell ref="N48:N49"/>
    <mergeCell ref="O48:O49"/>
    <mergeCell ref="E61:E62"/>
    <mergeCell ref="F61:F62"/>
    <mergeCell ref="G61:G62"/>
    <mergeCell ref="H61:H62"/>
    <mergeCell ref="I61:I62"/>
    <mergeCell ref="J61:J62"/>
    <mergeCell ref="K61:K62"/>
    <mergeCell ref="L61:L62"/>
    <mergeCell ref="M61:M62"/>
    <mergeCell ref="F64:F65"/>
    <mergeCell ref="G64:G65"/>
    <mergeCell ref="H64:H65"/>
    <mergeCell ref="I64:I65"/>
    <mergeCell ref="J64:J65"/>
    <mergeCell ref="K64:K65"/>
    <mergeCell ref="L64:L65"/>
    <mergeCell ref="M64:M65"/>
    <mergeCell ref="E64:E65"/>
    <mergeCell ref="D23:D24"/>
    <mergeCell ref="D28:D29"/>
    <mergeCell ref="D30:D31"/>
    <mergeCell ref="D34:D35"/>
    <mergeCell ref="D39:D40"/>
    <mergeCell ref="D61:D62"/>
    <mergeCell ref="D69:D70"/>
    <mergeCell ref="D71:D72"/>
    <mergeCell ref="D73:D74"/>
    <mergeCell ref="D41:D42"/>
    <mergeCell ref="D67:D68"/>
    <mergeCell ref="D64:D65"/>
    <mergeCell ref="D53:D54"/>
    <mergeCell ref="D59:D60"/>
    <mergeCell ref="O77:O78"/>
    <mergeCell ref="P77:P78"/>
    <mergeCell ref="Q77:Q78"/>
    <mergeCell ref="E80:E81"/>
    <mergeCell ref="F80:F81"/>
    <mergeCell ref="G80:G81"/>
    <mergeCell ref="H80:H81"/>
    <mergeCell ref="I80:I81"/>
    <mergeCell ref="J80:J81"/>
    <mergeCell ref="K80:K81"/>
    <mergeCell ref="L80:L81"/>
    <mergeCell ref="M80:M81"/>
    <mergeCell ref="N80:N81"/>
    <mergeCell ref="O80:O81"/>
    <mergeCell ref="P80:P81"/>
    <mergeCell ref="Q80:Q81"/>
    <mergeCell ref="F77:F78"/>
    <mergeCell ref="G77:G78"/>
    <mergeCell ref="H77:H78"/>
    <mergeCell ref="I77:I78"/>
    <mergeCell ref="J77:J78"/>
    <mergeCell ref="N77:N78"/>
    <mergeCell ref="K77:K78"/>
    <mergeCell ref="L77:L78"/>
    <mergeCell ref="P71:P72"/>
    <mergeCell ref="E73:E74"/>
    <mergeCell ref="F73:F74"/>
    <mergeCell ref="G73:G74"/>
    <mergeCell ref="H73:H74"/>
    <mergeCell ref="I73:I74"/>
    <mergeCell ref="J73:J74"/>
    <mergeCell ref="K73:K74"/>
    <mergeCell ref="L73:L74"/>
    <mergeCell ref="M73:M74"/>
    <mergeCell ref="N73:N74"/>
    <mergeCell ref="O73:O74"/>
    <mergeCell ref="P73:P74"/>
    <mergeCell ref="F71:F72"/>
    <mergeCell ref="G71:G72"/>
    <mergeCell ref="H71:H72"/>
    <mergeCell ref="I71:I72"/>
    <mergeCell ref="J71:J72"/>
    <mergeCell ref="K71:K72"/>
    <mergeCell ref="N71:N72"/>
    <mergeCell ref="O71:O72"/>
    <mergeCell ref="E71:E72"/>
    <mergeCell ref="L71:L72"/>
    <mergeCell ref="M71:M72"/>
    <mergeCell ref="N69:N70"/>
    <mergeCell ref="O69:O70"/>
    <mergeCell ref="P69:P70"/>
    <mergeCell ref="E67:E68"/>
    <mergeCell ref="F67:F68"/>
    <mergeCell ref="G67:G68"/>
    <mergeCell ref="H67:H68"/>
    <mergeCell ref="I67:I68"/>
    <mergeCell ref="J67:J68"/>
    <mergeCell ref="E69:E70"/>
    <mergeCell ref="F69:F70"/>
    <mergeCell ref="G69:G70"/>
    <mergeCell ref="H69:H70"/>
    <mergeCell ref="I69:I70"/>
    <mergeCell ref="J69:J70"/>
    <mergeCell ref="K69:K70"/>
    <mergeCell ref="L69:L70"/>
    <mergeCell ref="M69:M70"/>
    <mergeCell ref="E59:E60"/>
    <mergeCell ref="F59:F60"/>
    <mergeCell ref="G59:G60"/>
    <mergeCell ref="H59:H60"/>
    <mergeCell ref="I59:I60"/>
    <mergeCell ref="J59:J60"/>
    <mergeCell ref="K59:K60"/>
    <mergeCell ref="L59:L60"/>
    <mergeCell ref="M59:M60"/>
    <mergeCell ref="E53:E54"/>
    <mergeCell ref="F53:F54"/>
    <mergeCell ref="G53:G54"/>
    <mergeCell ref="H53:H54"/>
    <mergeCell ref="I53:I54"/>
    <mergeCell ref="J53:J54"/>
    <mergeCell ref="K53:K54"/>
    <mergeCell ref="L53:L54"/>
    <mergeCell ref="M53:M54"/>
    <mergeCell ref="P48:P49"/>
    <mergeCell ref="E51:E52"/>
    <mergeCell ref="F51:F52"/>
    <mergeCell ref="G51:G52"/>
    <mergeCell ref="H51:H52"/>
    <mergeCell ref="I51:I52"/>
    <mergeCell ref="J51:J52"/>
    <mergeCell ref="K51:K52"/>
    <mergeCell ref="L51:L52"/>
    <mergeCell ref="M51:M52"/>
    <mergeCell ref="N51:N52"/>
    <mergeCell ref="O51:O52"/>
    <mergeCell ref="P51:P52"/>
    <mergeCell ref="E48:E49"/>
    <mergeCell ref="F48:F49"/>
    <mergeCell ref="G48:G49"/>
    <mergeCell ref="H48:H49"/>
    <mergeCell ref="I48:I49"/>
    <mergeCell ref="J48:J49"/>
    <mergeCell ref="K48:K49"/>
    <mergeCell ref="L48:L49"/>
    <mergeCell ref="M48:M49"/>
    <mergeCell ref="N41:N42"/>
    <mergeCell ref="O41:O42"/>
    <mergeCell ref="P41:P42"/>
    <mergeCell ref="E46:E47"/>
    <mergeCell ref="F46:F47"/>
    <mergeCell ref="G46:G47"/>
    <mergeCell ref="H46:H47"/>
    <mergeCell ref="I46:I47"/>
    <mergeCell ref="J46:J47"/>
    <mergeCell ref="K46:K47"/>
    <mergeCell ref="L46:L47"/>
    <mergeCell ref="M46:M47"/>
    <mergeCell ref="N46:N47"/>
    <mergeCell ref="O46:O47"/>
    <mergeCell ref="P46:P47"/>
    <mergeCell ref="E41:E42"/>
    <mergeCell ref="F41:F42"/>
    <mergeCell ref="G41:G42"/>
    <mergeCell ref="H41:H42"/>
    <mergeCell ref="I41:I42"/>
    <mergeCell ref="J41:J42"/>
    <mergeCell ref="K41:K42"/>
    <mergeCell ref="L41:L42"/>
    <mergeCell ref="M41:M42"/>
    <mergeCell ref="N34:N35"/>
    <mergeCell ref="O34:O35"/>
    <mergeCell ref="P34:P35"/>
    <mergeCell ref="E39:E40"/>
    <mergeCell ref="F39:F40"/>
    <mergeCell ref="G39:G40"/>
    <mergeCell ref="H39:H40"/>
    <mergeCell ref="I39:I40"/>
    <mergeCell ref="J39:J40"/>
    <mergeCell ref="K39:K40"/>
    <mergeCell ref="L39:L40"/>
    <mergeCell ref="M39:M40"/>
    <mergeCell ref="N39:N40"/>
    <mergeCell ref="O39:O40"/>
    <mergeCell ref="P39:P40"/>
    <mergeCell ref="E34:E35"/>
    <mergeCell ref="F34:F35"/>
    <mergeCell ref="G34:G35"/>
    <mergeCell ref="H34:H35"/>
    <mergeCell ref="I34:I35"/>
    <mergeCell ref="J34:J35"/>
    <mergeCell ref="K34:K35"/>
    <mergeCell ref="L34:L35"/>
    <mergeCell ref="M34:M35"/>
    <mergeCell ref="N28:N29"/>
    <mergeCell ref="O28:O29"/>
    <mergeCell ref="P28:P29"/>
    <mergeCell ref="E30:E31"/>
    <mergeCell ref="F30:F31"/>
    <mergeCell ref="G30:G31"/>
    <mergeCell ref="H30:H31"/>
    <mergeCell ref="I30:I31"/>
    <mergeCell ref="J30:J31"/>
    <mergeCell ref="K30:K31"/>
    <mergeCell ref="L30:L31"/>
    <mergeCell ref="M30:M31"/>
    <mergeCell ref="N30:N31"/>
    <mergeCell ref="O30:O31"/>
    <mergeCell ref="P30:P31"/>
    <mergeCell ref="E28:E29"/>
    <mergeCell ref="F28:F29"/>
    <mergeCell ref="G28:G29"/>
    <mergeCell ref="H28:H29"/>
    <mergeCell ref="I28:I29"/>
    <mergeCell ref="J28:J29"/>
    <mergeCell ref="K28:K29"/>
    <mergeCell ref="L28:L29"/>
    <mergeCell ref="M28:M29"/>
    <mergeCell ref="N20:N21"/>
    <mergeCell ref="O20:O21"/>
    <mergeCell ref="P20:P21"/>
    <mergeCell ref="E23:E24"/>
    <mergeCell ref="F23:F24"/>
    <mergeCell ref="G23:G24"/>
    <mergeCell ref="H23:H24"/>
    <mergeCell ref="I23:I24"/>
    <mergeCell ref="J23:J24"/>
    <mergeCell ref="K23:K24"/>
    <mergeCell ref="L23:L24"/>
    <mergeCell ref="M23:M24"/>
    <mergeCell ref="N23:N24"/>
    <mergeCell ref="O23:O24"/>
    <mergeCell ref="P23:P24"/>
    <mergeCell ref="E20:E21"/>
    <mergeCell ref="F20:F21"/>
    <mergeCell ref="G20:G21"/>
    <mergeCell ref="H20:H21"/>
    <mergeCell ref="I20:I21"/>
    <mergeCell ref="J20:J21"/>
    <mergeCell ref="K20:K21"/>
    <mergeCell ref="L20:L21"/>
    <mergeCell ref="M20:M21"/>
    <mergeCell ref="G14:G15"/>
    <mergeCell ref="H14:H15"/>
    <mergeCell ref="I14:I15"/>
    <mergeCell ref="J14:J15"/>
    <mergeCell ref="E18:E19"/>
    <mergeCell ref="F18:F19"/>
    <mergeCell ref="G18:G19"/>
    <mergeCell ref="H18:H19"/>
    <mergeCell ref="I18:I19"/>
    <mergeCell ref="J18:J19"/>
    <mergeCell ref="E16:E17"/>
    <mergeCell ref="F16:F17"/>
    <mergeCell ref="G16:G17"/>
    <mergeCell ref="H16:H17"/>
    <mergeCell ref="I16:I17"/>
    <mergeCell ref="J16:J17"/>
    <mergeCell ref="M16:M17"/>
    <mergeCell ref="H9:H10"/>
    <mergeCell ref="I9:I10"/>
    <mergeCell ref="J9:J10"/>
    <mergeCell ref="N18:N19"/>
    <mergeCell ref="O18:O19"/>
    <mergeCell ref="P18:P19"/>
    <mergeCell ref="N14:N15"/>
    <mergeCell ref="O14:O15"/>
    <mergeCell ref="P14:P15"/>
    <mergeCell ref="N16:N17"/>
    <mergeCell ref="O16:O17"/>
    <mergeCell ref="P16:P17"/>
    <mergeCell ref="K18:K19"/>
    <mergeCell ref="L18:L19"/>
    <mergeCell ref="M18:M19"/>
    <mergeCell ref="M9:M10"/>
    <mergeCell ref="P9:P10"/>
    <mergeCell ref="I12:I13"/>
    <mergeCell ref="J12:J13"/>
    <mergeCell ref="K12:K13"/>
    <mergeCell ref="L12:L13"/>
    <mergeCell ref="D3:D4"/>
    <mergeCell ref="R3:R4"/>
    <mergeCell ref="S3:S4"/>
    <mergeCell ref="T3:T4"/>
    <mergeCell ref="Q9:Q10"/>
    <mergeCell ref="Q12:Q13"/>
    <mergeCell ref="Q14:Q15"/>
    <mergeCell ref="L3:L4"/>
    <mergeCell ref="M3:M4"/>
    <mergeCell ref="N3:N4"/>
    <mergeCell ref="O3:O4"/>
    <mergeCell ref="P3:P4"/>
    <mergeCell ref="M12:M13"/>
    <mergeCell ref="N12:N13"/>
    <mergeCell ref="O12:O13"/>
    <mergeCell ref="P12:P13"/>
    <mergeCell ref="K9:K10"/>
    <mergeCell ref="L9:L10"/>
    <mergeCell ref="I6:I7"/>
    <mergeCell ref="J6:J7"/>
    <mergeCell ref="K6:K7"/>
    <mergeCell ref="L6:L7"/>
    <mergeCell ref="E14:E15"/>
    <mergeCell ref="F14:F15"/>
    <mergeCell ref="Q3:Q4"/>
    <mergeCell ref="Z3:Z4"/>
    <mergeCell ref="AA3:AA4"/>
    <mergeCell ref="AB3:AB4"/>
    <mergeCell ref="K14:K15"/>
    <mergeCell ref="L14:L15"/>
    <mergeCell ref="M14:M15"/>
    <mergeCell ref="N9:N10"/>
    <mergeCell ref="O9:O10"/>
    <mergeCell ref="U14:U15"/>
    <mergeCell ref="V14:V15"/>
    <mergeCell ref="W14:W15"/>
    <mergeCell ref="X14:X15"/>
    <mergeCell ref="Y14:Y15"/>
    <mergeCell ref="Z14:Z15"/>
    <mergeCell ref="AA14:AA15"/>
    <mergeCell ref="W6:W7"/>
    <mergeCell ref="V6:V7"/>
    <mergeCell ref="AB6:AB7"/>
    <mergeCell ref="AA6:AA7"/>
    <mergeCell ref="Z6:Z7"/>
    <mergeCell ref="Y6:Y7"/>
    <mergeCell ref="X6:X7"/>
    <mergeCell ref="AA9:AA10"/>
    <mergeCell ref="AH3:AH4"/>
    <mergeCell ref="R6:R7"/>
    <mergeCell ref="S6:S7"/>
    <mergeCell ref="AE64:AE65"/>
    <mergeCell ref="AF64:AF65"/>
    <mergeCell ref="AG64:AG65"/>
    <mergeCell ref="AH64:AH65"/>
    <mergeCell ref="Z64:Z65"/>
    <mergeCell ref="AA64:AA65"/>
    <mergeCell ref="AB64:AB65"/>
    <mergeCell ref="AC64:AC65"/>
    <mergeCell ref="AD64:AD65"/>
    <mergeCell ref="T6:T7"/>
    <mergeCell ref="U6:U7"/>
    <mergeCell ref="U3:U4"/>
    <mergeCell ref="V3:V4"/>
    <mergeCell ref="W3:W4"/>
    <mergeCell ref="X3:X4"/>
    <mergeCell ref="Y3:Y4"/>
    <mergeCell ref="AG6:AG7"/>
    <mergeCell ref="AF6:AF7"/>
    <mergeCell ref="AE6:AE7"/>
    <mergeCell ref="AD6:AD7"/>
    <mergeCell ref="AC6:AC7"/>
    <mergeCell ref="Q64:Q65"/>
    <mergeCell ref="R64:R65"/>
    <mergeCell ref="S64:S65"/>
    <mergeCell ref="T64:T65"/>
    <mergeCell ref="U64:U65"/>
    <mergeCell ref="V64:V65"/>
    <mergeCell ref="W64:W65"/>
    <mergeCell ref="X64:X65"/>
    <mergeCell ref="Y64:Y65"/>
    <mergeCell ref="Q59:Q60"/>
    <mergeCell ref="R9:R10"/>
    <mergeCell ref="R12:R13"/>
    <mergeCell ref="R14:R15"/>
    <mergeCell ref="Q18:Q19"/>
    <mergeCell ref="R18:R19"/>
    <mergeCell ref="E6:E7"/>
    <mergeCell ref="F6:F7"/>
    <mergeCell ref="G6:G7"/>
    <mergeCell ref="H6:H7"/>
    <mergeCell ref="M6:M7"/>
    <mergeCell ref="N6:N7"/>
    <mergeCell ref="O6:O7"/>
    <mergeCell ref="P6:P7"/>
    <mergeCell ref="Q6:Q7"/>
    <mergeCell ref="E12:E13"/>
    <mergeCell ref="F12:F13"/>
    <mergeCell ref="G12:G13"/>
    <mergeCell ref="H12:H13"/>
    <mergeCell ref="E9:E10"/>
    <mergeCell ref="F9:F10"/>
    <mergeCell ref="G9:G10"/>
    <mergeCell ref="K16:K17"/>
    <mergeCell ref="L16:L17"/>
    <mergeCell ref="A6:A7"/>
    <mergeCell ref="B6:B7"/>
    <mergeCell ref="C6:C7"/>
    <mergeCell ref="D6:D7"/>
    <mergeCell ref="A9:A10"/>
    <mergeCell ref="B9:B10"/>
    <mergeCell ref="C9:C10"/>
    <mergeCell ref="D9:D10"/>
    <mergeCell ref="A12:A13"/>
    <mergeCell ref="B12:B13"/>
    <mergeCell ref="C12:C13"/>
    <mergeCell ref="BE1:BN1"/>
    <mergeCell ref="BO1:BY1"/>
    <mergeCell ref="BZ1:CB1"/>
    <mergeCell ref="A3:A4"/>
    <mergeCell ref="B3:B4"/>
    <mergeCell ref="C3:C4"/>
    <mergeCell ref="A1:AK1"/>
    <mergeCell ref="AL1:AX1"/>
    <mergeCell ref="BA1:BD1"/>
    <mergeCell ref="AJ3:AJ4"/>
    <mergeCell ref="AK3:AK4"/>
    <mergeCell ref="AI3:AI4"/>
    <mergeCell ref="E3:E4"/>
    <mergeCell ref="F3:F4"/>
    <mergeCell ref="G3:G4"/>
    <mergeCell ref="H3:H4"/>
    <mergeCell ref="I3:I4"/>
    <mergeCell ref="J3:J4"/>
    <mergeCell ref="K3:K4"/>
    <mergeCell ref="AC3:AC4"/>
    <mergeCell ref="AD3:AD4"/>
    <mergeCell ref="AE3:AE4"/>
    <mergeCell ref="AF3:AF4"/>
    <mergeCell ref="AG3:AG4"/>
    <mergeCell ref="B20:B21"/>
    <mergeCell ref="C20:C21"/>
    <mergeCell ref="D12:D13"/>
    <mergeCell ref="A14:A15"/>
    <mergeCell ref="B14:B15"/>
    <mergeCell ref="C14:C15"/>
    <mergeCell ref="A16:A17"/>
    <mergeCell ref="B16:B17"/>
    <mergeCell ref="C16:C17"/>
    <mergeCell ref="D16:D17"/>
    <mergeCell ref="D14:D15"/>
    <mergeCell ref="D20:D21"/>
    <mergeCell ref="A18:A19"/>
    <mergeCell ref="B18:B19"/>
    <mergeCell ref="C18:C19"/>
    <mergeCell ref="D18:D19"/>
    <mergeCell ref="A20:A21"/>
    <mergeCell ref="A30:A31"/>
    <mergeCell ref="B30:B31"/>
    <mergeCell ref="C30:C31"/>
    <mergeCell ref="A34:A35"/>
    <mergeCell ref="B34:B35"/>
    <mergeCell ref="C34:C35"/>
    <mergeCell ref="A23:A24"/>
    <mergeCell ref="B23:B24"/>
    <mergeCell ref="C23:C24"/>
    <mergeCell ref="A28:A29"/>
    <mergeCell ref="B28:B29"/>
    <mergeCell ref="C28:C29"/>
    <mergeCell ref="A46:A47"/>
    <mergeCell ref="B46:B47"/>
    <mergeCell ref="C46:C47"/>
    <mergeCell ref="D46:D47"/>
    <mergeCell ref="A39:A40"/>
    <mergeCell ref="B39:B40"/>
    <mergeCell ref="C39:C40"/>
    <mergeCell ref="A41:A42"/>
    <mergeCell ref="B41:B42"/>
    <mergeCell ref="C41:C42"/>
    <mergeCell ref="A48:A49"/>
    <mergeCell ref="B48:B49"/>
    <mergeCell ref="C48:C49"/>
    <mergeCell ref="D48:D49"/>
    <mergeCell ref="A51:A52"/>
    <mergeCell ref="B51:B52"/>
    <mergeCell ref="C51:C52"/>
    <mergeCell ref="D51:D52"/>
    <mergeCell ref="A61:A62"/>
    <mergeCell ref="B61:B62"/>
    <mergeCell ref="C61:C62"/>
    <mergeCell ref="A64:A65"/>
    <mergeCell ref="B64:B65"/>
    <mergeCell ref="C64:C65"/>
    <mergeCell ref="A53:A54"/>
    <mergeCell ref="B53:B54"/>
    <mergeCell ref="C53:C54"/>
    <mergeCell ref="A59:A60"/>
    <mergeCell ref="B59:B60"/>
    <mergeCell ref="C59:C60"/>
    <mergeCell ref="A71:A72"/>
    <mergeCell ref="B71:B72"/>
    <mergeCell ref="C71:C72"/>
    <mergeCell ref="A73:A74"/>
    <mergeCell ref="B73:B74"/>
    <mergeCell ref="C73:C74"/>
    <mergeCell ref="A67:A68"/>
    <mergeCell ref="B67:B68"/>
    <mergeCell ref="C67:C68"/>
    <mergeCell ref="A69:A70"/>
    <mergeCell ref="B69:B70"/>
    <mergeCell ref="C69:C70"/>
    <mergeCell ref="E77:E78"/>
    <mergeCell ref="D77:D78"/>
    <mergeCell ref="D80:D81"/>
    <mergeCell ref="D88:M88"/>
    <mergeCell ref="A77:A78"/>
    <mergeCell ref="B77:B78"/>
    <mergeCell ref="C77:C78"/>
    <mergeCell ref="A80:A81"/>
    <mergeCell ref="B80:B81"/>
    <mergeCell ref="C80:C81"/>
    <mergeCell ref="M77:M78"/>
  </mergeCells>
  <phoneticPr fontId="6" type="noConversion"/>
  <conditionalFormatting sqref="BA3:BD83">
    <cfRule type="containsText" dxfId="11" priority="1" operator="containsText" text="YES">
      <formula>NOT(ISERROR(SEARCH("YES",BA3)))</formula>
    </cfRule>
  </conditionalFormatting>
  <hyperlinks>
    <hyperlink ref="N8" r:id="rId1" xr:uid="{7E92FE51-C69C-4888-94BA-BEC6808B06A3}"/>
    <hyperlink ref="Z18" r:id="rId2" xr:uid="{D1B2F0B7-A0E4-4050-B8C1-2E039EFB5273}"/>
    <hyperlink ref="AE18" r:id="rId3" xr:uid="{44C3B28D-949C-4CD1-BC69-FEA1BF141EFD}"/>
    <hyperlink ref="AH18" r:id="rId4" xr:uid="{1A86A929-B389-4F3B-901C-3FF9442FEE8C}"/>
    <hyperlink ref="N20" r:id="rId5" xr:uid="{829F391F-A8B4-43D4-BA50-DAF872201776}"/>
    <hyperlink ref="W28" r:id="rId6" xr:uid="{D39CF26A-A4E0-44BB-94E5-558269DFD264}"/>
    <hyperlink ref="Z28" r:id="rId7" xr:uid="{6295C94A-137F-4A5B-8315-CF4C21ECA3A9}"/>
    <hyperlink ref="AE28" r:id="rId8" xr:uid="{F681EB58-E094-4ABE-B4A6-14C8C24B70F7}"/>
    <hyperlink ref="N56" r:id="rId9" xr:uid="{3D0B47D9-DFF5-4B16-B148-973803E106D8}"/>
    <hyperlink ref="N59" r:id="rId10" xr:uid="{030A026D-A765-435B-9E4C-66DEB957B5E4}"/>
    <hyperlink ref="N66" r:id="rId11" xr:uid="{B45D4C78-2AA2-4D67-99B7-FAA804F4CA3C}"/>
    <hyperlink ref="N75" r:id="rId12" xr:uid="{69310148-21EC-468F-A2EB-F16AA4FBD82A}"/>
    <hyperlink ref="Z80" r:id="rId13" xr:uid="{664AAF3F-D610-4F5B-A94D-AF385901E5C0}"/>
    <hyperlink ref="AH80" r:id="rId14" xr:uid="{1BCBFA16-4C9F-4DE6-AA85-4733B514A810}"/>
    <hyperlink ref="N82" r:id="rId15" xr:uid="{8E460AE7-3A62-41E0-AFD5-1CA503489D47}"/>
    <hyperlink ref="N83" r:id="rId16" xr:uid="{C5A622A2-9D2B-4279-9998-DA14A860C300}"/>
    <hyperlink ref="AE6" r:id="rId17" xr:uid="{D244F165-7ADE-8748-AD93-428F83485CB5}"/>
    <hyperlink ref="AE67" r:id="rId18" xr:uid="{B073AE66-434D-2341-B10F-B46A9B1E47B6}"/>
    <hyperlink ref="AH67" r:id="rId19" xr:uid="{B72069EE-CE4E-FB46-8E4F-5783BE8674C3}"/>
    <hyperlink ref="Z67" r:id="rId20" xr:uid="{A5248CEC-977C-8947-B4B6-F8ADE55AEA07}"/>
    <hyperlink ref="W67" r:id="rId21" xr:uid="{47F2D361-FA50-854E-A507-98A2DE9109D4}"/>
    <hyperlink ref="AN67" r:id="rId22" xr:uid="{28078A06-56A4-E34E-AF0A-B48EDC4B1B3C}"/>
    <hyperlink ref="AN68" r:id="rId23" xr:uid="{73C294D1-E2D5-6948-BD36-46AA168AA934}"/>
    <hyperlink ref="W18" r:id="rId24" xr:uid="{CC385753-28A6-4AB2-9DBD-657F51B04FA8}"/>
    <hyperlink ref="AN7" r:id="rId25" xr:uid="{6CED1E51-B1EA-4116-B926-290171C37363}"/>
    <hyperlink ref="W30" r:id="rId26" xr:uid="{20930A3C-F22A-A84D-9D89-E5D0D941942D}"/>
    <hyperlink ref="Z30" r:id="rId27" xr:uid="{9B25165D-284D-0F4A-95EE-87E8344F5EED}"/>
    <hyperlink ref="AE30" r:id="rId28" xr:uid="{22E88CF3-279E-924B-A545-D5FA660918F0}"/>
    <hyperlink ref="AH30" r:id="rId29" xr:uid="{B2ADF771-F5C8-DA49-8037-5DDFA7E055AF}"/>
    <hyperlink ref="W9" r:id="rId30" xr:uid="{BE4CDBD9-6945-1045-8619-D0F07292E673}"/>
    <hyperlink ref="Z9" r:id="rId31" xr:uid="{BAC37AE7-CAB5-E641-B6AF-DE01028BA673}"/>
    <hyperlink ref="AE9" r:id="rId32" xr:uid="{6E94C692-2D01-7942-A683-FA07F9A62620}"/>
    <hyperlink ref="AH9" r:id="rId33" xr:uid="{B4402881-C3F4-6741-B43E-00A0A94F148B}"/>
    <hyperlink ref="W73" r:id="rId34" xr:uid="{95A3BBE2-EFF5-A04C-8DBA-21C1C733BD4F}"/>
    <hyperlink ref="Z73" r:id="rId35" xr:uid="{29535353-F32C-624C-B075-1F58F098F12B}"/>
    <hyperlink ref="W59:W60" r:id="rId36" display="Solveig.Stornes@mrfylke.no" xr:uid="{E97CC68E-541C-4B2E-96D0-AD66971335E4}"/>
    <hyperlink ref="AN59" r:id="rId37" xr:uid="{CE7A71AC-C5E1-484E-B152-54FBFF30AEAD}"/>
    <hyperlink ref="AE59:AE60" r:id="rId38" display="Solveig.Stornes@mrfylke.no" xr:uid="{ADE49F82-8596-40F8-85DD-AA32F406B828}"/>
    <hyperlink ref="Z59:Z60" r:id="rId39" display="francisco.carvalho@labpaisagem.pt" xr:uid="{94D2303B-85F1-4B99-8A46-A9CBC7AF1036}"/>
    <hyperlink ref="AH59:AH60" r:id="rId40" display="francisco.carvalho@labpaisagem.pt" xr:uid="{BFC338F5-1C74-46E2-AB60-416FE62BEA06}"/>
    <hyperlink ref="W69:W70" r:id="rId41" display="giulia.viero@ieecp.org" xr:uid="{2D58D957-1F12-480C-83C2-FDD0379E42DA}"/>
    <hyperlink ref="AE69:AE70" r:id="rId42" display="giulia.viero@ieecp.org" xr:uid="{E98AD9A5-11B0-4ED2-89ED-40139C5C4BCA}"/>
    <hyperlink ref="Z69:Z70" r:id="rId43" display="varvesi@aisfor.it" xr:uid="{F4C06EF7-9D91-4886-AE6B-A6DE2970E094}"/>
    <hyperlink ref="AN70" r:id="rId44" xr:uid="{206A7C56-3CDD-4F50-A7F9-97FDCF1DDDE8}"/>
    <hyperlink ref="AN69" r:id="rId45" xr:uid="{6905ACC2-8DF5-490A-A01E-F73694962E2D}"/>
    <hyperlink ref="AH69:AH70" r:id="rId46" display="varvesi@aisfor.it" xr:uid="{25B5797D-ECBF-4626-8AB3-573A428DB1CB}"/>
    <hyperlink ref="W53:W54" r:id="rId47" display="anna.mansson@energikontorsyd.se" xr:uid="{128D8C82-4638-474D-967B-D4DA707D12DA}"/>
    <hyperlink ref="Z53:Z54" r:id="rId48" display="marina.malossi@aessenergy.it" xr:uid="{9D5061D0-846B-47F5-A1D0-46AC7F845B59}"/>
    <hyperlink ref="AE53:AE54" r:id="rId49" display="anna.mansson@energikontorsyd.se" xr:uid="{9F40AE32-0171-4041-85FC-2B7D6EE18D3A}"/>
    <hyperlink ref="AE73" r:id="rId50" xr:uid="{AA690CFB-F8D9-4310-A8E7-54EC08626464}"/>
    <hyperlink ref="AH73" r:id="rId51" xr:uid="{A7E53F1B-26AD-49A5-9D60-81464A074C8E}"/>
    <hyperlink ref="AE73:AE74" r:id="rId52" display="m.stassi@pcm.gov.it" xr:uid="{EC7472F5-98E5-4831-A0A7-BA86DEFB4106}"/>
    <hyperlink ref="AH73:AH74" r:id="rId53" display="v.sciucchini@pcm.gov.it" xr:uid="{E0FC1CBA-E67D-4647-90B7-48FF446FC093}"/>
    <hyperlink ref="W46:W47" r:id="rId54" display="g.gambino@iaraosta.it" xr:uid="{61D74147-5B6E-4993-B4BE-F5E46D62AF75}"/>
    <hyperlink ref="AE46:AE47" r:id="rId55" display="g.gambino@iaraosta.it" xr:uid="{597B8E7B-780F-48F6-A6BF-7A9C2CAB8497}"/>
    <hyperlink ref="Z46:Z47" r:id="rId56" display="m.merlet@iaraosta.it" xr:uid="{E2C15F32-063F-45B8-8058-A9CBB869A4B0}"/>
    <hyperlink ref="AH46:AH47" r:id="rId57" display="m.merlet@iaraosta.it" xr:uid="{348BF3E0-7E14-4A87-A4F1-8260A0E8FC5F}"/>
    <hyperlink ref="AH53:AH54" r:id="rId58" display="marina.malossi@aessenergy.it" xr:uid="{AAC6DAFF-65D1-4F70-91F5-E8615A3AE0D8}"/>
    <hyperlink ref="W14:W15" r:id="rId59" display="luka.mihailovic@budva.me" xr:uid="{2AD87CFB-4A74-4EAE-BD9E-3D955C9CBDAC}"/>
    <hyperlink ref="Z14:Z15" r:id="rId60" display="nadja.vukasovic@kotor.me" xr:uid="{54EA6A2C-8066-4F56-847A-D3C8FAA3FAC4}"/>
    <hyperlink ref="N50" r:id="rId61" xr:uid="{4A1842D5-F198-42DF-A4BF-B3C566A54148}"/>
    <hyperlink ref="N67:N68" r:id="rId62" display="vittoria.torrisi@youthforum.org ; francesco.zollo@youthforum.org" xr:uid="{1200E642-AD00-4E4F-B5E5-231B4D663226}"/>
  </hyperlinks>
  <pageMargins left="0.7" right="0.7" top="0.75" bottom="0.75" header="0.3" footer="0.3"/>
  <pageSetup orientation="portrait" horizontalDpi="1200" verticalDpi="1200" r:id="rId63"/>
  <extLst>
    <ext xmlns:x14="http://schemas.microsoft.com/office/spreadsheetml/2009/9/main" uri="{CCE6A557-97BC-4b89-ADB6-D9C93CAAB3DF}">
      <x14:dataValidations xmlns:xm="http://schemas.microsoft.com/office/excel/2006/main" count="1">
        <x14:dataValidation type="list" allowBlank="1" showInputMessage="1" showErrorMessage="1" xr:uid="{910A83FA-0FD8-4CBE-A228-8036032C7E55}">
          <x14:formula1>
            <xm:f>Hoja1!$A$1:$A$2</xm:f>
          </x14:formula1>
          <xm:sqref>BA3:BD83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39E6-E1BF-4553-B99F-AD3DBEC32478}">
  <dimension ref="A1:BZ40"/>
  <sheetViews>
    <sheetView zoomScale="80" zoomScaleNormal="80" workbookViewId="0">
      <pane xSplit="9" ySplit="2" topLeftCell="AX3" activePane="bottomRight" state="frozen"/>
      <selection pane="topRight" activeCell="F2" sqref="F2"/>
      <selection pane="bottomLeft" activeCell="B3" sqref="B3"/>
      <selection pane="bottomRight" activeCell="BC15" sqref="BC15"/>
    </sheetView>
  </sheetViews>
  <sheetFormatPr baseColWidth="10" defaultColWidth="9.1640625" defaultRowHeight="15" customHeight="1"/>
  <cols>
    <col min="1" max="1" width="9.1640625" style="208" customWidth="1"/>
    <col min="2" max="2" width="13.83203125" style="208" customWidth="1"/>
    <col min="3" max="4" width="9.1640625" style="208" customWidth="1"/>
    <col min="5" max="5" width="9.1640625" style="17" customWidth="1"/>
    <col min="6" max="9" width="14.6640625" style="16" hidden="1" customWidth="1"/>
    <col min="10" max="11" width="9.1640625" style="16" customWidth="1"/>
    <col min="12" max="14" width="9.1640625" style="16" hidden="1" customWidth="1"/>
    <col min="15" max="34" width="9.1640625" style="208" hidden="1" customWidth="1"/>
    <col min="35" max="38" width="9.1640625" style="208" customWidth="1"/>
    <col min="39" max="39" width="13.6640625" style="208" customWidth="1"/>
    <col min="40" max="43" width="9.1640625" style="208" customWidth="1"/>
    <col min="44" max="44" width="11.83203125" style="208" customWidth="1"/>
    <col min="45" max="46" width="9.1640625" style="208" customWidth="1"/>
    <col min="47" max="47" width="11.6640625" style="208" customWidth="1"/>
    <col min="48" max="70" width="9.1640625" style="208" customWidth="1"/>
    <col min="71" max="71" width="11.1640625" style="208" customWidth="1"/>
    <col min="72" max="72" width="15" style="208" customWidth="1"/>
    <col min="73" max="73" width="13.5" style="208" customWidth="1"/>
    <col min="74" max="75" width="9.1640625" style="208" customWidth="1"/>
    <col min="76" max="76" width="38" style="208" customWidth="1"/>
    <col min="77" max="77" width="32.83203125" style="208" customWidth="1"/>
    <col min="78" max="16383" width="9.1640625" style="208" customWidth="1"/>
    <col min="16384" max="16384" width="9.1640625" style="208"/>
  </cols>
  <sheetData>
    <row r="1" spans="1:78" s="31" customFormat="1" ht="69" customHeight="1">
      <c r="A1" s="1178" t="s">
        <v>1973</v>
      </c>
      <c r="B1" s="1178"/>
      <c r="C1" s="1178"/>
      <c r="D1" s="1178"/>
      <c r="E1" s="1178"/>
      <c r="F1" s="1178"/>
      <c r="G1" s="1178"/>
      <c r="H1" s="1178"/>
      <c r="I1" s="1178"/>
      <c r="J1" s="1178"/>
      <c r="K1" s="1178"/>
      <c r="L1" s="1178"/>
      <c r="M1" s="1178"/>
      <c r="N1" s="1178"/>
      <c r="O1" s="1178"/>
      <c r="P1" s="1178"/>
      <c r="Q1" s="1178"/>
      <c r="R1" s="1178"/>
      <c r="S1" s="1178"/>
      <c r="T1" s="1178"/>
      <c r="U1" s="1178"/>
      <c r="V1" s="1178"/>
      <c r="W1" s="1178"/>
      <c r="X1" s="1178"/>
      <c r="Y1" s="1178"/>
      <c r="Z1" s="1178"/>
      <c r="AA1" s="1178"/>
      <c r="AB1" s="1178"/>
      <c r="AC1" s="1178"/>
      <c r="AD1" s="1178"/>
      <c r="AE1" s="1178"/>
      <c r="AF1" s="1178"/>
      <c r="AG1" s="1178"/>
      <c r="AH1" s="1178"/>
      <c r="AI1" s="1179"/>
      <c r="AJ1" s="1180" t="s">
        <v>1974</v>
      </c>
      <c r="AK1" s="1180"/>
      <c r="AL1" s="1180"/>
      <c r="AM1" s="1180"/>
      <c r="AN1" s="1180"/>
      <c r="AO1" s="1180"/>
      <c r="AP1" s="1180"/>
      <c r="AQ1" s="1180"/>
      <c r="AR1" s="1180"/>
      <c r="AS1" s="1180"/>
      <c r="AT1" s="1180"/>
      <c r="AU1" s="1180"/>
      <c r="AV1" s="1180"/>
      <c r="AW1" s="1180"/>
      <c r="AX1" s="1181"/>
      <c r="AY1" s="1182" t="s">
        <v>2</v>
      </c>
      <c r="AZ1" s="1182"/>
      <c r="BA1" s="1182"/>
      <c r="BB1" s="1183"/>
      <c r="BC1" s="1171" t="s">
        <v>3</v>
      </c>
      <c r="BD1" s="1171"/>
      <c r="BE1" s="1171"/>
      <c r="BF1" s="1171"/>
      <c r="BG1" s="1171"/>
      <c r="BH1" s="1171"/>
      <c r="BI1" s="1171"/>
      <c r="BJ1" s="1171"/>
      <c r="BK1" s="1171"/>
      <c r="BL1" s="1172"/>
      <c r="BM1" s="1173"/>
      <c r="BN1" s="1173"/>
      <c r="BO1" s="1173"/>
      <c r="BP1" s="1173"/>
      <c r="BQ1" s="1173"/>
      <c r="BR1" s="1173"/>
      <c r="BS1" s="1173"/>
      <c r="BT1" s="1173"/>
      <c r="BU1" s="1173"/>
      <c r="BV1" s="1173"/>
      <c r="BW1" s="1174"/>
      <c r="BX1" s="1175" t="s">
        <v>4</v>
      </c>
      <c r="BY1" s="1175"/>
      <c r="BZ1" s="1176"/>
    </row>
    <row r="2" spans="1:78" s="31" customFormat="1" ht="105">
      <c r="A2" s="122" t="s">
        <v>5</v>
      </c>
      <c r="B2" s="123" t="s">
        <v>6</v>
      </c>
      <c r="C2" s="105" t="s">
        <v>7</v>
      </c>
      <c r="D2" s="105" t="s">
        <v>8</v>
      </c>
      <c r="E2" s="105" t="s">
        <v>9</v>
      </c>
      <c r="F2" s="106" t="s">
        <v>10</v>
      </c>
      <c r="G2" s="104" t="s">
        <v>11</v>
      </c>
      <c r="H2" s="105" t="s">
        <v>15</v>
      </c>
      <c r="I2" s="105" t="s">
        <v>16</v>
      </c>
      <c r="J2" s="105" t="s">
        <v>18</v>
      </c>
      <c r="K2" s="105" t="s">
        <v>19</v>
      </c>
      <c r="L2" s="105" t="s">
        <v>20</v>
      </c>
      <c r="M2" s="105" t="s">
        <v>1285</v>
      </c>
      <c r="N2" s="105" t="s">
        <v>22</v>
      </c>
      <c r="O2" s="105" t="s">
        <v>23</v>
      </c>
      <c r="P2" s="105" t="s">
        <v>1287</v>
      </c>
      <c r="Q2" s="105" t="s">
        <v>1975</v>
      </c>
      <c r="R2" s="105" t="s">
        <v>1976</v>
      </c>
      <c r="S2" s="105" t="s">
        <v>27</v>
      </c>
      <c r="T2" s="105" t="s">
        <v>28</v>
      </c>
      <c r="U2" s="105" t="s">
        <v>29</v>
      </c>
      <c r="V2" s="105" t="s">
        <v>30</v>
      </c>
      <c r="W2" s="105" t="s">
        <v>31</v>
      </c>
      <c r="X2" s="105" t="s">
        <v>32</v>
      </c>
      <c r="Y2" s="105" t="s">
        <v>36</v>
      </c>
      <c r="Z2" s="105" t="s">
        <v>1977</v>
      </c>
      <c r="AA2" s="105" t="s">
        <v>38</v>
      </c>
      <c r="AB2" s="105" t="s">
        <v>39</v>
      </c>
      <c r="AC2" s="105" t="s">
        <v>40</v>
      </c>
      <c r="AD2" s="105" t="s">
        <v>41</v>
      </c>
      <c r="AE2" s="105" t="s">
        <v>42</v>
      </c>
      <c r="AF2" s="105" t="s">
        <v>43</v>
      </c>
      <c r="AG2" s="105" t="s">
        <v>47</v>
      </c>
      <c r="AH2" s="107" t="s">
        <v>48</v>
      </c>
      <c r="AI2" s="124" t="s">
        <v>49</v>
      </c>
      <c r="AJ2" s="125" t="s">
        <v>50</v>
      </c>
      <c r="AK2" s="126" t="s">
        <v>51</v>
      </c>
      <c r="AL2" s="126" t="s">
        <v>19</v>
      </c>
      <c r="AM2" s="126" t="s">
        <v>52</v>
      </c>
      <c r="AN2" s="126" t="s">
        <v>53</v>
      </c>
      <c r="AO2" s="126" t="s">
        <v>54</v>
      </c>
      <c r="AP2" s="126" t="s">
        <v>55</v>
      </c>
      <c r="AQ2" s="126" t="s">
        <v>56</v>
      </c>
      <c r="AR2" s="126" t="s">
        <v>57</v>
      </c>
      <c r="AS2" s="126" t="s">
        <v>58</v>
      </c>
      <c r="AT2" s="126" t="s">
        <v>59</v>
      </c>
      <c r="AU2" s="126" t="s">
        <v>60</v>
      </c>
      <c r="AV2" s="126" t="s">
        <v>61</v>
      </c>
      <c r="AW2" s="126" t="s">
        <v>62</v>
      </c>
      <c r="AX2" s="126" t="s">
        <v>63</v>
      </c>
      <c r="AY2" s="127" t="s">
        <v>64</v>
      </c>
      <c r="AZ2" s="127" t="s">
        <v>65</v>
      </c>
      <c r="BA2" s="127" t="s">
        <v>66</v>
      </c>
      <c r="BB2" s="127" t="s">
        <v>67</v>
      </c>
      <c r="BC2" s="128" t="s">
        <v>68</v>
      </c>
      <c r="BD2" s="128" t="s">
        <v>69</v>
      </c>
      <c r="BE2" s="128" t="s">
        <v>57</v>
      </c>
      <c r="BF2" s="128" t="s">
        <v>70</v>
      </c>
      <c r="BG2" s="128" t="s">
        <v>71</v>
      </c>
      <c r="BH2" s="128" t="s">
        <v>72</v>
      </c>
      <c r="BI2" s="128" t="s">
        <v>73</v>
      </c>
      <c r="BJ2" s="128" t="s">
        <v>70</v>
      </c>
      <c r="BK2" s="128" t="s">
        <v>71</v>
      </c>
      <c r="BL2" s="128" t="s">
        <v>74</v>
      </c>
      <c r="BM2" s="129" t="s">
        <v>1292</v>
      </c>
      <c r="BN2" s="129" t="s">
        <v>1293</v>
      </c>
      <c r="BO2" s="129" t="s">
        <v>1294</v>
      </c>
      <c r="BP2" s="130">
        <v>45943</v>
      </c>
      <c r="BQ2" s="130">
        <v>45944</v>
      </c>
      <c r="BR2" s="130">
        <v>45945</v>
      </c>
      <c r="BS2" s="129" t="s">
        <v>75</v>
      </c>
      <c r="BT2" s="129" t="s">
        <v>76</v>
      </c>
      <c r="BU2" s="129" t="s">
        <v>78</v>
      </c>
      <c r="BV2" s="129" t="s">
        <v>79</v>
      </c>
      <c r="BW2" s="129" t="s">
        <v>80</v>
      </c>
      <c r="BX2" s="131" t="s">
        <v>81</v>
      </c>
      <c r="BY2" s="131" t="s">
        <v>82</v>
      </c>
      <c r="BZ2" s="131" t="s">
        <v>83</v>
      </c>
    </row>
    <row r="3" spans="1:78" ht="51.75" customHeight="1">
      <c r="A3" s="1167">
        <v>45944</v>
      </c>
      <c r="B3" s="1151" t="s">
        <v>1978</v>
      </c>
      <c r="C3" s="1166">
        <v>45943</v>
      </c>
      <c r="D3" s="1166">
        <v>45945</v>
      </c>
      <c r="E3" s="1177">
        <v>2129</v>
      </c>
      <c r="F3" s="1186" t="s">
        <v>1979</v>
      </c>
      <c r="G3" s="1160" t="s">
        <v>167</v>
      </c>
      <c r="H3" s="1160" t="s">
        <v>1980</v>
      </c>
      <c r="I3" s="1160" t="s">
        <v>566</v>
      </c>
      <c r="J3" s="1160" t="s">
        <v>1981</v>
      </c>
      <c r="K3" s="1160" t="s">
        <v>1982</v>
      </c>
      <c r="L3" s="1160" t="s">
        <v>1983</v>
      </c>
      <c r="M3" s="1160" t="s">
        <v>1984</v>
      </c>
      <c r="N3" s="1184" t="s">
        <v>1985</v>
      </c>
      <c r="O3" s="1160" t="s">
        <v>97</v>
      </c>
      <c r="P3" s="1160" t="s">
        <v>97</v>
      </c>
      <c r="Q3" s="1169" t="s">
        <v>110</v>
      </c>
      <c r="R3" s="1142">
        <v>2</v>
      </c>
      <c r="S3" s="1162" t="s">
        <v>1986</v>
      </c>
      <c r="T3" s="1162" t="s">
        <v>1987</v>
      </c>
      <c r="U3" s="1164" t="s">
        <v>1988</v>
      </c>
      <c r="V3" s="1162" t="s">
        <v>1989</v>
      </c>
      <c r="W3" s="1162" t="s">
        <v>1990</v>
      </c>
      <c r="X3" s="1164" t="s">
        <v>1991</v>
      </c>
      <c r="Y3" s="1142" t="s">
        <v>97</v>
      </c>
      <c r="Z3" s="1142">
        <v>2</v>
      </c>
      <c r="AA3" s="1142" t="s">
        <v>1986</v>
      </c>
      <c r="AB3" s="1142" t="s">
        <v>1987</v>
      </c>
      <c r="AC3" s="1142" t="s">
        <v>1988</v>
      </c>
      <c r="AD3" s="1142" t="s">
        <v>1989</v>
      </c>
      <c r="AE3" s="1160" t="s">
        <v>1990</v>
      </c>
      <c r="AF3" s="1160" t="s">
        <v>1991</v>
      </c>
      <c r="AG3" s="1160" t="s">
        <v>99</v>
      </c>
      <c r="AH3" s="1160" t="s">
        <v>118</v>
      </c>
      <c r="AI3" s="1160" t="s">
        <v>1992</v>
      </c>
      <c r="AJ3" s="370" t="s">
        <v>1986</v>
      </c>
      <c r="AK3" s="371" t="s">
        <v>1987</v>
      </c>
      <c r="AL3" s="371" t="s">
        <v>1988</v>
      </c>
      <c r="AM3" s="373">
        <v>380993028958</v>
      </c>
      <c r="AN3" s="369" t="s">
        <v>1993</v>
      </c>
      <c r="AO3" s="614" t="s">
        <v>98</v>
      </c>
      <c r="AP3" s="369" t="s">
        <v>121</v>
      </c>
      <c r="AQ3" s="369" t="s">
        <v>1994</v>
      </c>
      <c r="AR3" s="351">
        <v>45943</v>
      </c>
      <c r="AS3" s="369" t="s">
        <v>1995</v>
      </c>
      <c r="AT3" s="369" t="s">
        <v>1994</v>
      </c>
      <c r="AU3" s="351">
        <v>45946</v>
      </c>
      <c r="AV3" s="369" t="s">
        <v>1996</v>
      </c>
      <c r="AW3" s="371" t="s">
        <v>98</v>
      </c>
      <c r="AX3" s="614" t="s">
        <v>88</v>
      </c>
      <c r="AY3" s="223" t="s">
        <v>98</v>
      </c>
      <c r="AZ3" s="223" t="s">
        <v>98</v>
      </c>
      <c r="BA3" s="223" t="s">
        <v>98</v>
      </c>
      <c r="BB3" s="223" t="s">
        <v>98</v>
      </c>
      <c r="BC3" s="734" t="s">
        <v>1994</v>
      </c>
      <c r="BD3" s="206" t="s">
        <v>126</v>
      </c>
      <c r="BE3" s="705">
        <v>45943</v>
      </c>
      <c r="BF3" s="708">
        <v>0.51388888888888884</v>
      </c>
      <c r="BG3" s="697" t="s">
        <v>1997</v>
      </c>
      <c r="BH3" s="734" t="s">
        <v>1994</v>
      </c>
      <c r="BI3" s="705">
        <v>45946</v>
      </c>
      <c r="BJ3" s="708">
        <v>0.81944444444444442</v>
      </c>
      <c r="BK3" s="697" t="s">
        <v>1998</v>
      </c>
      <c r="BL3" s="804">
        <v>544.80999999999995</v>
      </c>
      <c r="BM3" s="206" t="s">
        <v>88</v>
      </c>
      <c r="BN3" s="206" t="s">
        <v>88</v>
      </c>
      <c r="BO3" s="206" t="s">
        <v>88</v>
      </c>
      <c r="BP3" s="733">
        <v>1</v>
      </c>
      <c r="BQ3" s="733">
        <v>1</v>
      </c>
      <c r="BR3" s="728" t="s">
        <v>88</v>
      </c>
      <c r="BS3" s="727">
        <v>45943</v>
      </c>
      <c r="BT3" s="727">
        <v>45945</v>
      </c>
      <c r="BU3" s="206">
        <v>2</v>
      </c>
      <c r="BV3" s="206" t="s">
        <v>88</v>
      </c>
      <c r="BW3" s="206" t="s">
        <v>88</v>
      </c>
      <c r="BX3" s="681" t="s">
        <v>1999</v>
      </c>
      <c r="BY3" s="448" t="s">
        <v>2000</v>
      </c>
      <c r="BZ3" s="206" t="s">
        <v>88</v>
      </c>
    </row>
    <row r="4" spans="1:78" ht="51.75" customHeight="1">
      <c r="A4" s="1168"/>
      <c r="B4" s="1152"/>
      <c r="C4" s="1154"/>
      <c r="D4" s="1154"/>
      <c r="E4" s="1156"/>
      <c r="F4" s="1187"/>
      <c r="G4" s="1161"/>
      <c r="H4" s="1161"/>
      <c r="I4" s="1161"/>
      <c r="J4" s="1161"/>
      <c r="K4" s="1161"/>
      <c r="L4" s="1161"/>
      <c r="M4" s="1161"/>
      <c r="N4" s="1185"/>
      <c r="O4" s="1161"/>
      <c r="P4" s="1161"/>
      <c r="Q4" s="1170"/>
      <c r="R4" s="1143"/>
      <c r="S4" s="1163"/>
      <c r="T4" s="1163"/>
      <c r="U4" s="1165"/>
      <c r="V4" s="1163"/>
      <c r="W4" s="1163"/>
      <c r="X4" s="1165"/>
      <c r="Y4" s="1143"/>
      <c r="Z4" s="1143"/>
      <c r="AA4" s="1143"/>
      <c r="AB4" s="1143"/>
      <c r="AC4" s="1143"/>
      <c r="AD4" s="1143"/>
      <c r="AE4" s="1161" t="s">
        <v>88</v>
      </c>
      <c r="AF4" s="1161" t="s">
        <v>88</v>
      </c>
      <c r="AG4" s="1161" t="s">
        <v>88</v>
      </c>
      <c r="AH4" s="1161" t="s">
        <v>88</v>
      </c>
      <c r="AI4" s="1161" t="s">
        <v>88</v>
      </c>
      <c r="AJ4" s="370" t="s">
        <v>1989</v>
      </c>
      <c r="AK4" s="371" t="s">
        <v>1990</v>
      </c>
      <c r="AL4" s="371" t="s">
        <v>1991</v>
      </c>
      <c r="AM4" s="373">
        <v>380968184146</v>
      </c>
      <c r="AN4" s="369" t="s">
        <v>1993</v>
      </c>
      <c r="AO4" s="614" t="s">
        <v>98</v>
      </c>
      <c r="AP4" s="369" t="s">
        <v>121</v>
      </c>
      <c r="AQ4" s="369" t="s">
        <v>1994</v>
      </c>
      <c r="AR4" s="351">
        <v>45943</v>
      </c>
      <c r="AS4" s="369" t="s">
        <v>1995</v>
      </c>
      <c r="AT4" s="369" t="s">
        <v>1994</v>
      </c>
      <c r="AU4" s="351">
        <v>45946</v>
      </c>
      <c r="AV4" s="369" t="s">
        <v>1996</v>
      </c>
      <c r="AW4" s="371" t="s">
        <v>98</v>
      </c>
      <c r="AX4" s="614" t="s">
        <v>88</v>
      </c>
      <c r="AY4" s="223" t="s">
        <v>98</v>
      </c>
      <c r="AZ4" s="223" t="s">
        <v>98</v>
      </c>
      <c r="BA4" s="223" t="s">
        <v>98</v>
      </c>
      <c r="BB4" s="223" t="s">
        <v>98</v>
      </c>
      <c r="BC4" s="735" t="s">
        <v>1994</v>
      </c>
      <c r="BD4" s="206" t="s">
        <v>126</v>
      </c>
      <c r="BE4" s="712">
        <v>45943</v>
      </c>
      <c r="BF4" s="736">
        <v>0.51388888888888884</v>
      </c>
      <c r="BG4" s="714" t="s">
        <v>1997</v>
      </c>
      <c r="BH4" s="735" t="s">
        <v>1994</v>
      </c>
      <c r="BI4" s="712">
        <v>45946</v>
      </c>
      <c r="BJ4" s="736">
        <v>0.81944444444444442</v>
      </c>
      <c r="BK4" s="714" t="s">
        <v>1998</v>
      </c>
      <c r="BL4" s="803">
        <v>544.80999999999995</v>
      </c>
      <c r="BM4" s="206" t="s">
        <v>88</v>
      </c>
      <c r="BN4" s="206" t="s">
        <v>88</v>
      </c>
      <c r="BO4" s="206" t="s">
        <v>88</v>
      </c>
      <c r="BP4" s="733">
        <v>1</v>
      </c>
      <c r="BQ4" s="733">
        <v>1</v>
      </c>
      <c r="BR4" s="728" t="s">
        <v>88</v>
      </c>
      <c r="BS4" s="727">
        <v>45943</v>
      </c>
      <c r="BT4" s="727">
        <v>45945</v>
      </c>
      <c r="BU4" s="206">
        <v>2</v>
      </c>
      <c r="BV4" s="206" t="s">
        <v>88</v>
      </c>
      <c r="BW4" s="206" t="s">
        <v>88</v>
      </c>
      <c r="BX4" s="681" t="s">
        <v>1999</v>
      </c>
      <c r="BY4" s="206" t="s">
        <v>2001</v>
      </c>
      <c r="BZ4" s="448" t="s">
        <v>88</v>
      </c>
    </row>
    <row r="5" spans="1:78" ht="27.5" customHeight="1">
      <c r="A5" s="1167">
        <v>45944</v>
      </c>
      <c r="B5" s="1151" t="s">
        <v>1978</v>
      </c>
      <c r="C5" s="1166">
        <v>45943</v>
      </c>
      <c r="D5" s="1153">
        <v>45945</v>
      </c>
      <c r="E5" s="1155">
        <v>2415</v>
      </c>
      <c r="F5" s="1186" t="s">
        <v>2002</v>
      </c>
      <c r="G5" s="1160" t="s">
        <v>167</v>
      </c>
      <c r="H5" s="1160" t="s">
        <v>2003</v>
      </c>
      <c r="I5" s="1160" t="s">
        <v>2004</v>
      </c>
      <c r="J5" s="1160" t="s">
        <v>2005</v>
      </c>
      <c r="K5" s="1160" t="s">
        <v>2006</v>
      </c>
      <c r="L5" s="1160" t="s">
        <v>2007</v>
      </c>
      <c r="M5" s="1160" t="s">
        <v>249</v>
      </c>
      <c r="N5" s="1184" t="s">
        <v>2008</v>
      </c>
      <c r="O5" s="1160" t="s">
        <v>97</v>
      </c>
      <c r="P5" s="1198" t="s">
        <v>97</v>
      </c>
      <c r="Q5" s="1169" t="s">
        <v>110</v>
      </c>
      <c r="R5" s="1142">
        <v>2</v>
      </c>
      <c r="S5" s="1162" t="s">
        <v>2009</v>
      </c>
      <c r="T5" s="1162" t="s">
        <v>2010</v>
      </c>
      <c r="U5" s="1192" t="s">
        <v>2011</v>
      </c>
      <c r="V5" s="1162" t="s">
        <v>2012</v>
      </c>
      <c r="W5" s="1162" t="s">
        <v>2013</v>
      </c>
      <c r="X5" s="1192" t="s">
        <v>2014</v>
      </c>
      <c r="Y5" s="1142" t="s">
        <v>97</v>
      </c>
      <c r="Z5" s="1142">
        <v>2</v>
      </c>
      <c r="AA5" s="1142" t="s">
        <v>2009</v>
      </c>
      <c r="AB5" s="1142" t="s">
        <v>2010</v>
      </c>
      <c r="AC5" s="1142" t="s">
        <v>2011</v>
      </c>
      <c r="AD5" s="1142" t="s">
        <v>2012</v>
      </c>
      <c r="AE5" s="1160" t="s">
        <v>2013</v>
      </c>
      <c r="AF5" s="1160" t="s">
        <v>2014</v>
      </c>
      <c r="AG5" s="1160" t="s">
        <v>2015</v>
      </c>
      <c r="AH5" s="1160" t="s">
        <v>118</v>
      </c>
      <c r="AI5" s="1160" t="s">
        <v>2016</v>
      </c>
      <c r="AJ5" s="463" t="s">
        <v>2017</v>
      </c>
      <c r="AK5" s="464" t="s">
        <v>2018</v>
      </c>
      <c r="AL5" s="808" t="s">
        <v>2019</v>
      </c>
      <c r="AM5" s="901" t="s">
        <v>2020</v>
      </c>
      <c r="AN5" s="369" t="s">
        <v>1993</v>
      </c>
      <c r="AO5" s="614" t="s">
        <v>98</v>
      </c>
      <c r="AP5" s="434" t="s">
        <v>121</v>
      </c>
      <c r="AQ5" s="434" t="s">
        <v>2021</v>
      </c>
      <c r="AR5" s="438">
        <v>45942</v>
      </c>
      <c r="AS5" s="434" t="s">
        <v>2022</v>
      </c>
      <c r="AT5" s="434" t="s">
        <v>2021</v>
      </c>
      <c r="AU5" s="438">
        <v>45946</v>
      </c>
      <c r="AV5" s="434" t="s">
        <v>2023</v>
      </c>
      <c r="AW5" s="434" t="s">
        <v>2024</v>
      </c>
      <c r="AX5" s="434" t="s">
        <v>2025</v>
      </c>
      <c r="AY5" s="223" t="s">
        <v>98</v>
      </c>
      <c r="AZ5" s="206" t="s">
        <v>88</v>
      </c>
      <c r="BA5" s="206" t="s">
        <v>88</v>
      </c>
      <c r="BB5" s="206" t="s">
        <v>88</v>
      </c>
      <c r="BC5" s="716" t="s">
        <v>2021</v>
      </c>
      <c r="BD5" s="206" t="s">
        <v>88</v>
      </c>
      <c r="BE5" s="206" t="s">
        <v>88</v>
      </c>
      <c r="BF5" s="206" t="s">
        <v>88</v>
      </c>
      <c r="BG5" s="206" t="s">
        <v>88</v>
      </c>
      <c r="BH5" s="716" t="s">
        <v>2021</v>
      </c>
      <c r="BI5" s="206" t="s">
        <v>88</v>
      </c>
      <c r="BJ5" s="206" t="s">
        <v>88</v>
      </c>
      <c r="BK5" s="206" t="s">
        <v>88</v>
      </c>
      <c r="BL5" s="206" t="s">
        <v>88</v>
      </c>
      <c r="BM5" s="206" t="s">
        <v>88</v>
      </c>
      <c r="BN5" s="206" t="s">
        <v>88</v>
      </c>
      <c r="BO5" s="206" t="s">
        <v>88</v>
      </c>
      <c r="BP5" s="755" t="s">
        <v>88</v>
      </c>
      <c r="BQ5" s="755" t="s">
        <v>88</v>
      </c>
      <c r="BR5" s="728" t="s">
        <v>88</v>
      </c>
      <c r="BS5" s="206" t="s">
        <v>88</v>
      </c>
      <c r="BT5" s="206" t="s">
        <v>88</v>
      </c>
      <c r="BU5" s="206" t="s">
        <v>88</v>
      </c>
      <c r="BV5" s="206" t="s">
        <v>88</v>
      </c>
      <c r="BW5" s="206" t="s">
        <v>88</v>
      </c>
      <c r="BX5" s="825" t="s">
        <v>1999</v>
      </c>
      <c r="BY5" s="206" t="s">
        <v>88</v>
      </c>
      <c r="BZ5" s="206" t="s">
        <v>88</v>
      </c>
    </row>
    <row r="6" spans="1:78" ht="26" customHeight="1">
      <c r="A6" s="1168"/>
      <c r="B6" s="1152"/>
      <c r="C6" s="1154"/>
      <c r="D6" s="1154"/>
      <c r="E6" s="1156"/>
      <c r="F6" s="1187"/>
      <c r="G6" s="1161"/>
      <c r="H6" s="1161"/>
      <c r="I6" s="1161"/>
      <c r="J6" s="1161"/>
      <c r="K6" s="1161"/>
      <c r="L6" s="1161"/>
      <c r="M6" s="1161"/>
      <c r="N6" s="1185"/>
      <c r="O6" s="1161"/>
      <c r="P6" s="1199"/>
      <c r="Q6" s="1170"/>
      <c r="R6" s="1143"/>
      <c r="S6" s="1163"/>
      <c r="T6" s="1163"/>
      <c r="U6" s="1193"/>
      <c r="V6" s="1163"/>
      <c r="W6" s="1163"/>
      <c r="X6" s="1193"/>
      <c r="Y6" s="1143"/>
      <c r="Z6" s="1143"/>
      <c r="AA6" s="1143"/>
      <c r="AB6" s="1143"/>
      <c r="AC6" s="1143"/>
      <c r="AD6" s="1143"/>
      <c r="AE6" s="1161" t="s">
        <v>88</v>
      </c>
      <c r="AF6" s="1161" t="s">
        <v>88</v>
      </c>
      <c r="AG6" s="1161" t="s">
        <v>88</v>
      </c>
      <c r="AH6" s="1161" t="s">
        <v>88</v>
      </c>
      <c r="AI6" s="1161" t="s">
        <v>88</v>
      </c>
      <c r="AJ6" s="463" t="s">
        <v>2012</v>
      </c>
      <c r="AK6" s="465" t="s">
        <v>2013</v>
      </c>
      <c r="AL6" s="465" t="s">
        <v>2014</v>
      </c>
      <c r="AM6" s="902">
        <v>35795549700</v>
      </c>
      <c r="AN6" s="369" t="s">
        <v>1993</v>
      </c>
      <c r="AO6" s="903" t="s">
        <v>98</v>
      </c>
      <c r="AP6" s="434" t="s">
        <v>121</v>
      </c>
      <c r="AQ6" s="434" t="s">
        <v>2021</v>
      </c>
      <c r="AR6" s="438">
        <v>45942</v>
      </c>
      <c r="AS6" s="434" t="s">
        <v>2022</v>
      </c>
      <c r="AT6" s="434" t="s">
        <v>2021</v>
      </c>
      <c r="AU6" s="438">
        <v>45946</v>
      </c>
      <c r="AV6" s="434" t="s">
        <v>2023</v>
      </c>
      <c r="AW6" s="434" t="s">
        <v>2024</v>
      </c>
      <c r="AX6" s="434" t="s">
        <v>2026</v>
      </c>
      <c r="AY6" s="223" t="s">
        <v>98</v>
      </c>
      <c r="AZ6" s="223" t="s">
        <v>98</v>
      </c>
      <c r="BA6" s="223" t="s">
        <v>98</v>
      </c>
      <c r="BB6" s="223" t="s">
        <v>98</v>
      </c>
      <c r="BC6" s="716" t="s">
        <v>2021</v>
      </c>
      <c r="BD6" s="206" t="s">
        <v>126</v>
      </c>
      <c r="BE6" s="705">
        <v>45942</v>
      </c>
      <c r="BF6" s="708">
        <v>0.59722222222222221</v>
      </c>
      <c r="BG6" s="697" t="s">
        <v>2027</v>
      </c>
      <c r="BH6" s="716" t="s">
        <v>2021</v>
      </c>
      <c r="BI6" s="712">
        <v>45946</v>
      </c>
      <c r="BJ6" s="708">
        <v>0.40972222222222221</v>
      </c>
      <c r="BK6" s="697" t="s">
        <v>2028</v>
      </c>
      <c r="BL6" s="804">
        <v>531.6</v>
      </c>
      <c r="BM6" s="224" t="s">
        <v>88</v>
      </c>
      <c r="BN6" s="224" t="s">
        <v>88</v>
      </c>
      <c r="BO6" s="224" t="s">
        <v>88</v>
      </c>
      <c r="BP6" s="733">
        <v>1</v>
      </c>
      <c r="BQ6" s="733">
        <v>1</v>
      </c>
      <c r="BR6" s="729" t="s">
        <v>88</v>
      </c>
      <c r="BS6" s="224" t="s">
        <v>88</v>
      </c>
      <c r="BT6" s="224" t="s">
        <v>88</v>
      </c>
      <c r="BU6" s="224" t="s">
        <v>88</v>
      </c>
      <c r="BV6" s="224" t="s">
        <v>88</v>
      </c>
      <c r="BW6" s="224" t="s">
        <v>88</v>
      </c>
      <c r="BX6" s="825" t="s">
        <v>1999</v>
      </c>
      <c r="BY6" s="206" t="s">
        <v>88</v>
      </c>
      <c r="BZ6" s="206" t="s">
        <v>88</v>
      </c>
    </row>
    <row r="7" spans="1:78" ht="33" customHeight="1">
      <c r="A7" s="1167">
        <v>45944</v>
      </c>
      <c r="B7" s="1151" t="s">
        <v>1978</v>
      </c>
      <c r="C7" s="1166">
        <v>45943</v>
      </c>
      <c r="D7" s="1153">
        <v>45945</v>
      </c>
      <c r="E7" s="1155">
        <v>2589</v>
      </c>
      <c r="F7" s="1186" t="s">
        <v>2029</v>
      </c>
      <c r="G7" s="1160" t="s">
        <v>167</v>
      </c>
      <c r="H7" s="1160" t="s">
        <v>2030</v>
      </c>
      <c r="I7" s="1160" t="s">
        <v>1468</v>
      </c>
      <c r="J7" s="1160" t="s">
        <v>2031</v>
      </c>
      <c r="K7" s="1160" t="s">
        <v>2032</v>
      </c>
      <c r="L7" s="1160" t="s">
        <v>2033</v>
      </c>
      <c r="M7" s="1160" t="s">
        <v>249</v>
      </c>
      <c r="N7" s="1184" t="s">
        <v>2034</v>
      </c>
      <c r="O7" s="1160" t="s">
        <v>110</v>
      </c>
      <c r="P7" s="1160" t="s">
        <v>97</v>
      </c>
      <c r="Q7" s="1194" t="s">
        <v>2035</v>
      </c>
      <c r="R7" s="1142">
        <v>2</v>
      </c>
      <c r="S7" s="1196" t="s">
        <v>2036</v>
      </c>
      <c r="T7" s="1188" t="s">
        <v>2037</v>
      </c>
      <c r="U7" s="1164" t="s">
        <v>2038</v>
      </c>
      <c r="V7" s="1190" t="s">
        <v>663</v>
      </c>
      <c r="W7" s="1190" t="s">
        <v>663</v>
      </c>
      <c r="X7" s="1190" t="s">
        <v>663</v>
      </c>
      <c r="Y7" s="1142" t="s">
        <v>97</v>
      </c>
      <c r="Z7" s="1142">
        <v>2</v>
      </c>
      <c r="AA7" s="1142" t="s">
        <v>2036</v>
      </c>
      <c r="AB7" s="1142" t="s">
        <v>2037</v>
      </c>
      <c r="AC7" s="1142" t="s">
        <v>2038</v>
      </c>
      <c r="AD7" s="1142" t="s">
        <v>663</v>
      </c>
      <c r="AE7" s="1160" t="s">
        <v>663</v>
      </c>
      <c r="AF7" s="1160" t="s">
        <v>663</v>
      </c>
      <c r="AG7" s="1160" t="s">
        <v>376</v>
      </c>
      <c r="AH7" s="1160" t="s">
        <v>88</v>
      </c>
      <c r="AI7" s="1160" t="s">
        <v>88</v>
      </c>
      <c r="AJ7" s="367" t="s">
        <v>2036</v>
      </c>
      <c r="AK7" s="368" t="s">
        <v>2037</v>
      </c>
      <c r="AL7" s="368" t="s">
        <v>2038</v>
      </c>
      <c r="AM7" s="340" t="s">
        <v>2039</v>
      </c>
      <c r="AN7" s="369" t="s">
        <v>1993</v>
      </c>
      <c r="AO7" s="368" t="s">
        <v>1006</v>
      </c>
      <c r="AP7" s="441"/>
      <c r="AQ7" s="441"/>
      <c r="AR7" s="362">
        <v>45944</v>
      </c>
      <c r="AS7" s="441"/>
      <c r="AT7" s="441"/>
      <c r="AU7" s="362">
        <v>45945</v>
      </c>
      <c r="AV7" s="441"/>
      <c r="AW7" s="442" t="s">
        <v>98</v>
      </c>
      <c r="AX7" s="441"/>
      <c r="AY7" s="223" t="s">
        <v>98</v>
      </c>
      <c r="AZ7" s="223" t="s">
        <v>98</v>
      </c>
      <c r="BA7" s="223" t="s">
        <v>98</v>
      </c>
      <c r="BB7" s="223" t="s">
        <v>98</v>
      </c>
      <c r="BC7" s="936" t="s">
        <v>2040</v>
      </c>
      <c r="BD7" s="944" t="s">
        <v>2041</v>
      </c>
      <c r="BE7" s="945" t="s">
        <v>2041</v>
      </c>
      <c r="BF7" s="945" t="s">
        <v>2041</v>
      </c>
      <c r="BG7" s="945" t="s">
        <v>2041</v>
      </c>
      <c r="BH7" s="936" t="s">
        <v>2040</v>
      </c>
      <c r="BI7" s="944" t="s">
        <v>2041</v>
      </c>
      <c r="BJ7" s="945" t="s">
        <v>2041</v>
      </c>
      <c r="BK7" s="945" t="s">
        <v>2041</v>
      </c>
      <c r="BL7" s="945" t="s">
        <v>2041</v>
      </c>
      <c r="BM7" s="223" t="s">
        <v>88</v>
      </c>
      <c r="BN7" s="223" t="s">
        <v>88</v>
      </c>
      <c r="BO7" s="223" t="s">
        <v>88</v>
      </c>
      <c r="BP7" s="935">
        <v>0</v>
      </c>
      <c r="BQ7" s="732">
        <v>1</v>
      </c>
      <c r="BR7" s="730" t="s">
        <v>88</v>
      </c>
      <c r="BS7" s="727">
        <v>45944</v>
      </c>
      <c r="BT7" s="727">
        <v>45945</v>
      </c>
      <c r="BU7" s="730">
        <v>1</v>
      </c>
      <c r="BV7" s="223" t="s">
        <v>88</v>
      </c>
      <c r="BW7" s="223" t="s">
        <v>88</v>
      </c>
      <c r="BX7" s="206" t="s">
        <v>2042</v>
      </c>
      <c r="BY7" s="206" t="s">
        <v>2043</v>
      </c>
      <c r="BZ7" s="206" t="s">
        <v>88</v>
      </c>
    </row>
    <row r="8" spans="1:78" ht="30" customHeight="1">
      <c r="A8" s="1168"/>
      <c r="B8" s="1152"/>
      <c r="C8" s="1154"/>
      <c r="D8" s="1154"/>
      <c r="E8" s="1156"/>
      <c r="F8" s="1187"/>
      <c r="G8" s="1161"/>
      <c r="H8" s="1161"/>
      <c r="I8" s="1161"/>
      <c r="J8" s="1161"/>
      <c r="K8" s="1161"/>
      <c r="L8" s="1161"/>
      <c r="M8" s="1161"/>
      <c r="N8" s="1185"/>
      <c r="O8" s="1161"/>
      <c r="P8" s="1161"/>
      <c r="Q8" s="1195"/>
      <c r="R8" s="1143"/>
      <c r="S8" s="1197"/>
      <c r="T8" s="1189"/>
      <c r="U8" s="1165"/>
      <c r="V8" s="1191"/>
      <c r="W8" s="1191"/>
      <c r="X8" s="1191"/>
      <c r="Y8" s="1143"/>
      <c r="Z8" s="1143"/>
      <c r="AA8" s="1143"/>
      <c r="AB8" s="1143"/>
      <c r="AC8" s="1143"/>
      <c r="AD8" s="1143"/>
      <c r="AE8" s="1161" t="s">
        <v>88</v>
      </c>
      <c r="AF8" s="1161" t="s">
        <v>88</v>
      </c>
      <c r="AG8" s="1161" t="s">
        <v>88</v>
      </c>
      <c r="AH8" s="1161" t="s">
        <v>88</v>
      </c>
      <c r="AI8" s="1161" t="s">
        <v>88</v>
      </c>
      <c r="AJ8" s="370" t="s">
        <v>2044</v>
      </c>
      <c r="AK8" s="371" t="s">
        <v>2045</v>
      </c>
      <c r="AL8" s="904" t="s">
        <v>2046</v>
      </c>
      <c r="AM8" s="905">
        <v>3516313206</v>
      </c>
      <c r="AN8" s="369" t="s">
        <v>1993</v>
      </c>
      <c r="AO8" s="367" t="s">
        <v>98</v>
      </c>
      <c r="AP8" s="434" t="s">
        <v>121</v>
      </c>
      <c r="AQ8" s="434" t="s">
        <v>473</v>
      </c>
      <c r="AR8" s="333">
        <v>45943</v>
      </c>
      <c r="AS8" s="434" t="s">
        <v>1125</v>
      </c>
      <c r="AT8" s="434" t="s">
        <v>473</v>
      </c>
      <c r="AU8" s="333">
        <v>45945</v>
      </c>
      <c r="AV8" s="434" t="s">
        <v>1521</v>
      </c>
      <c r="AW8" s="368" t="s">
        <v>98</v>
      </c>
      <c r="AX8" s="368" t="s">
        <v>88</v>
      </c>
      <c r="AY8" s="223" t="s">
        <v>98</v>
      </c>
      <c r="AZ8" s="223" t="s">
        <v>98</v>
      </c>
      <c r="BA8" s="223" t="s">
        <v>98</v>
      </c>
      <c r="BB8" s="223" t="s">
        <v>98</v>
      </c>
      <c r="BC8" s="681" t="s">
        <v>473</v>
      </c>
      <c r="BD8" s="206" t="s">
        <v>126</v>
      </c>
      <c r="BE8" s="705">
        <v>45943</v>
      </c>
      <c r="BF8" s="708">
        <v>0.30208333333333331</v>
      </c>
      <c r="BG8" s="697" t="s">
        <v>2047</v>
      </c>
      <c r="BH8" s="681" t="s">
        <v>473</v>
      </c>
      <c r="BI8" s="705">
        <v>45945</v>
      </c>
      <c r="BJ8" s="708">
        <v>0.87152777777777779</v>
      </c>
      <c r="BK8" s="697" t="s">
        <v>2048</v>
      </c>
      <c r="BL8" s="804">
        <v>425.32</v>
      </c>
      <c r="BM8" s="206" t="s">
        <v>88</v>
      </c>
      <c r="BN8" s="206" t="s">
        <v>88</v>
      </c>
      <c r="BO8" s="206" t="s">
        <v>88</v>
      </c>
      <c r="BP8" s="733">
        <v>1</v>
      </c>
      <c r="BQ8" s="733">
        <v>1</v>
      </c>
      <c r="BR8" s="728" t="s">
        <v>88</v>
      </c>
      <c r="BS8" s="206" t="s">
        <v>88</v>
      </c>
      <c r="BT8" s="206" t="s">
        <v>88</v>
      </c>
      <c r="BU8" s="206" t="s">
        <v>88</v>
      </c>
      <c r="BV8" s="206" t="s">
        <v>88</v>
      </c>
      <c r="BW8" s="206" t="s">
        <v>88</v>
      </c>
      <c r="BX8" s="206" t="s">
        <v>88</v>
      </c>
      <c r="BY8" s="206" t="s">
        <v>88</v>
      </c>
      <c r="BZ8" s="206" t="s">
        <v>88</v>
      </c>
    </row>
    <row r="9" spans="1:78" ht="27.75" customHeight="1">
      <c r="A9" s="1167">
        <v>45944</v>
      </c>
      <c r="B9" s="1151" t="s">
        <v>1978</v>
      </c>
      <c r="C9" s="1166">
        <v>45943</v>
      </c>
      <c r="D9" s="1153">
        <v>45945</v>
      </c>
      <c r="E9" s="1169">
        <v>1990</v>
      </c>
      <c r="F9" s="1186" t="s">
        <v>2049</v>
      </c>
      <c r="G9" s="1160" t="s">
        <v>135</v>
      </c>
      <c r="H9" s="1160" t="s">
        <v>1617</v>
      </c>
      <c r="I9" s="1160" t="s">
        <v>1550</v>
      </c>
      <c r="J9" s="1160" t="s">
        <v>2050</v>
      </c>
      <c r="K9" s="1160" t="s">
        <v>2051</v>
      </c>
      <c r="L9" s="1160" t="s">
        <v>1620</v>
      </c>
      <c r="M9" s="1160" t="s">
        <v>249</v>
      </c>
      <c r="N9" s="1184" t="s">
        <v>2052</v>
      </c>
      <c r="O9" s="1160" t="s">
        <v>110</v>
      </c>
      <c r="P9" s="1160" t="s">
        <v>97</v>
      </c>
      <c r="Q9" s="1169" t="s">
        <v>110</v>
      </c>
      <c r="R9" s="1142">
        <v>2</v>
      </c>
      <c r="S9" s="1200" t="s">
        <v>2053</v>
      </c>
      <c r="T9" s="1142" t="s">
        <v>2054</v>
      </c>
      <c r="U9" s="1164" t="s">
        <v>2055</v>
      </c>
      <c r="V9" s="1142" t="s">
        <v>2056</v>
      </c>
      <c r="W9" s="1142" t="s">
        <v>2057</v>
      </c>
      <c r="X9" s="1164" t="s">
        <v>2058</v>
      </c>
      <c r="Y9" s="1142" t="s">
        <v>97</v>
      </c>
      <c r="Z9" s="1160">
        <v>2</v>
      </c>
      <c r="AA9" s="1160" t="s">
        <v>2053</v>
      </c>
      <c r="AB9" s="1160" t="s">
        <v>2054</v>
      </c>
      <c r="AC9" s="1160" t="s">
        <v>2055</v>
      </c>
      <c r="AD9" s="1160" t="s">
        <v>2056</v>
      </c>
      <c r="AE9" s="1160" t="s">
        <v>2057</v>
      </c>
      <c r="AF9" s="1160" t="s">
        <v>2058</v>
      </c>
      <c r="AG9" s="1160" t="s">
        <v>376</v>
      </c>
      <c r="AH9" s="1160" t="s">
        <v>88</v>
      </c>
      <c r="AI9" s="1160" t="s">
        <v>88</v>
      </c>
      <c r="AJ9" s="370" t="s">
        <v>2053</v>
      </c>
      <c r="AK9" s="371" t="s">
        <v>2054</v>
      </c>
      <c r="AL9" s="371" t="s">
        <v>2055</v>
      </c>
      <c r="AM9" s="372" t="s">
        <v>2059</v>
      </c>
      <c r="AN9" s="369" t="s">
        <v>1993</v>
      </c>
      <c r="AO9" s="440" t="s">
        <v>98</v>
      </c>
      <c r="AP9" s="443" t="s">
        <v>121</v>
      </c>
      <c r="AQ9" s="443" t="s">
        <v>2060</v>
      </c>
      <c r="AR9" s="333">
        <v>45943</v>
      </c>
      <c r="AS9" s="444">
        <v>0.33333333333333331</v>
      </c>
      <c r="AT9" s="443" t="s">
        <v>2060</v>
      </c>
      <c r="AU9" s="333">
        <v>45945</v>
      </c>
      <c r="AV9" s="444">
        <v>0.91666666666666663</v>
      </c>
      <c r="AW9" s="368" t="s">
        <v>98</v>
      </c>
      <c r="AX9" s="368" t="s">
        <v>88</v>
      </c>
      <c r="AY9" s="223" t="s">
        <v>98</v>
      </c>
      <c r="AZ9" s="223" t="s">
        <v>98</v>
      </c>
      <c r="BA9" s="223" t="s">
        <v>98</v>
      </c>
      <c r="BB9" s="223" t="s">
        <v>98</v>
      </c>
      <c r="BC9" s="517" t="s">
        <v>2060</v>
      </c>
      <c r="BD9" s="206" t="s">
        <v>126</v>
      </c>
      <c r="BE9" s="705">
        <v>45943</v>
      </c>
      <c r="BF9" s="706">
        <v>0.33333333333333331</v>
      </c>
      <c r="BG9" s="697" t="s">
        <v>1121</v>
      </c>
      <c r="BH9" s="517" t="s">
        <v>2060</v>
      </c>
      <c r="BI9" s="705">
        <v>45945</v>
      </c>
      <c r="BJ9" s="706">
        <v>0.83333333333333337</v>
      </c>
      <c r="BK9" s="697" t="s">
        <v>1936</v>
      </c>
      <c r="BL9" s="804">
        <v>448.95</v>
      </c>
      <c r="BM9" s="206" t="s">
        <v>88</v>
      </c>
      <c r="BN9" s="206" t="s">
        <v>88</v>
      </c>
      <c r="BO9" s="206" t="s">
        <v>88</v>
      </c>
      <c r="BP9" s="733">
        <v>1</v>
      </c>
      <c r="BQ9" s="733">
        <v>1</v>
      </c>
      <c r="BR9" s="728" t="s">
        <v>88</v>
      </c>
      <c r="BS9" s="727">
        <v>45943</v>
      </c>
      <c r="BT9" s="727">
        <v>45945</v>
      </c>
      <c r="BU9" s="206">
        <v>2</v>
      </c>
      <c r="BV9" s="206" t="s">
        <v>88</v>
      </c>
      <c r="BW9" s="206" t="s">
        <v>88</v>
      </c>
      <c r="BX9" s="206" t="s">
        <v>88</v>
      </c>
      <c r="BY9" s="206" t="s">
        <v>88</v>
      </c>
      <c r="BZ9" s="206" t="s">
        <v>88</v>
      </c>
    </row>
    <row r="10" spans="1:78" ht="27.5" customHeight="1">
      <c r="A10" s="1168"/>
      <c r="B10" s="1152"/>
      <c r="C10" s="1154"/>
      <c r="D10" s="1154"/>
      <c r="E10" s="1170"/>
      <c r="F10" s="1187"/>
      <c r="G10" s="1161"/>
      <c r="H10" s="1161"/>
      <c r="I10" s="1161"/>
      <c r="J10" s="1161"/>
      <c r="K10" s="1161"/>
      <c r="L10" s="1161"/>
      <c r="M10" s="1161"/>
      <c r="N10" s="1185"/>
      <c r="O10" s="1161"/>
      <c r="P10" s="1161"/>
      <c r="Q10" s="1170"/>
      <c r="R10" s="1143"/>
      <c r="S10" s="1143"/>
      <c r="T10" s="1143"/>
      <c r="U10" s="1165"/>
      <c r="V10" s="1143"/>
      <c r="W10" s="1143"/>
      <c r="X10" s="1165"/>
      <c r="Y10" s="1143"/>
      <c r="Z10" s="1161" t="s">
        <v>88</v>
      </c>
      <c r="AA10" s="1161" t="s">
        <v>88</v>
      </c>
      <c r="AB10" s="1161" t="s">
        <v>88</v>
      </c>
      <c r="AC10" s="1161" t="s">
        <v>88</v>
      </c>
      <c r="AD10" s="1161" t="s">
        <v>88</v>
      </c>
      <c r="AE10" s="1161" t="s">
        <v>88</v>
      </c>
      <c r="AF10" s="1161" t="s">
        <v>88</v>
      </c>
      <c r="AG10" s="1161" t="s">
        <v>88</v>
      </c>
      <c r="AH10" s="1161" t="s">
        <v>88</v>
      </c>
      <c r="AI10" s="1161" t="s">
        <v>88</v>
      </c>
      <c r="AJ10" s="370" t="s">
        <v>2056</v>
      </c>
      <c r="AK10" s="371" t="s">
        <v>2057</v>
      </c>
      <c r="AL10" s="371" t="s">
        <v>2058</v>
      </c>
      <c r="AM10" s="373">
        <v>306074842431</v>
      </c>
      <c r="AN10" s="369" t="s">
        <v>1993</v>
      </c>
      <c r="AO10" s="440" t="s">
        <v>98</v>
      </c>
      <c r="AP10" s="443" t="s">
        <v>121</v>
      </c>
      <c r="AQ10" s="443" t="s">
        <v>2060</v>
      </c>
      <c r="AR10" s="333">
        <v>45943</v>
      </c>
      <c r="AS10" s="444">
        <v>0.33333333333333331</v>
      </c>
      <c r="AT10" s="443" t="s">
        <v>2060</v>
      </c>
      <c r="AU10" s="333">
        <v>45945</v>
      </c>
      <c r="AV10" s="444">
        <v>0.91666666666666663</v>
      </c>
      <c r="AW10" s="368" t="s">
        <v>98</v>
      </c>
      <c r="AX10" s="368" t="s">
        <v>88</v>
      </c>
      <c r="AY10" s="223" t="s">
        <v>98</v>
      </c>
      <c r="AZ10" s="223" t="s">
        <v>98</v>
      </c>
      <c r="BA10" s="223" t="s">
        <v>98</v>
      </c>
      <c r="BB10" s="223" t="s">
        <v>98</v>
      </c>
      <c r="BC10" s="517" t="s">
        <v>2060</v>
      </c>
      <c r="BD10" s="206" t="s">
        <v>126</v>
      </c>
      <c r="BE10" s="712">
        <v>45943</v>
      </c>
      <c r="BF10" s="713">
        <v>0.33333333333333331</v>
      </c>
      <c r="BG10" s="714" t="s">
        <v>1121</v>
      </c>
      <c r="BH10" s="517" t="s">
        <v>2060</v>
      </c>
      <c r="BI10" s="712">
        <v>45945</v>
      </c>
      <c r="BJ10" s="713">
        <v>0.83333333333333337</v>
      </c>
      <c r="BK10" s="697" t="s">
        <v>1936</v>
      </c>
      <c r="BL10" s="803">
        <v>448.95</v>
      </c>
      <c r="BM10" s="206" t="s">
        <v>88</v>
      </c>
      <c r="BN10" s="206" t="s">
        <v>88</v>
      </c>
      <c r="BO10" s="206" t="s">
        <v>88</v>
      </c>
      <c r="BP10" s="733">
        <v>1</v>
      </c>
      <c r="BQ10" s="733">
        <v>1</v>
      </c>
      <c r="BR10" s="728" t="s">
        <v>88</v>
      </c>
      <c r="BS10" s="727">
        <v>45943</v>
      </c>
      <c r="BT10" s="727">
        <v>45945</v>
      </c>
      <c r="BU10" s="206">
        <v>2</v>
      </c>
      <c r="BV10" s="206" t="s">
        <v>88</v>
      </c>
      <c r="BW10" s="206" t="s">
        <v>88</v>
      </c>
      <c r="BX10" s="206" t="s">
        <v>88</v>
      </c>
      <c r="BY10" s="206" t="s">
        <v>88</v>
      </c>
      <c r="BZ10" s="206" t="s">
        <v>88</v>
      </c>
    </row>
    <row r="11" spans="1:78" ht="55.25" customHeight="1">
      <c r="A11" s="1167">
        <v>45944</v>
      </c>
      <c r="B11" s="1151" t="s">
        <v>1978</v>
      </c>
      <c r="C11" s="1166">
        <v>45943</v>
      </c>
      <c r="D11" s="1153">
        <v>45945</v>
      </c>
      <c r="E11" s="1155">
        <v>2531</v>
      </c>
      <c r="F11" s="1186" t="s">
        <v>2061</v>
      </c>
      <c r="G11" s="1160" t="s">
        <v>167</v>
      </c>
      <c r="H11" s="1160" t="s">
        <v>2062</v>
      </c>
      <c r="I11" s="1160" t="s">
        <v>1811</v>
      </c>
      <c r="J11" s="1160" t="s">
        <v>2063</v>
      </c>
      <c r="K11" s="1160" t="s">
        <v>2064</v>
      </c>
      <c r="L11" s="1160" t="s">
        <v>2065</v>
      </c>
      <c r="M11" s="1160" t="s">
        <v>2066</v>
      </c>
      <c r="N11" s="1184" t="s">
        <v>2067</v>
      </c>
      <c r="O11" s="1160" t="s">
        <v>110</v>
      </c>
      <c r="P11" s="1160" t="s">
        <v>97</v>
      </c>
      <c r="Q11" s="1169" t="s">
        <v>110</v>
      </c>
      <c r="R11" s="1160">
        <v>2</v>
      </c>
      <c r="S11" s="1160" t="s">
        <v>2068</v>
      </c>
      <c r="T11" s="1160" t="s">
        <v>2069</v>
      </c>
      <c r="U11" s="1164" t="s">
        <v>2070</v>
      </c>
      <c r="V11" s="1160" t="s">
        <v>2071</v>
      </c>
      <c r="W11" s="1160" t="s">
        <v>2072</v>
      </c>
      <c r="X11" s="1203" t="s">
        <v>2073</v>
      </c>
      <c r="Y11" s="1160" t="s">
        <v>97</v>
      </c>
      <c r="Z11" s="1160">
        <v>2</v>
      </c>
      <c r="AA11" s="1160" t="s">
        <v>2068</v>
      </c>
      <c r="AB11" s="1160" t="s">
        <v>2069</v>
      </c>
      <c r="AC11" s="1160" t="s">
        <v>2070</v>
      </c>
      <c r="AD11" s="1160" t="s">
        <v>2071</v>
      </c>
      <c r="AE11" s="1160" t="s">
        <v>2072</v>
      </c>
      <c r="AF11" s="1160" t="s">
        <v>2073</v>
      </c>
      <c r="AG11" s="1160" t="s">
        <v>376</v>
      </c>
      <c r="AH11" s="1160" t="s">
        <v>118</v>
      </c>
      <c r="AI11" s="1160" t="s">
        <v>664</v>
      </c>
      <c r="AJ11" s="370" t="s">
        <v>2068</v>
      </c>
      <c r="AK11" s="371" t="s">
        <v>2069</v>
      </c>
      <c r="AL11" s="371" t="s">
        <v>2070</v>
      </c>
      <c r="AM11" s="434">
        <v>40757242424</v>
      </c>
      <c r="AN11" s="439" t="s">
        <v>1993</v>
      </c>
      <c r="AO11" s="440" t="s">
        <v>98</v>
      </c>
      <c r="AP11" s="354" t="s">
        <v>121</v>
      </c>
      <c r="AQ11" s="354" t="s">
        <v>2074</v>
      </c>
      <c r="AR11" s="333">
        <v>45943</v>
      </c>
      <c r="AS11" s="354" t="s">
        <v>2075</v>
      </c>
      <c r="AT11" s="354" t="s">
        <v>2074</v>
      </c>
      <c r="AU11" s="333">
        <v>45945</v>
      </c>
      <c r="AV11" s="354" t="s">
        <v>2075</v>
      </c>
      <c r="AW11" s="368" t="s">
        <v>98</v>
      </c>
      <c r="AX11" s="368" t="s">
        <v>88</v>
      </c>
      <c r="AY11" s="223" t="s">
        <v>98</v>
      </c>
      <c r="AZ11" s="206" t="s">
        <v>88</v>
      </c>
      <c r="BA11" s="206" t="s">
        <v>88</v>
      </c>
      <c r="BB11" s="206" t="s">
        <v>88</v>
      </c>
      <c r="BC11" s="507" t="s">
        <v>2074</v>
      </c>
      <c r="BD11" s="206" t="s">
        <v>126</v>
      </c>
      <c r="BE11" s="206" t="s">
        <v>88</v>
      </c>
      <c r="BF11" s="206" t="s">
        <v>88</v>
      </c>
      <c r="BG11" s="206" t="s">
        <v>88</v>
      </c>
      <c r="BH11" s="507" t="s">
        <v>2074</v>
      </c>
      <c r="BI11" s="206" t="s">
        <v>88</v>
      </c>
      <c r="BJ11" s="206" t="s">
        <v>88</v>
      </c>
      <c r="BK11" s="206" t="s">
        <v>88</v>
      </c>
      <c r="BL11" s="206" t="s">
        <v>88</v>
      </c>
      <c r="BM11" s="206" t="s">
        <v>88</v>
      </c>
      <c r="BN11" s="206" t="s">
        <v>88</v>
      </c>
      <c r="BO11" s="206" t="s">
        <v>88</v>
      </c>
      <c r="BP11" s="755" t="s">
        <v>88</v>
      </c>
      <c r="BQ11" s="755" t="s">
        <v>88</v>
      </c>
      <c r="BR11" s="728" t="s">
        <v>88</v>
      </c>
      <c r="BS11" s="206" t="s">
        <v>88</v>
      </c>
      <c r="BT11" s="206" t="s">
        <v>88</v>
      </c>
      <c r="BU11" s="206" t="s">
        <v>88</v>
      </c>
      <c r="BV11" s="206" t="s">
        <v>88</v>
      </c>
      <c r="BW11" s="206" t="s">
        <v>88</v>
      </c>
      <c r="BX11" s="206" t="s">
        <v>88</v>
      </c>
      <c r="BY11" s="206" t="s">
        <v>88</v>
      </c>
      <c r="BZ11" s="206" t="s">
        <v>88</v>
      </c>
    </row>
    <row r="12" spans="1:78" ht="48">
      <c r="A12" s="1168"/>
      <c r="B12" s="1152"/>
      <c r="C12" s="1154"/>
      <c r="D12" s="1154"/>
      <c r="E12" s="1156"/>
      <c r="F12" s="1187" t="s">
        <v>88</v>
      </c>
      <c r="G12" s="1161" t="s">
        <v>88</v>
      </c>
      <c r="H12" s="1161" t="s">
        <v>88</v>
      </c>
      <c r="I12" s="1161" t="s">
        <v>88</v>
      </c>
      <c r="J12" s="1161" t="s">
        <v>88</v>
      </c>
      <c r="K12" s="1161" t="s">
        <v>88</v>
      </c>
      <c r="L12" s="1161" t="s">
        <v>88</v>
      </c>
      <c r="M12" s="1161" t="s">
        <v>88</v>
      </c>
      <c r="N12" s="1185"/>
      <c r="O12" s="1161" t="s">
        <v>88</v>
      </c>
      <c r="P12" s="1161" t="s">
        <v>88</v>
      </c>
      <c r="Q12" s="1170"/>
      <c r="R12" s="1161" t="s">
        <v>88</v>
      </c>
      <c r="S12" s="1161" t="s">
        <v>88</v>
      </c>
      <c r="T12" s="1161" t="s">
        <v>88</v>
      </c>
      <c r="U12" s="1165"/>
      <c r="V12" s="1161" t="s">
        <v>88</v>
      </c>
      <c r="W12" s="1161" t="s">
        <v>88</v>
      </c>
      <c r="X12" s="1204"/>
      <c r="Y12" s="1161" t="s">
        <v>88</v>
      </c>
      <c r="Z12" s="1161" t="s">
        <v>88</v>
      </c>
      <c r="AA12" s="1161" t="s">
        <v>88</v>
      </c>
      <c r="AB12" s="1161" t="s">
        <v>88</v>
      </c>
      <c r="AC12" s="1161" t="s">
        <v>88</v>
      </c>
      <c r="AD12" s="1161" t="s">
        <v>88</v>
      </c>
      <c r="AE12" s="1161" t="s">
        <v>88</v>
      </c>
      <c r="AF12" s="1161" t="s">
        <v>88</v>
      </c>
      <c r="AG12" s="1161" t="s">
        <v>88</v>
      </c>
      <c r="AH12" s="1161" t="s">
        <v>88</v>
      </c>
      <c r="AI12" s="1161" t="s">
        <v>88</v>
      </c>
      <c r="AJ12" s="374" t="s">
        <v>2076</v>
      </c>
      <c r="AK12" s="375" t="s">
        <v>2077</v>
      </c>
      <c r="AL12" s="371" t="s">
        <v>2073</v>
      </c>
      <c r="AM12" s="376" t="s">
        <v>2078</v>
      </c>
      <c r="AN12" s="369" t="s">
        <v>1993</v>
      </c>
      <c r="AO12" s="440" t="s">
        <v>98</v>
      </c>
      <c r="AP12" s="340" t="s">
        <v>121</v>
      </c>
      <c r="AQ12" s="340" t="s">
        <v>2079</v>
      </c>
      <c r="AR12" s="333">
        <v>45943</v>
      </c>
      <c r="AS12" s="340" t="s">
        <v>2080</v>
      </c>
      <c r="AT12" s="340" t="s">
        <v>2081</v>
      </c>
      <c r="AU12" s="333">
        <v>45945</v>
      </c>
      <c r="AV12" s="340" t="s">
        <v>2082</v>
      </c>
      <c r="AW12" s="368" t="s">
        <v>98</v>
      </c>
      <c r="AX12" s="368" t="s">
        <v>88</v>
      </c>
      <c r="AY12" s="223" t="s">
        <v>98</v>
      </c>
      <c r="AZ12" s="206" t="s">
        <v>88</v>
      </c>
      <c r="BA12" s="206" t="s">
        <v>88</v>
      </c>
      <c r="BB12" s="206" t="s">
        <v>88</v>
      </c>
      <c r="BC12" s="731" t="s">
        <v>2079</v>
      </c>
      <c r="BD12" s="206" t="s">
        <v>126</v>
      </c>
      <c r="BE12" s="206" t="s">
        <v>88</v>
      </c>
      <c r="BF12" s="206" t="s">
        <v>88</v>
      </c>
      <c r="BG12" s="206" t="s">
        <v>88</v>
      </c>
      <c r="BH12" s="731" t="s">
        <v>2079</v>
      </c>
      <c r="BI12" s="206" t="s">
        <v>88</v>
      </c>
      <c r="BJ12" s="206" t="s">
        <v>88</v>
      </c>
      <c r="BK12" s="206" t="s">
        <v>88</v>
      </c>
      <c r="BL12" s="206" t="s">
        <v>88</v>
      </c>
      <c r="BM12" s="206" t="s">
        <v>88</v>
      </c>
      <c r="BN12" s="206" t="s">
        <v>88</v>
      </c>
      <c r="BO12" s="206" t="s">
        <v>88</v>
      </c>
      <c r="BP12" s="755" t="s">
        <v>88</v>
      </c>
      <c r="BQ12" s="755" t="s">
        <v>88</v>
      </c>
      <c r="BR12" s="728" t="s">
        <v>88</v>
      </c>
      <c r="BS12" s="206" t="s">
        <v>88</v>
      </c>
      <c r="BT12" s="206" t="s">
        <v>88</v>
      </c>
      <c r="BU12" s="206" t="s">
        <v>88</v>
      </c>
      <c r="BV12" s="206" t="s">
        <v>88</v>
      </c>
      <c r="BW12" s="206" t="s">
        <v>88</v>
      </c>
      <c r="BX12" s="206" t="s">
        <v>88</v>
      </c>
      <c r="BY12" s="206" t="s">
        <v>88</v>
      </c>
      <c r="BZ12" s="206" t="s">
        <v>88</v>
      </c>
    </row>
    <row r="13" spans="1:78" ht="44.25" customHeight="1">
      <c r="A13" s="1149">
        <v>45945</v>
      </c>
      <c r="B13" s="1151" t="s">
        <v>2083</v>
      </c>
      <c r="C13" s="1153">
        <v>45945</v>
      </c>
      <c r="D13" s="1153">
        <v>45946</v>
      </c>
      <c r="E13" s="1155">
        <v>2035</v>
      </c>
      <c r="F13" s="1186" t="s">
        <v>2084</v>
      </c>
      <c r="G13" s="1160" t="s">
        <v>167</v>
      </c>
      <c r="H13" s="1160" t="s">
        <v>2085</v>
      </c>
      <c r="I13" s="1160" t="s">
        <v>169</v>
      </c>
      <c r="J13" s="1160" t="s">
        <v>2086</v>
      </c>
      <c r="K13" s="1160" t="s">
        <v>2087</v>
      </c>
      <c r="L13" s="1160" t="s">
        <v>2088</v>
      </c>
      <c r="M13" s="1160" t="s">
        <v>249</v>
      </c>
      <c r="N13" s="1184" t="s">
        <v>2089</v>
      </c>
      <c r="O13" s="1160" t="s">
        <v>97</v>
      </c>
      <c r="P13" s="1160" t="s">
        <v>97</v>
      </c>
      <c r="Q13" s="1169" t="s">
        <v>110</v>
      </c>
      <c r="R13" s="1160">
        <v>2</v>
      </c>
      <c r="S13" s="1160" t="s">
        <v>2090</v>
      </c>
      <c r="T13" s="1160" t="s">
        <v>2091</v>
      </c>
      <c r="U13" s="1164" t="s">
        <v>2092</v>
      </c>
      <c r="V13" s="1160" t="s">
        <v>2093</v>
      </c>
      <c r="W13" s="1160" t="s">
        <v>2094</v>
      </c>
      <c r="X13" s="1164" t="s">
        <v>2095</v>
      </c>
      <c r="Y13" s="1160" t="s">
        <v>97</v>
      </c>
      <c r="Z13" s="1160">
        <v>2</v>
      </c>
      <c r="AA13" s="1160" t="s">
        <v>2090</v>
      </c>
      <c r="AB13" s="1160" t="s">
        <v>2091</v>
      </c>
      <c r="AC13" s="1160" t="s">
        <v>2092</v>
      </c>
      <c r="AD13" s="1160" t="s">
        <v>2093</v>
      </c>
      <c r="AE13" s="1160" t="s">
        <v>2094</v>
      </c>
      <c r="AF13" s="1160" t="s">
        <v>2095</v>
      </c>
      <c r="AG13" s="1160" t="s">
        <v>99</v>
      </c>
      <c r="AH13" s="1160" t="s">
        <v>88</v>
      </c>
      <c r="AI13" s="1160" t="s">
        <v>88</v>
      </c>
      <c r="AJ13" s="370" t="s">
        <v>2090</v>
      </c>
      <c r="AK13" s="371" t="s">
        <v>2091</v>
      </c>
      <c r="AL13" s="371" t="s">
        <v>2092</v>
      </c>
      <c r="AM13" s="373">
        <v>4915125735443</v>
      </c>
      <c r="AN13" s="369" t="s">
        <v>2096</v>
      </c>
      <c r="AO13" s="440" t="s">
        <v>1006</v>
      </c>
      <c r="AP13" s="443" t="s">
        <v>579</v>
      </c>
      <c r="AQ13" s="443" t="s">
        <v>2097</v>
      </c>
      <c r="AR13" s="333">
        <v>45945</v>
      </c>
      <c r="AS13" s="443" t="s">
        <v>2098</v>
      </c>
      <c r="AT13" s="443" t="s">
        <v>2097</v>
      </c>
      <c r="AU13" s="333">
        <v>45946</v>
      </c>
      <c r="AV13" s="443" t="s">
        <v>2099</v>
      </c>
      <c r="AW13" s="368" t="s">
        <v>98</v>
      </c>
      <c r="AX13" s="443"/>
      <c r="AY13" s="223" t="s">
        <v>98</v>
      </c>
      <c r="AZ13" s="223" t="s">
        <v>98</v>
      </c>
      <c r="BA13" s="223" t="s">
        <v>98</v>
      </c>
      <c r="BB13" s="223" t="s">
        <v>98</v>
      </c>
      <c r="BC13" s="937" t="s">
        <v>2097</v>
      </c>
      <c r="BD13" s="944" t="s">
        <v>2041</v>
      </c>
      <c r="BE13" s="945" t="s">
        <v>2041</v>
      </c>
      <c r="BF13" s="945" t="s">
        <v>2041</v>
      </c>
      <c r="BG13" s="945" t="s">
        <v>2041</v>
      </c>
      <c r="BH13" s="937" t="s">
        <v>2097</v>
      </c>
      <c r="BI13" s="944" t="s">
        <v>2041</v>
      </c>
      <c r="BJ13" s="945" t="s">
        <v>2041</v>
      </c>
      <c r="BK13" s="945" t="s">
        <v>2041</v>
      </c>
      <c r="BL13" s="945" t="s">
        <v>2041</v>
      </c>
      <c r="BM13" s="206" t="s">
        <v>88</v>
      </c>
      <c r="BN13" s="206" t="s">
        <v>88</v>
      </c>
      <c r="BO13" s="206" t="s">
        <v>88</v>
      </c>
      <c r="BP13" s="728" t="s">
        <v>88</v>
      </c>
      <c r="BQ13" s="728" t="s">
        <v>88</v>
      </c>
      <c r="BR13" s="733">
        <v>1</v>
      </c>
      <c r="BS13" s="727">
        <v>45945</v>
      </c>
      <c r="BT13" s="727">
        <v>45946</v>
      </c>
      <c r="BU13" s="206">
        <v>1</v>
      </c>
      <c r="BV13" s="206" t="s">
        <v>88</v>
      </c>
      <c r="BW13" s="206" t="s">
        <v>88</v>
      </c>
      <c r="BX13" s="206" t="s">
        <v>88</v>
      </c>
      <c r="BY13" s="206" t="s">
        <v>88</v>
      </c>
      <c r="BZ13" s="206" t="s">
        <v>88</v>
      </c>
    </row>
    <row r="14" spans="1:78" ht="44.25" customHeight="1">
      <c r="A14" s="1150"/>
      <c r="B14" s="1152"/>
      <c r="C14" s="1154"/>
      <c r="D14" s="1154"/>
      <c r="E14" s="1156"/>
      <c r="F14" s="1187" t="s">
        <v>88</v>
      </c>
      <c r="G14" s="1161" t="s">
        <v>88</v>
      </c>
      <c r="H14" s="1161" t="s">
        <v>88</v>
      </c>
      <c r="I14" s="1161" t="s">
        <v>88</v>
      </c>
      <c r="J14" s="1161" t="s">
        <v>88</v>
      </c>
      <c r="K14" s="1161" t="s">
        <v>88</v>
      </c>
      <c r="L14" s="1161" t="s">
        <v>88</v>
      </c>
      <c r="M14" s="1161" t="s">
        <v>88</v>
      </c>
      <c r="N14" s="1185"/>
      <c r="O14" s="1161" t="s">
        <v>88</v>
      </c>
      <c r="P14" s="1161" t="s">
        <v>88</v>
      </c>
      <c r="Q14" s="1170"/>
      <c r="R14" s="1161" t="s">
        <v>88</v>
      </c>
      <c r="S14" s="1161" t="s">
        <v>88</v>
      </c>
      <c r="T14" s="1161" t="s">
        <v>88</v>
      </c>
      <c r="U14" s="1165"/>
      <c r="V14" s="1161" t="s">
        <v>88</v>
      </c>
      <c r="W14" s="1161" t="s">
        <v>88</v>
      </c>
      <c r="X14" s="1165"/>
      <c r="Y14" s="1161" t="s">
        <v>88</v>
      </c>
      <c r="Z14" s="1161" t="s">
        <v>88</v>
      </c>
      <c r="AA14" s="1161" t="s">
        <v>88</v>
      </c>
      <c r="AB14" s="1161" t="s">
        <v>88</v>
      </c>
      <c r="AC14" s="1161" t="s">
        <v>88</v>
      </c>
      <c r="AD14" s="1161" t="s">
        <v>88</v>
      </c>
      <c r="AE14" s="1161" t="s">
        <v>88</v>
      </c>
      <c r="AF14" s="1161" t="s">
        <v>88</v>
      </c>
      <c r="AG14" s="1161" t="s">
        <v>88</v>
      </c>
      <c r="AH14" s="1161" t="s">
        <v>88</v>
      </c>
      <c r="AI14" s="1161" t="s">
        <v>88</v>
      </c>
      <c r="AJ14" s="370" t="s">
        <v>2093</v>
      </c>
      <c r="AK14" s="371" t="s">
        <v>2094</v>
      </c>
      <c r="AL14" s="371" t="s">
        <v>2095</v>
      </c>
      <c r="AM14" s="373">
        <v>491723631326</v>
      </c>
      <c r="AN14" s="369" t="s">
        <v>2096</v>
      </c>
      <c r="AO14" s="440" t="s">
        <v>1006</v>
      </c>
      <c r="AP14" s="443" t="s">
        <v>579</v>
      </c>
      <c r="AQ14" s="443" t="s">
        <v>2097</v>
      </c>
      <c r="AR14" s="333">
        <v>45945</v>
      </c>
      <c r="AS14" s="443" t="s">
        <v>2098</v>
      </c>
      <c r="AT14" s="443" t="s">
        <v>2097</v>
      </c>
      <c r="AU14" s="333">
        <v>45946</v>
      </c>
      <c r="AV14" s="443" t="s">
        <v>2099</v>
      </c>
      <c r="AW14" s="368" t="s">
        <v>98</v>
      </c>
      <c r="AX14" s="368" t="s">
        <v>88</v>
      </c>
      <c r="AY14" s="223" t="s">
        <v>98</v>
      </c>
      <c r="AZ14" s="223" t="s">
        <v>98</v>
      </c>
      <c r="BA14" s="223" t="s">
        <v>98</v>
      </c>
      <c r="BB14" s="223" t="s">
        <v>98</v>
      </c>
      <c r="BC14" s="937" t="s">
        <v>2097</v>
      </c>
      <c r="BD14" s="944" t="s">
        <v>2041</v>
      </c>
      <c r="BE14" s="945" t="s">
        <v>2041</v>
      </c>
      <c r="BF14" s="945" t="s">
        <v>2041</v>
      </c>
      <c r="BG14" s="945" t="s">
        <v>2041</v>
      </c>
      <c r="BH14" s="937" t="s">
        <v>2097</v>
      </c>
      <c r="BI14" s="944" t="s">
        <v>2041</v>
      </c>
      <c r="BJ14" s="945" t="s">
        <v>2041</v>
      </c>
      <c r="BK14" s="945" t="s">
        <v>2041</v>
      </c>
      <c r="BL14" s="945" t="s">
        <v>2041</v>
      </c>
      <c r="BM14" s="206" t="s">
        <v>88</v>
      </c>
      <c r="BN14" s="206" t="s">
        <v>88</v>
      </c>
      <c r="BO14" s="206" t="s">
        <v>88</v>
      </c>
      <c r="BP14" s="728" t="s">
        <v>88</v>
      </c>
      <c r="BQ14" s="728" t="s">
        <v>88</v>
      </c>
      <c r="BR14" s="733">
        <v>1</v>
      </c>
      <c r="BS14" s="727">
        <v>45945</v>
      </c>
      <c r="BT14" s="727">
        <v>45946</v>
      </c>
      <c r="BU14" s="206">
        <v>1</v>
      </c>
      <c r="BV14" s="206" t="s">
        <v>88</v>
      </c>
      <c r="BW14" s="206" t="s">
        <v>88</v>
      </c>
      <c r="BX14" s="206" t="s">
        <v>88</v>
      </c>
      <c r="BY14" s="206" t="s">
        <v>88</v>
      </c>
      <c r="BZ14" s="206" t="s">
        <v>88</v>
      </c>
    </row>
    <row r="15" spans="1:78" ht="69.75" customHeight="1">
      <c r="A15" s="1149">
        <v>45945</v>
      </c>
      <c r="B15" s="1151" t="s">
        <v>2083</v>
      </c>
      <c r="C15" s="1153">
        <v>45945</v>
      </c>
      <c r="D15" s="1153">
        <v>45946</v>
      </c>
      <c r="E15" s="1155">
        <v>2455</v>
      </c>
      <c r="F15" s="1186" t="s">
        <v>2100</v>
      </c>
      <c r="G15" s="1160" t="s">
        <v>135</v>
      </c>
      <c r="H15" s="1160" t="s">
        <v>2101</v>
      </c>
      <c r="I15" s="1160" t="s">
        <v>1811</v>
      </c>
      <c r="J15" s="1160" t="s">
        <v>2102</v>
      </c>
      <c r="K15" s="1201" t="s">
        <v>2103</v>
      </c>
      <c r="L15" s="1160" t="s">
        <v>2104</v>
      </c>
      <c r="M15" s="1160" t="s">
        <v>249</v>
      </c>
      <c r="N15" s="1184" t="s">
        <v>88</v>
      </c>
      <c r="O15" s="1160" t="s">
        <v>97</v>
      </c>
      <c r="P15" s="1160" t="s">
        <v>97</v>
      </c>
      <c r="Q15" s="1169" t="s">
        <v>110</v>
      </c>
      <c r="R15" s="1160">
        <v>2</v>
      </c>
      <c r="S15" s="1160" t="s">
        <v>2105</v>
      </c>
      <c r="T15" s="1160" t="s">
        <v>2106</v>
      </c>
      <c r="U15" s="1164" t="s">
        <v>2107</v>
      </c>
      <c r="V15" s="1160" t="s">
        <v>2108</v>
      </c>
      <c r="W15" s="1160" t="s">
        <v>2109</v>
      </c>
      <c r="X15" s="1164" t="s">
        <v>2110</v>
      </c>
      <c r="Y15" s="1160" t="s">
        <v>97</v>
      </c>
      <c r="Z15" s="1160">
        <v>2</v>
      </c>
      <c r="AA15" s="1160" t="s">
        <v>2105</v>
      </c>
      <c r="AB15" s="1160" t="s">
        <v>2106</v>
      </c>
      <c r="AC15" s="1160" t="s">
        <v>2107</v>
      </c>
      <c r="AD15" s="1160" t="s">
        <v>2108</v>
      </c>
      <c r="AE15" s="1160" t="s">
        <v>2109</v>
      </c>
      <c r="AF15" s="1160" t="s">
        <v>2110</v>
      </c>
      <c r="AG15" s="1160" t="s">
        <v>2111</v>
      </c>
      <c r="AH15" s="1160" t="s">
        <v>88</v>
      </c>
      <c r="AI15" s="1160" t="s">
        <v>88</v>
      </c>
      <c r="AJ15" s="370" t="s">
        <v>2105</v>
      </c>
      <c r="AK15" s="371" t="s">
        <v>2106</v>
      </c>
      <c r="AL15" s="371" t="s">
        <v>2107</v>
      </c>
      <c r="AM15" s="373">
        <v>40720072061</v>
      </c>
      <c r="AN15" s="369" t="s">
        <v>2096</v>
      </c>
      <c r="AO15" s="614" t="s">
        <v>98</v>
      </c>
      <c r="AP15" s="898" t="s">
        <v>121</v>
      </c>
      <c r="AQ15" s="898" t="s">
        <v>2112</v>
      </c>
      <c r="AR15" s="385">
        <v>45943</v>
      </c>
      <c r="AS15" s="899">
        <v>0.25</v>
      </c>
      <c r="AT15" s="898" t="s">
        <v>2112</v>
      </c>
      <c r="AU15" s="385">
        <v>45946</v>
      </c>
      <c r="AV15" s="899">
        <v>0.41666666666666669</v>
      </c>
      <c r="AW15" s="371" t="s">
        <v>98</v>
      </c>
      <c r="AX15" s="370" t="s">
        <v>2113</v>
      </c>
      <c r="AY15" s="223" t="s">
        <v>98</v>
      </c>
      <c r="AZ15" s="223" t="s">
        <v>98</v>
      </c>
      <c r="BA15" s="223" t="s">
        <v>98</v>
      </c>
      <c r="BB15" s="223" t="s">
        <v>98</v>
      </c>
      <c r="BC15" s="710" t="s">
        <v>2112</v>
      </c>
      <c r="BD15" s="206" t="s">
        <v>126</v>
      </c>
      <c r="BE15" s="705">
        <v>45943</v>
      </c>
      <c r="BF15" s="708">
        <v>0.57291666666666663</v>
      </c>
      <c r="BG15" s="697" t="s">
        <v>2114</v>
      </c>
      <c r="BH15" s="710" t="s">
        <v>2112</v>
      </c>
      <c r="BI15" s="705">
        <v>45946</v>
      </c>
      <c r="BJ15" s="708">
        <v>0.39930555555555558</v>
      </c>
      <c r="BK15" s="697" t="s">
        <v>2115</v>
      </c>
      <c r="BL15" s="804">
        <v>495.48</v>
      </c>
      <c r="BM15" s="206" t="s">
        <v>88</v>
      </c>
      <c r="BN15" s="206" t="s">
        <v>88</v>
      </c>
      <c r="BO15" s="206" t="s">
        <v>88</v>
      </c>
      <c r="BP15" s="733">
        <v>1</v>
      </c>
      <c r="BQ15" s="733">
        <v>1</v>
      </c>
      <c r="BR15" s="733">
        <v>1</v>
      </c>
      <c r="BS15" s="727">
        <v>45943</v>
      </c>
      <c r="BT15" s="727">
        <v>45946</v>
      </c>
      <c r="BU15" s="206" t="s">
        <v>88</v>
      </c>
      <c r="BV15" s="206" t="s">
        <v>88</v>
      </c>
      <c r="BW15" s="206" t="s">
        <v>88</v>
      </c>
      <c r="BX15" s="655"/>
      <c r="BY15" s="682" t="s">
        <v>2116</v>
      </c>
      <c r="BZ15" s="206" t="s">
        <v>88</v>
      </c>
    </row>
    <row r="16" spans="1:78" ht="58.5" customHeight="1">
      <c r="A16" s="1150"/>
      <c r="B16" s="1152"/>
      <c r="C16" s="1154"/>
      <c r="D16" s="1154"/>
      <c r="E16" s="1156"/>
      <c r="F16" s="1187" t="s">
        <v>88</v>
      </c>
      <c r="G16" s="1161" t="s">
        <v>88</v>
      </c>
      <c r="H16" s="1161" t="s">
        <v>88</v>
      </c>
      <c r="I16" s="1161" t="s">
        <v>88</v>
      </c>
      <c r="J16" s="1161" t="s">
        <v>88</v>
      </c>
      <c r="K16" s="1202" t="s">
        <v>88</v>
      </c>
      <c r="L16" s="1161" t="s">
        <v>88</v>
      </c>
      <c r="M16" s="1161" t="s">
        <v>88</v>
      </c>
      <c r="N16" s="1185"/>
      <c r="O16" s="1161" t="s">
        <v>88</v>
      </c>
      <c r="P16" s="1161" t="s">
        <v>88</v>
      </c>
      <c r="Q16" s="1170"/>
      <c r="R16" s="1161" t="s">
        <v>88</v>
      </c>
      <c r="S16" s="1161" t="s">
        <v>88</v>
      </c>
      <c r="T16" s="1161" t="s">
        <v>88</v>
      </c>
      <c r="U16" s="1165"/>
      <c r="V16" s="1161" t="s">
        <v>88</v>
      </c>
      <c r="W16" s="1161" t="s">
        <v>88</v>
      </c>
      <c r="X16" s="1165"/>
      <c r="Y16" s="1161" t="s">
        <v>88</v>
      </c>
      <c r="Z16" s="1161" t="s">
        <v>88</v>
      </c>
      <c r="AA16" s="1161" t="s">
        <v>88</v>
      </c>
      <c r="AB16" s="1161" t="s">
        <v>88</v>
      </c>
      <c r="AC16" s="1161" t="s">
        <v>88</v>
      </c>
      <c r="AD16" s="1161" t="s">
        <v>88</v>
      </c>
      <c r="AE16" s="1161" t="s">
        <v>88</v>
      </c>
      <c r="AF16" s="1161" t="s">
        <v>88</v>
      </c>
      <c r="AG16" s="1161" t="s">
        <v>88</v>
      </c>
      <c r="AH16" s="1161" t="s">
        <v>88</v>
      </c>
      <c r="AI16" s="1161" t="s">
        <v>88</v>
      </c>
      <c r="AJ16" s="370" t="s">
        <v>2108</v>
      </c>
      <c r="AK16" s="371" t="s">
        <v>2109</v>
      </c>
      <c r="AL16" s="371" t="s">
        <v>2110</v>
      </c>
      <c r="AM16" s="373">
        <v>40755777013</v>
      </c>
      <c r="AN16" s="369" t="s">
        <v>2096</v>
      </c>
      <c r="AO16" s="614" t="s">
        <v>98</v>
      </c>
      <c r="AP16" s="369" t="s">
        <v>121</v>
      </c>
      <c r="AQ16" s="369" t="s">
        <v>2112</v>
      </c>
      <c r="AR16" s="351">
        <v>45943</v>
      </c>
      <c r="AS16" s="900">
        <v>0.25</v>
      </c>
      <c r="AT16" s="369" t="s">
        <v>2112</v>
      </c>
      <c r="AU16" s="351">
        <v>45946</v>
      </c>
      <c r="AV16" s="900">
        <v>0.41666666666666669</v>
      </c>
      <c r="AW16" s="371" t="s">
        <v>98</v>
      </c>
      <c r="AX16" s="614" t="s">
        <v>2117</v>
      </c>
      <c r="AY16" s="223" t="s">
        <v>98</v>
      </c>
      <c r="AZ16" s="223" t="s">
        <v>98</v>
      </c>
      <c r="BA16" s="223" t="s">
        <v>98</v>
      </c>
      <c r="BB16" s="223" t="s">
        <v>98</v>
      </c>
      <c r="BC16" s="710" t="s">
        <v>2112</v>
      </c>
      <c r="BD16" s="206" t="s">
        <v>126</v>
      </c>
      <c r="BE16" s="712">
        <v>45943</v>
      </c>
      <c r="BF16" s="736">
        <v>0.57291666666666663</v>
      </c>
      <c r="BG16" s="714" t="s">
        <v>2114</v>
      </c>
      <c r="BH16" s="710" t="s">
        <v>2112</v>
      </c>
      <c r="BI16" s="712">
        <v>45946</v>
      </c>
      <c r="BJ16" s="736">
        <v>0.39930555555555558</v>
      </c>
      <c r="BK16" s="714" t="s">
        <v>2115</v>
      </c>
      <c r="BL16" s="803">
        <v>495.48</v>
      </c>
      <c r="BM16" s="206" t="s">
        <v>88</v>
      </c>
      <c r="BN16" s="206" t="s">
        <v>88</v>
      </c>
      <c r="BO16" s="206" t="s">
        <v>88</v>
      </c>
      <c r="BP16" s="728" t="s">
        <v>88</v>
      </c>
      <c r="BQ16" s="728" t="s">
        <v>88</v>
      </c>
      <c r="BR16" s="753">
        <v>0</v>
      </c>
      <c r="BS16" s="206" t="s">
        <v>88</v>
      </c>
      <c r="BT16" s="206" t="s">
        <v>88</v>
      </c>
      <c r="BU16" s="206" t="s">
        <v>88</v>
      </c>
      <c r="BV16" s="206" t="s">
        <v>88</v>
      </c>
      <c r="BW16" s="206" t="s">
        <v>88</v>
      </c>
      <c r="BX16" s="655"/>
      <c r="BY16" s="683" t="s">
        <v>2118</v>
      </c>
      <c r="BZ16" s="206" t="s">
        <v>88</v>
      </c>
    </row>
    <row r="17" spans="1:78" ht="52.5" customHeight="1">
      <c r="A17" s="1149">
        <v>45945</v>
      </c>
      <c r="B17" s="1151" t="s">
        <v>2083</v>
      </c>
      <c r="C17" s="1153">
        <v>45945</v>
      </c>
      <c r="D17" s="1153">
        <v>45946</v>
      </c>
      <c r="E17" s="1155">
        <v>2599</v>
      </c>
      <c r="F17" s="1186" t="s">
        <v>2119</v>
      </c>
      <c r="G17" s="1160" t="s">
        <v>167</v>
      </c>
      <c r="H17" s="1160" t="s">
        <v>2120</v>
      </c>
      <c r="I17" s="1160" t="s">
        <v>1468</v>
      </c>
      <c r="J17" s="1160" t="s">
        <v>2121</v>
      </c>
      <c r="K17" s="1160" t="s">
        <v>2122</v>
      </c>
      <c r="L17" s="1160" t="s">
        <v>2123</v>
      </c>
      <c r="M17" s="1160" t="s">
        <v>1628</v>
      </c>
      <c r="N17" s="1184" t="s">
        <v>2124</v>
      </c>
      <c r="O17" s="1160" t="s">
        <v>110</v>
      </c>
      <c r="P17" s="1160" t="s">
        <v>97</v>
      </c>
      <c r="Q17" s="1169" t="s">
        <v>110</v>
      </c>
      <c r="R17" s="1160">
        <v>2</v>
      </c>
      <c r="S17" s="1162" t="s">
        <v>2125</v>
      </c>
      <c r="T17" s="1162" t="s">
        <v>2126</v>
      </c>
      <c r="U17" s="1164" t="s">
        <v>2127</v>
      </c>
      <c r="V17" s="1142" t="s">
        <v>2128</v>
      </c>
      <c r="W17" s="1142" t="s">
        <v>2129</v>
      </c>
      <c r="X17" s="1164" t="s">
        <v>2130</v>
      </c>
      <c r="Y17" s="1160" t="s">
        <v>97</v>
      </c>
      <c r="Z17" s="1160">
        <v>2</v>
      </c>
      <c r="AA17" s="1160" t="s">
        <v>2125</v>
      </c>
      <c r="AB17" s="1160" t="s">
        <v>2126</v>
      </c>
      <c r="AC17" s="1160" t="s">
        <v>2127</v>
      </c>
      <c r="AD17" s="1160" t="s">
        <v>2128</v>
      </c>
      <c r="AE17" s="1160" t="s">
        <v>2129</v>
      </c>
      <c r="AF17" s="1160" t="s">
        <v>2130</v>
      </c>
      <c r="AG17" s="1160" t="s">
        <v>376</v>
      </c>
      <c r="AH17" s="1160" t="s">
        <v>88</v>
      </c>
      <c r="AI17" s="1160" t="s">
        <v>2131</v>
      </c>
      <c r="AJ17" s="463" t="s">
        <v>2125</v>
      </c>
      <c r="AK17" s="464" t="s">
        <v>2126</v>
      </c>
      <c r="AL17" s="464" t="s">
        <v>2127</v>
      </c>
      <c r="AM17" s="209" t="s">
        <v>88</v>
      </c>
      <c r="AN17" s="207" t="s">
        <v>2096</v>
      </c>
      <c r="AO17" s="152" t="s">
        <v>98</v>
      </c>
      <c r="AP17" s="152" t="s">
        <v>88</v>
      </c>
      <c r="AQ17" s="152" t="s">
        <v>88</v>
      </c>
      <c r="AR17" s="215" t="s">
        <v>88</v>
      </c>
      <c r="AS17" s="152" t="s">
        <v>88</v>
      </c>
      <c r="AT17" s="152" t="s">
        <v>88</v>
      </c>
      <c r="AU17" s="215" t="s">
        <v>88</v>
      </c>
      <c r="AV17" s="152" t="s">
        <v>88</v>
      </c>
      <c r="AW17" s="206" t="s">
        <v>98</v>
      </c>
      <c r="AX17" s="152" t="s">
        <v>88</v>
      </c>
      <c r="AY17" s="152" t="s">
        <v>88</v>
      </c>
      <c r="AZ17" s="206" t="s">
        <v>88</v>
      </c>
      <c r="BA17" s="206" t="s">
        <v>88</v>
      </c>
      <c r="BB17" s="206" t="s">
        <v>88</v>
      </c>
      <c r="BC17" s="206" t="s">
        <v>88</v>
      </c>
      <c r="BD17" s="206" t="s">
        <v>88</v>
      </c>
      <c r="BE17" s="206" t="s">
        <v>88</v>
      </c>
      <c r="BF17" s="206" t="s">
        <v>88</v>
      </c>
      <c r="BG17" s="206" t="s">
        <v>88</v>
      </c>
      <c r="BH17" s="206" t="s">
        <v>88</v>
      </c>
      <c r="BI17" s="206" t="s">
        <v>88</v>
      </c>
      <c r="BJ17" s="206" t="s">
        <v>88</v>
      </c>
      <c r="BK17" s="206" t="s">
        <v>88</v>
      </c>
      <c r="BL17" s="206" t="s">
        <v>88</v>
      </c>
      <c r="BM17" s="206" t="s">
        <v>88</v>
      </c>
      <c r="BN17" s="206" t="s">
        <v>88</v>
      </c>
      <c r="BO17" s="206" t="s">
        <v>88</v>
      </c>
      <c r="BP17" s="728" t="s">
        <v>88</v>
      </c>
      <c r="BQ17" s="728" t="s">
        <v>88</v>
      </c>
      <c r="BR17" s="755" t="s">
        <v>88</v>
      </c>
      <c r="BS17" s="206" t="s">
        <v>88</v>
      </c>
      <c r="BT17" s="206" t="s">
        <v>88</v>
      </c>
      <c r="BU17" s="206" t="s">
        <v>88</v>
      </c>
      <c r="BV17" s="206" t="s">
        <v>88</v>
      </c>
      <c r="BW17" s="206" t="s">
        <v>88</v>
      </c>
      <c r="BX17" s="206" t="s">
        <v>88</v>
      </c>
      <c r="BY17" s="206" t="s">
        <v>88</v>
      </c>
      <c r="BZ17" s="206" t="s">
        <v>88</v>
      </c>
    </row>
    <row r="18" spans="1:78" ht="58" customHeight="1">
      <c r="A18" s="1150"/>
      <c r="B18" s="1152"/>
      <c r="C18" s="1154"/>
      <c r="D18" s="1154"/>
      <c r="E18" s="1156"/>
      <c r="F18" s="1187" t="s">
        <v>88</v>
      </c>
      <c r="G18" s="1161" t="s">
        <v>88</v>
      </c>
      <c r="H18" s="1161" t="s">
        <v>88</v>
      </c>
      <c r="I18" s="1161" t="s">
        <v>88</v>
      </c>
      <c r="J18" s="1161" t="s">
        <v>88</v>
      </c>
      <c r="K18" s="1161" t="s">
        <v>88</v>
      </c>
      <c r="L18" s="1161" t="s">
        <v>88</v>
      </c>
      <c r="M18" s="1161" t="s">
        <v>88</v>
      </c>
      <c r="N18" s="1185"/>
      <c r="O18" s="1161" t="s">
        <v>88</v>
      </c>
      <c r="P18" s="1161" t="s">
        <v>88</v>
      </c>
      <c r="Q18" s="1170"/>
      <c r="R18" s="1161" t="s">
        <v>88</v>
      </c>
      <c r="S18" s="1163"/>
      <c r="T18" s="1163"/>
      <c r="U18" s="1165"/>
      <c r="V18" s="1143"/>
      <c r="W18" s="1143"/>
      <c r="X18" s="1165"/>
      <c r="Y18" s="1161" t="s">
        <v>88</v>
      </c>
      <c r="Z18" s="1161" t="s">
        <v>88</v>
      </c>
      <c r="AA18" s="1161" t="s">
        <v>88</v>
      </c>
      <c r="AB18" s="1161" t="s">
        <v>88</v>
      </c>
      <c r="AC18" s="1161" t="s">
        <v>88</v>
      </c>
      <c r="AD18" s="1161" t="s">
        <v>88</v>
      </c>
      <c r="AE18" s="1161" t="s">
        <v>88</v>
      </c>
      <c r="AF18" s="1161" t="s">
        <v>88</v>
      </c>
      <c r="AG18" s="1161" t="s">
        <v>88</v>
      </c>
      <c r="AH18" s="1161" t="s">
        <v>88</v>
      </c>
      <c r="AI18" s="1161" t="s">
        <v>88</v>
      </c>
      <c r="AJ18" s="463" t="s">
        <v>2128</v>
      </c>
      <c r="AK18" s="464" t="s">
        <v>2129</v>
      </c>
      <c r="AL18" s="464" t="s">
        <v>2130</v>
      </c>
      <c r="AM18" s="209" t="s">
        <v>88</v>
      </c>
      <c r="AN18" s="207" t="s">
        <v>2096</v>
      </c>
      <c r="AO18" s="152" t="s">
        <v>98</v>
      </c>
      <c r="AP18" s="152" t="s">
        <v>88</v>
      </c>
      <c r="AQ18" s="152" t="s">
        <v>88</v>
      </c>
      <c r="AR18" s="215" t="s">
        <v>88</v>
      </c>
      <c r="AS18" s="152" t="s">
        <v>88</v>
      </c>
      <c r="AT18" s="152" t="s">
        <v>88</v>
      </c>
      <c r="AU18" s="215" t="s">
        <v>88</v>
      </c>
      <c r="AV18" s="152" t="s">
        <v>88</v>
      </c>
      <c r="AW18" s="206" t="s">
        <v>98</v>
      </c>
      <c r="AX18" s="152" t="s">
        <v>88</v>
      </c>
      <c r="AY18" s="152" t="s">
        <v>88</v>
      </c>
      <c r="AZ18" s="206" t="s">
        <v>88</v>
      </c>
      <c r="BA18" s="206" t="s">
        <v>88</v>
      </c>
      <c r="BB18" s="206" t="s">
        <v>88</v>
      </c>
      <c r="BC18" s="206" t="s">
        <v>88</v>
      </c>
      <c r="BD18" s="206" t="s">
        <v>88</v>
      </c>
      <c r="BE18" s="206" t="s">
        <v>88</v>
      </c>
      <c r="BF18" s="206" t="s">
        <v>88</v>
      </c>
      <c r="BG18" s="206" t="s">
        <v>88</v>
      </c>
      <c r="BH18" s="206" t="s">
        <v>88</v>
      </c>
      <c r="BI18" s="206" t="s">
        <v>88</v>
      </c>
      <c r="BJ18" s="206" t="s">
        <v>88</v>
      </c>
      <c r="BK18" s="206" t="s">
        <v>88</v>
      </c>
      <c r="BL18" s="206" t="s">
        <v>88</v>
      </c>
      <c r="BM18" s="206" t="s">
        <v>88</v>
      </c>
      <c r="BN18" s="206" t="s">
        <v>88</v>
      </c>
      <c r="BO18" s="206" t="s">
        <v>88</v>
      </c>
      <c r="BP18" s="728" t="s">
        <v>88</v>
      </c>
      <c r="BQ18" s="728" t="s">
        <v>88</v>
      </c>
      <c r="BR18" s="755" t="s">
        <v>88</v>
      </c>
      <c r="BS18" s="206" t="s">
        <v>88</v>
      </c>
      <c r="BT18" s="206" t="s">
        <v>88</v>
      </c>
      <c r="BU18" s="206" t="s">
        <v>88</v>
      </c>
      <c r="BV18" s="206" t="s">
        <v>88</v>
      </c>
      <c r="BW18" s="206" t="s">
        <v>88</v>
      </c>
      <c r="BX18" s="206" t="s">
        <v>88</v>
      </c>
      <c r="BY18" s="206" t="s">
        <v>88</v>
      </c>
      <c r="BZ18" s="206" t="s">
        <v>88</v>
      </c>
    </row>
    <row r="19" spans="1:78" s="768" customFormat="1" ht="105">
      <c r="A19" s="756">
        <v>45945</v>
      </c>
      <c r="B19" s="757" t="s">
        <v>2083</v>
      </c>
      <c r="C19" s="758">
        <v>45945</v>
      </c>
      <c r="D19" s="759">
        <v>45946</v>
      </c>
      <c r="E19" s="760">
        <v>2232</v>
      </c>
      <c r="F19" s="760" t="s">
        <v>2132</v>
      </c>
      <c r="G19" s="760" t="s">
        <v>167</v>
      </c>
      <c r="H19" s="760" t="s">
        <v>2133</v>
      </c>
      <c r="I19" s="760" t="s">
        <v>326</v>
      </c>
      <c r="J19" s="760" t="s">
        <v>2134</v>
      </c>
      <c r="K19" s="760" t="s">
        <v>2135</v>
      </c>
      <c r="L19" s="760" t="s">
        <v>2136</v>
      </c>
      <c r="M19" s="760" t="s">
        <v>249</v>
      </c>
      <c r="N19" s="760" t="s">
        <v>88</v>
      </c>
      <c r="O19" s="761" t="s">
        <v>89</v>
      </c>
      <c r="P19" s="761"/>
      <c r="Q19" s="761" t="s">
        <v>88</v>
      </c>
      <c r="R19" s="761" t="s">
        <v>88</v>
      </c>
      <c r="S19" s="761" t="s">
        <v>88</v>
      </c>
      <c r="T19" s="761" t="s">
        <v>88</v>
      </c>
      <c r="U19" s="761" t="s">
        <v>88</v>
      </c>
      <c r="V19" s="761" t="s">
        <v>88</v>
      </c>
      <c r="W19" s="761" t="s">
        <v>88</v>
      </c>
      <c r="X19" s="761" t="s">
        <v>88</v>
      </c>
      <c r="Y19" s="761" t="s">
        <v>88</v>
      </c>
      <c r="Z19" s="761" t="s">
        <v>88</v>
      </c>
      <c r="AA19" s="761" t="s">
        <v>88</v>
      </c>
      <c r="AB19" s="761" t="s">
        <v>88</v>
      </c>
      <c r="AC19" s="761" t="s">
        <v>88</v>
      </c>
      <c r="AD19" s="761" t="s">
        <v>88</v>
      </c>
      <c r="AE19" s="761" t="s">
        <v>88</v>
      </c>
      <c r="AF19" s="761" t="s">
        <v>88</v>
      </c>
      <c r="AG19" s="761" t="s">
        <v>88</v>
      </c>
      <c r="AH19" s="761" t="s">
        <v>88</v>
      </c>
      <c r="AI19" s="757" t="s">
        <v>88</v>
      </c>
      <c r="AJ19" s="762" t="s">
        <v>88</v>
      </c>
      <c r="AK19" s="465" t="s">
        <v>88</v>
      </c>
      <c r="AL19" s="465" t="s">
        <v>88</v>
      </c>
      <c r="AM19" s="763" t="s">
        <v>88</v>
      </c>
      <c r="AN19" s="764" t="s">
        <v>2096</v>
      </c>
      <c r="AO19" s="765" t="s">
        <v>88</v>
      </c>
      <c r="AP19" s="765" t="s">
        <v>88</v>
      </c>
      <c r="AQ19" s="765" t="s">
        <v>88</v>
      </c>
      <c r="AR19" s="766" t="s">
        <v>88</v>
      </c>
      <c r="AS19" s="765" t="s">
        <v>88</v>
      </c>
      <c r="AT19" s="765" t="s">
        <v>88</v>
      </c>
      <c r="AU19" s="766" t="s">
        <v>88</v>
      </c>
      <c r="AV19" s="765" t="s">
        <v>88</v>
      </c>
      <c r="AW19" s="465" t="s">
        <v>88</v>
      </c>
      <c r="AX19" s="765" t="s">
        <v>88</v>
      </c>
      <c r="AY19" s="765" t="s">
        <v>88</v>
      </c>
      <c r="AZ19" s="465" t="s">
        <v>88</v>
      </c>
      <c r="BA19" s="465" t="s">
        <v>88</v>
      </c>
      <c r="BB19" s="465" t="s">
        <v>88</v>
      </c>
      <c r="BC19" s="465" t="s">
        <v>88</v>
      </c>
      <c r="BD19" s="465" t="s">
        <v>88</v>
      </c>
      <c r="BE19" s="465" t="s">
        <v>88</v>
      </c>
      <c r="BF19" s="465" t="s">
        <v>88</v>
      </c>
      <c r="BG19" s="465" t="s">
        <v>88</v>
      </c>
      <c r="BH19" s="465" t="s">
        <v>88</v>
      </c>
      <c r="BI19" s="465" t="s">
        <v>88</v>
      </c>
      <c r="BJ19" s="465" t="s">
        <v>88</v>
      </c>
      <c r="BK19" s="465" t="s">
        <v>88</v>
      </c>
      <c r="BL19" s="465" t="s">
        <v>88</v>
      </c>
      <c r="BM19" s="465" t="s">
        <v>88</v>
      </c>
      <c r="BN19" s="465" t="s">
        <v>88</v>
      </c>
      <c r="BO19" s="465" t="s">
        <v>88</v>
      </c>
      <c r="BP19" s="767" t="s">
        <v>88</v>
      </c>
      <c r="BQ19" s="767" t="s">
        <v>88</v>
      </c>
      <c r="BR19" s="767" t="s">
        <v>88</v>
      </c>
      <c r="BS19" s="465" t="s">
        <v>88</v>
      </c>
      <c r="BT19" s="465" t="s">
        <v>88</v>
      </c>
      <c r="BU19" s="465" t="s">
        <v>88</v>
      </c>
      <c r="BV19" s="465" t="s">
        <v>88</v>
      </c>
      <c r="BW19" s="465" t="s">
        <v>88</v>
      </c>
      <c r="BX19" s="465" t="s">
        <v>88</v>
      </c>
      <c r="BY19" s="465" t="s">
        <v>88</v>
      </c>
      <c r="BZ19" s="465" t="s">
        <v>88</v>
      </c>
    </row>
    <row r="20" spans="1:78" s="210" customFormat="1" ht="44" customHeight="1">
      <c r="A20" s="1157">
        <v>45945</v>
      </c>
      <c r="B20" s="1158" t="s">
        <v>2083</v>
      </c>
      <c r="C20" s="1157">
        <v>45945</v>
      </c>
      <c r="D20" s="1157">
        <v>45946</v>
      </c>
      <c r="E20" s="1159">
        <v>2622</v>
      </c>
      <c r="F20" s="750" t="s">
        <v>2137</v>
      </c>
      <c r="G20" s="751" t="s">
        <v>167</v>
      </c>
      <c r="H20" s="751" t="s">
        <v>2138</v>
      </c>
      <c r="I20" s="751" t="s">
        <v>428</v>
      </c>
      <c r="J20" s="1144" t="s">
        <v>2139</v>
      </c>
      <c r="K20" s="1144" t="s">
        <v>2140</v>
      </c>
      <c r="L20" s="751" t="s">
        <v>2141</v>
      </c>
      <c r="M20" s="751" t="s">
        <v>249</v>
      </c>
      <c r="N20" s="752" t="s">
        <v>88</v>
      </c>
      <c r="O20" s="223" t="s">
        <v>89</v>
      </c>
      <c r="P20" s="223"/>
      <c r="Q20" s="223" t="s">
        <v>88</v>
      </c>
      <c r="R20" s="223" t="s">
        <v>88</v>
      </c>
      <c r="S20" s="223" t="s">
        <v>88</v>
      </c>
      <c r="T20" s="223" t="s">
        <v>88</v>
      </c>
      <c r="U20" s="223" t="s">
        <v>88</v>
      </c>
      <c r="V20" s="223" t="s">
        <v>88</v>
      </c>
      <c r="W20" s="223" t="s">
        <v>88</v>
      </c>
      <c r="X20" s="223" t="s">
        <v>88</v>
      </c>
      <c r="Y20" s="223" t="s">
        <v>88</v>
      </c>
      <c r="Z20" s="223" t="s">
        <v>88</v>
      </c>
      <c r="AA20" s="223" t="s">
        <v>88</v>
      </c>
      <c r="AB20" s="223" t="s">
        <v>88</v>
      </c>
      <c r="AC20" s="223" t="s">
        <v>88</v>
      </c>
      <c r="AD20" s="223" t="s">
        <v>88</v>
      </c>
      <c r="AE20" s="223" t="s">
        <v>88</v>
      </c>
      <c r="AF20" s="223" t="s">
        <v>88</v>
      </c>
      <c r="AG20" s="223" t="s">
        <v>88</v>
      </c>
      <c r="AH20" s="223" t="s">
        <v>88</v>
      </c>
      <c r="AI20" s="1142" t="s">
        <v>2142</v>
      </c>
      <c r="AJ20" s="223" t="s">
        <v>2143</v>
      </c>
      <c r="AK20" s="223" t="s">
        <v>2144</v>
      </c>
      <c r="AL20" s="223" t="s">
        <v>2145</v>
      </c>
      <c r="AM20" s="223" t="s">
        <v>2146</v>
      </c>
      <c r="AN20" s="223" t="s">
        <v>2096</v>
      </c>
      <c r="AO20" s="909" t="s">
        <v>97</v>
      </c>
      <c r="AP20" s="909" t="s">
        <v>121</v>
      </c>
      <c r="AQ20" s="909" t="s">
        <v>2147</v>
      </c>
      <c r="AR20" s="911">
        <v>45944</v>
      </c>
      <c r="AS20" s="909" t="s">
        <v>2148</v>
      </c>
      <c r="AT20" s="909" t="s">
        <v>2147</v>
      </c>
      <c r="AU20" s="911">
        <v>45945</v>
      </c>
      <c r="AV20" s="909" t="s">
        <v>2149</v>
      </c>
      <c r="AW20" s="916" t="s">
        <v>97</v>
      </c>
      <c r="AX20" s="909" t="s">
        <v>2150</v>
      </c>
      <c r="AY20" s="223" t="s">
        <v>88</v>
      </c>
      <c r="AZ20" s="223" t="s">
        <v>88</v>
      </c>
      <c r="BA20" s="223" t="s">
        <v>88</v>
      </c>
      <c r="BB20" s="223" t="s">
        <v>88</v>
      </c>
      <c r="BC20" s="223" t="s">
        <v>88</v>
      </c>
      <c r="BD20" s="223" t="s">
        <v>88</v>
      </c>
      <c r="BE20" s="223" t="s">
        <v>88</v>
      </c>
      <c r="BF20" s="223" t="s">
        <v>88</v>
      </c>
      <c r="BG20" s="223" t="s">
        <v>88</v>
      </c>
      <c r="BH20" s="223" t="s">
        <v>88</v>
      </c>
      <c r="BI20" s="223" t="s">
        <v>88</v>
      </c>
      <c r="BJ20" s="223" t="s">
        <v>88</v>
      </c>
      <c r="BK20" s="223" t="s">
        <v>88</v>
      </c>
      <c r="BL20" s="223" t="s">
        <v>88</v>
      </c>
      <c r="BM20" s="223" t="s">
        <v>88</v>
      </c>
      <c r="BN20" s="223" t="s">
        <v>88</v>
      </c>
      <c r="BO20" s="223" t="s">
        <v>88</v>
      </c>
      <c r="BP20" s="730" t="s">
        <v>88</v>
      </c>
      <c r="BQ20" s="730" t="s">
        <v>88</v>
      </c>
      <c r="BR20" s="754" t="s">
        <v>88</v>
      </c>
      <c r="BS20" s="223" t="s">
        <v>88</v>
      </c>
      <c r="BT20" s="223" t="s">
        <v>88</v>
      </c>
      <c r="BU20" s="223" t="s">
        <v>88</v>
      </c>
      <c r="BV20" s="223" t="s">
        <v>88</v>
      </c>
      <c r="BW20" s="223" t="s">
        <v>88</v>
      </c>
      <c r="BX20" s="1140" t="s">
        <v>2151</v>
      </c>
      <c r="BY20" s="1142" t="s">
        <v>88</v>
      </c>
      <c r="BZ20" s="223" t="s">
        <v>88</v>
      </c>
    </row>
    <row r="21" spans="1:78" ht="44" customHeight="1">
      <c r="A21" s="1157"/>
      <c r="B21" s="1158"/>
      <c r="C21" s="1157"/>
      <c r="D21" s="1157"/>
      <c r="E21" s="1159"/>
      <c r="F21" s="750"/>
      <c r="G21" s="751"/>
      <c r="H21" s="751"/>
      <c r="I21" s="751"/>
      <c r="J21" s="1144"/>
      <c r="K21" s="1144"/>
      <c r="L21" s="751"/>
      <c r="M21" s="751"/>
      <c r="N21" s="752"/>
      <c r="O21" s="223"/>
      <c r="P21" s="223"/>
      <c r="Q21" s="223"/>
      <c r="R21" s="223"/>
      <c r="S21" s="223"/>
      <c r="T21" s="223"/>
      <c r="U21" s="223"/>
      <c r="V21" s="223"/>
      <c r="W21" s="223"/>
      <c r="X21" s="223"/>
      <c r="Y21" s="223"/>
      <c r="Z21" s="223"/>
      <c r="AA21" s="223"/>
      <c r="AB21" s="223"/>
      <c r="AC21" s="223"/>
      <c r="AD21" s="223"/>
      <c r="AE21" s="223"/>
      <c r="AF21" s="223"/>
      <c r="AG21" s="223"/>
      <c r="AH21" s="223"/>
      <c r="AI21" s="1143"/>
      <c r="AJ21" s="223" t="s">
        <v>2152</v>
      </c>
      <c r="AK21" s="223" t="s">
        <v>2153</v>
      </c>
      <c r="AL21" s="223" t="s">
        <v>2154</v>
      </c>
      <c r="AM21" s="223" t="s">
        <v>2155</v>
      </c>
      <c r="AN21" s="223" t="s">
        <v>2096</v>
      </c>
      <c r="AO21" s="909" t="s">
        <v>97</v>
      </c>
      <c r="AP21" s="909" t="s">
        <v>121</v>
      </c>
      <c r="AQ21" s="909" t="s">
        <v>2156</v>
      </c>
      <c r="AR21" s="911">
        <v>45945</v>
      </c>
      <c r="AS21" s="909" t="s">
        <v>2157</v>
      </c>
      <c r="AT21" s="909" t="s">
        <v>2156</v>
      </c>
      <c r="AU21" s="911">
        <v>45946</v>
      </c>
      <c r="AV21" s="909" t="s">
        <v>2158</v>
      </c>
      <c r="AW21" s="916" t="s">
        <v>97</v>
      </c>
      <c r="AX21" s="917" t="s">
        <v>2159</v>
      </c>
      <c r="AY21" s="223"/>
      <c r="AZ21" s="223"/>
      <c r="BA21" s="223"/>
      <c r="BB21" s="223"/>
      <c r="BC21" s="223"/>
      <c r="BD21" s="223"/>
      <c r="BE21" s="223"/>
      <c r="BF21" s="223"/>
      <c r="BG21" s="223"/>
      <c r="BH21" s="223"/>
      <c r="BI21" s="223"/>
      <c r="BJ21" s="223"/>
      <c r="BK21" s="223"/>
      <c r="BL21" s="223"/>
      <c r="BM21" s="223"/>
      <c r="BN21" s="223"/>
      <c r="BO21" s="223"/>
      <c r="BP21" s="730"/>
      <c r="BQ21" s="730"/>
      <c r="BR21" s="754"/>
      <c r="BS21" s="223"/>
      <c r="BT21" s="223"/>
      <c r="BU21" s="223"/>
      <c r="BV21" s="223"/>
      <c r="BW21" s="223"/>
      <c r="BX21" s="1141"/>
      <c r="BY21" s="1143"/>
      <c r="BZ21" s="223"/>
    </row>
    <row r="22" spans="1:78" ht="16">
      <c r="A22" s="90"/>
      <c r="B22" s="90"/>
      <c r="C22" s="90"/>
      <c r="D22" s="90"/>
      <c r="E22" s="92" t="s">
        <v>1269</v>
      </c>
      <c r="F22" s="91"/>
      <c r="G22" s="91"/>
      <c r="H22" s="91"/>
      <c r="I22" s="91"/>
      <c r="J22" s="91"/>
      <c r="K22" s="91"/>
      <c r="L22" s="91"/>
      <c r="M22" s="91"/>
      <c r="N22" s="91"/>
      <c r="O22" s="92" t="s">
        <v>1269</v>
      </c>
      <c r="P22" s="102" t="s">
        <v>88</v>
      </c>
      <c r="Q22" s="102" t="s">
        <v>88</v>
      </c>
      <c r="R22" s="102" t="s">
        <v>1269</v>
      </c>
      <c r="S22" s="102" t="s">
        <v>88</v>
      </c>
      <c r="T22" s="102" t="s">
        <v>88</v>
      </c>
      <c r="U22" s="102" t="s">
        <v>88</v>
      </c>
      <c r="V22" s="102" t="s">
        <v>88</v>
      </c>
      <c r="W22" s="102" t="s">
        <v>88</v>
      </c>
      <c r="X22" s="102" t="s">
        <v>88</v>
      </c>
      <c r="Y22" s="102" t="s">
        <v>88</v>
      </c>
      <c r="Z22" s="102" t="s">
        <v>1269</v>
      </c>
      <c r="AA22" s="103" t="s">
        <v>88</v>
      </c>
      <c r="AB22" s="103" t="s">
        <v>88</v>
      </c>
      <c r="AC22" s="103" t="s">
        <v>88</v>
      </c>
      <c r="AD22" s="103" t="s">
        <v>88</v>
      </c>
      <c r="AE22" s="103" t="s">
        <v>88</v>
      </c>
      <c r="AF22" s="103" t="s">
        <v>88</v>
      </c>
      <c r="AG22" s="101" t="s">
        <v>88</v>
      </c>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196">
        <f>SUM(BL3:BL20)</f>
        <v>3935.3999999999996</v>
      </c>
      <c r="BM22" s="90"/>
      <c r="BN22" s="90"/>
      <c r="BO22" s="90"/>
      <c r="BP22" s="769">
        <f>SUM(BP3:BP20)</f>
        <v>7</v>
      </c>
      <c r="BQ22" s="769">
        <f t="shared" ref="BQ22:BR22" si="0">SUM(BQ3:BQ20)</f>
        <v>8</v>
      </c>
      <c r="BR22" s="769">
        <f t="shared" si="0"/>
        <v>3</v>
      </c>
      <c r="BS22" s="90"/>
      <c r="BT22" s="90"/>
      <c r="BU22" s="90"/>
      <c r="BV22" s="90"/>
      <c r="BW22" s="90"/>
      <c r="BX22" s="90"/>
      <c r="BY22" s="90"/>
      <c r="BZ22" s="90"/>
    </row>
    <row r="23" spans="1:78" s="211" customFormat="1" ht="32">
      <c r="A23" s="90"/>
      <c r="B23" s="90"/>
      <c r="C23" s="90"/>
      <c r="D23" s="90"/>
      <c r="E23" s="92">
        <v>10</v>
      </c>
      <c r="F23" s="91"/>
      <c r="G23" s="91"/>
      <c r="H23" s="91"/>
      <c r="I23" s="91"/>
      <c r="J23" s="91"/>
      <c r="K23" s="91"/>
      <c r="L23" s="91"/>
      <c r="M23" s="91"/>
      <c r="N23" s="91"/>
      <c r="O23" s="101">
        <v>8</v>
      </c>
      <c r="P23" s="102" t="s">
        <v>88</v>
      </c>
      <c r="Q23" s="102" t="s">
        <v>88</v>
      </c>
      <c r="R23" s="102">
        <v>16</v>
      </c>
      <c r="S23" s="102" t="s">
        <v>88</v>
      </c>
      <c r="T23" s="102" t="s">
        <v>88</v>
      </c>
      <c r="U23" s="102" t="s">
        <v>88</v>
      </c>
      <c r="V23" s="102" t="s">
        <v>88</v>
      </c>
      <c r="W23" s="102" t="s">
        <v>88</v>
      </c>
      <c r="X23" s="102" t="s">
        <v>88</v>
      </c>
      <c r="Y23" s="102" t="s">
        <v>88</v>
      </c>
      <c r="Z23" s="102">
        <v>16</v>
      </c>
      <c r="AA23" s="103" t="s">
        <v>88</v>
      </c>
      <c r="AB23" s="103" t="s">
        <v>88</v>
      </c>
      <c r="AC23" s="103" t="s">
        <v>88</v>
      </c>
      <c r="AD23" s="103" t="s">
        <v>88</v>
      </c>
      <c r="AE23" s="103" t="s">
        <v>88</v>
      </c>
      <c r="AF23" s="103" t="s">
        <v>88</v>
      </c>
      <c r="AG23" s="101" t="s">
        <v>88</v>
      </c>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196" t="s">
        <v>1272</v>
      </c>
      <c r="BP23" s="90">
        <v>1</v>
      </c>
      <c r="BQ23" s="90"/>
      <c r="BR23" s="90">
        <v>1</v>
      </c>
      <c r="BS23" s="90"/>
      <c r="BT23" s="90"/>
      <c r="BU23" s="90"/>
      <c r="BV23" s="90"/>
      <c r="BW23" s="90"/>
      <c r="BX23" s="90"/>
      <c r="BY23" s="90"/>
      <c r="BZ23" s="90"/>
    </row>
    <row r="24" spans="1:78">
      <c r="A24" s="90"/>
      <c r="B24" s="90"/>
      <c r="C24" s="90"/>
      <c r="D24" s="90"/>
      <c r="E24" s="91"/>
      <c r="F24" s="91"/>
      <c r="G24" s="91"/>
      <c r="H24" s="91"/>
      <c r="I24" s="91"/>
      <c r="J24" s="91"/>
      <c r="K24" s="91"/>
      <c r="L24" s="91"/>
      <c r="M24" s="91"/>
      <c r="N24" s="91"/>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row>
    <row r="25" spans="1:78">
      <c r="A25" s="90"/>
      <c r="B25" s="90"/>
      <c r="C25" s="90"/>
      <c r="D25" s="90"/>
      <c r="E25" s="91"/>
      <c r="F25" s="91"/>
      <c r="G25" s="91"/>
      <c r="H25" s="91"/>
      <c r="I25" s="91"/>
      <c r="J25" s="91"/>
      <c r="K25" s="91"/>
      <c r="L25" s="91"/>
      <c r="M25" s="91"/>
      <c r="N25" s="91"/>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90"/>
      <c r="BY25" s="90"/>
      <c r="BZ25" s="90"/>
    </row>
    <row r="26" spans="1:78" ht="15" customHeight="1">
      <c r="A26" s="91"/>
      <c r="C26" s="1145" t="s">
        <v>1273</v>
      </c>
      <c r="D26" s="1146"/>
      <c r="E26" s="1147" t="s">
        <v>1274</v>
      </c>
      <c r="F26" s="1148"/>
      <c r="J26" s="91"/>
      <c r="K26" s="91"/>
      <c r="L26" s="91"/>
      <c r="M26" s="91"/>
      <c r="N26" s="91"/>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0"/>
      <c r="BU26" s="90"/>
      <c r="BV26" s="90"/>
      <c r="BW26" s="90"/>
      <c r="BX26" s="90"/>
      <c r="BY26" s="90"/>
      <c r="BZ26" s="90"/>
    </row>
    <row r="27" spans="1:78">
      <c r="A27" s="91"/>
      <c r="C27" s="265" t="s">
        <v>1275</v>
      </c>
      <c r="D27" s="265" t="s">
        <v>1276</v>
      </c>
      <c r="E27" s="265" t="s">
        <v>1275</v>
      </c>
      <c r="F27" s="266" t="s">
        <v>1276</v>
      </c>
      <c r="J27" s="91"/>
      <c r="K27" s="91"/>
      <c r="L27" s="91"/>
      <c r="M27" s="91"/>
      <c r="N27" s="91"/>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row>
    <row r="28" spans="1:78">
      <c r="A28" s="389">
        <v>45943</v>
      </c>
      <c r="B28" s="267">
        <v>45943</v>
      </c>
      <c r="C28" s="110">
        <v>10</v>
      </c>
      <c r="D28" s="110">
        <v>0</v>
      </c>
      <c r="E28" s="268">
        <v>10</v>
      </c>
      <c r="F28" s="110"/>
      <c r="J28" s="91"/>
      <c r="K28" s="91"/>
      <c r="L28" s="91"/>
      <c r="M28" s="91"/>
      <c r="N28" s="91"/>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row>
    <row r="29" spans="1:78">
      <c r="A29" s="390">
        <v>45944</v>
      </c>
      <c r="B29" s="267">
        <v>45944</v>
      </c>
      <c r="C29" s="110">
        <v>0</v>
      </c>
      <c r="D29" s="110">
        <v>0</v>
      </c>
      <c r="E29" s="268"/>
      <c r="F29" s="110"/>
      <c r="J29" s="91"/>
      <c r="K29" s="91"/>
      <c r="L29" s="91"/>
      <c r="M29" s="91"/>
      <c r="N29" s="91"/>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0"/>
      <c r="BU29" s="90"/>
      <c r="BV29" s="90"/>
      <c r="BW29" s="90"/>
      <c r="BX29" s="90"/>
      <c r="BY29" s="90"/>
      <c r="BZ29" s="90"/>
    </row>
    <row r="30" spans="1:78">
      <c r="A30" s="390">
        <v>45945</v>
      </c>
      <c r="B30" s="267">
        <v>45945</v>
      </c>
      <c r="C30" s="110">
        <v>6</v>
      </c>
      <c r="D30" s="110">
        <v>10</v>
      </c>
      <c r="E30" s="268">
        <v>6</v>
      </c>
      <c r="F30" s="110">
        <v>10</v>
      </c>
      <c r="J30" s="91"/>
      <c r="K30" s="91"/>
      <c r="L30" s="91"/>
      <c r="M30" s="91"/>
      <c r="N30" s="91"/>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0"/>
      <c r="BU30" s="90"/>
      <c r="BV30" s="90"/>
      <c r="BW30" s="90"/>
      <c r="BX30" s="90"/>
      <c r="BY30" s="90"/>
      <c r="BZ30" s="90"/>
    </row>
    <row r="31" spans="1:78">
      <c r="A31" s="390">
        <v>45946</v>
      </c>
      <c r="B31" s="267">
        <v>45946</v>
      </c>
      <c r="C31" s="110">
        <v>0</v>
      </c>
      <c r="D31" s="110">
        <v>6</v>
      </c>
      <c r="E31" s="268"/>
      <c r="F31" s="110">
        <v>6</v>
      </c>
      <c r="J31" s="91"/>
      <c r="K31" s="91"/>
      <c r="L31" s="91"/>
      <c r="M31" s="91"/>
      <c r="N31" s="91"/>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0"/>
      <c r="BU31" s="90"/>
      <c r="BV31" s="90"/>
      <c r="BW31" s="90"/>
      <c r="BX31" s="90"/>
      <c r="BY31" s="90"/>
      <c r="BZ31" s="90"/>
    </row>
    <row r="32" spans="1:78">
      <c r="A32" s="196"/>
      <c r="C32" s="391">
        <v>16</v>
      </c>
      <c r="D32" s="391">
        <v>16</v>
      </c>
      <c r="E32" s="265"/>
      <c r="F32" s="265"/>
      <c r="J32" s="91"/>
      <c r="K32" s="91"/>
      <c r="L32" s="95"/>
      <c r="M32" s="95"/>
      <c r="N32" s="95"/>
      <c r="O32" s="196"/>
      <c r="P32" s="196"/>
      <c r="Q32" s="196"/>
      <c r="R32" s="196"/>
      <c r="S32" s="196"/>
      <c r="T32" s="196"/>
      <c r="U32" s="196"/>
      <c r="V32" s="196"/>
      <c r="W32" s="196"/>
      <c r="X32" s="196"/>
      <c r="Y32" s="196"/>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c r="AV32" s="196"/>
      <c r="AW32" s="196"/>
      <c r="AX32" s="196"/>
      <c r="AY32" s="196"/>
      <c r="AZ32" s="196"/>
      <c r="BA32" s="196"/>
      <c r="BB32" s="196"/>
      <c r="BC32" s="196"/>
      <c r="BD32" s="196"/>
      <c r="BE32" s="196"/>
      <c r="BF32" s="196"/>
      <c r="BG32" s="196"/>
      <c r="BH32" s="196"/>
      <c r="BI32" s="196"/>
      <c r="BJ32" s="196"/>
      <c r="BK32" s="196"/>
      <c r="BL32" s="196"/>
      <c r="BM32" s="196"/>
      <c r="BN32" s="196"/>
      <c r="BO32" s="196"/>
      <c r="BP32" s="196"/>
      <c r="BQ32" s="196"/>
      <c r="BR32" s="196"/>
      <c r="BS32" s="196"/>
      <c r="BT32" s="196"/>
      <c r="BU32" s="196"/>
      <c r="BV32" s="196"/>
      <c r="BW32" s="196"/>
      <c r="BX32" s="196"/>
      <c r="BY32" s="196"/>
      <c r="BZ32" s="196"/>
    </row>
    <row r="34" spans="1:8" ht="49.5" customHeight="1">
      <c r="B34" s="412"/>
      <c r="C34" s="966" t="s">
        <v>1274</v>
      </c>
      <c r="D34" s="967"/>
      <c r="E34" s="968"/>
      <c r="F34" s="387"/>
      <c r="G34" s="387"/>
    </row>
    <row r="35" spans="1:8" ht="49.5" customHeight="1">
      <c r="A35" s="419" t="s">
        <v>1274</v>
      </c>
      <c r="B35" s="414"/>
      <c r="C35" s="413">
        <v>45943</v>
      </c>
      <c r="D35" s="413">
        <v>45944</v>
      </c>
      <c r="E35" s="413">
        <v>45945</v>
      </c>
      <c r="F35" s="91"/>
      <c r="G35" s="91"/>
      <c r="H35" s="91"/>
    </row>
    <row r="36" spans="1:8" ht="49.5" customHeight="1">
      <c r="A36" s="386">
        <v>45943</v>
      </c>
      <c r="B36" s="420" t="s">
        <v>1277</v>
      </c>
      <c r="C36" s="110">
        <v>10</v>
      </c>
      <c r="D36" s="110">
        <v>10</v>
      </c>
      <c r="E36" s="110">
        <v>6</v>
      </c>
      <c r="F36" s="91"/>
      <c r="G36" s="91"/>
      <c r="H36" s="91"/>
    </row>
    <row r="37" spans="1:8" ht="49.5" customHeight="1">
      <c r="A37" s="94">
        <v>10</v>
      </c>
      <c r="B37" s="420" t="s">
        <v>1278</v>
      </c>
      <c r="C37" s="110">
        <v>9</v>
      </c>
      <c r="D37" s="110">
        <v>9</v>
      </c>
      <c r="E37" s="110">
        <v>6</v>
      </c>
      <c r="F37" s="91"/>
      <c r="G37" s="91"/>
      <c r="H37" s="91"/>
    </row>
    <row r="38" spans="1:8" ht="49.5" customHeight="1">
      <c r="B38" s="421" t="s">
        <v>1279</v>
      </c>
      <c r="C38" s="418">
        <v>7</v>
      </c>
      <c r="D38" s="418">
        <v>7</v>
      </c>
      <c r="E38" s="418">
        <v>4</v>
      </c>
      <c r="F38" s="91"/>
      <c r="G38" s="91"/>
      <c r="H38" s="91"/>
    </row>
    <row r="39" spans="1:8" ht="49.5" customHeight="1">
      <c r="B39" s="422" t="s">
        <v>1280</v>
      </c>
      <c r="C39" s="110">
        <v>2</v>
      </c>
      <c r="D39" s="110">
        <v>2</v>
      </c>
      <c r="E39" s="110"/>
    </row>
    <row r="40" spans="1:8" ht="49.5" customHeight="1"/>
  </sheetData>
  <autoFilter ref="A2:BZ2" xr:uid="{E40F39E6-E1BF-4553-B99F-AD3DBEC32478}"/>
  <mergeCells count="299">
    <mergeCell ref="AF17:AF18"/>
    <mergeCell ref="AG17:AG18"/>
    <mergeCell ref="AF15:AF16"/>
    <mergeCell ref="AH3:AH4"/>
    <mergeCell ref="AI3:AI4"/>
    <mergeCell ref="AE5:AE6"/>
    <mergeCell ref="AF5:AF6"/>
    <mergeCell ref="AG5:AG6"/>
    <mergeCell ref="AH5:AH6"/>
    <mergeCell ref="AI5:AI6"/>
    <mergeCell ref="AH17:AH18"/>
    <mergeCell ref="AI17:AI18"/>
    <mergeCell ref="AE7:AE8"/>
    <mergeCell ref="AF7:AF8"/>
    <mergeCell ref="AG7:AG8"/>
    <mergeCell ref="AH7:AH8"/>
    <mergeCell ref="AI7:AI8"/>
    <mergeCell ref="AI11:AI12"/>
    <mergeCell ref="AH13:AH14"/>
    <mergeCell ref="AI13:AI14"/>
    <mergeCell ref="AH15:AH16"/>
    <mergeCell ref="AI15:AI16"/>
    <mergeCell ref="AE9:AE10"/>
    <mergeCell ref="AF9:AF10"/>
    <mergeCell ref="AG9:AG10"/>
    <mergeCell ref="AH9:AH10"/>
    <mergeCell ref="AI9:AI10"/>
    <mergeCell ref="AF13:AF14"/>
    <mergeCell ref="AG13:AG14"/>
    <mergeCell ref="AH11:AH12"/>
    <mergeCell ref="AE11:AE12"/>
    <mergeCell ref="AF11:AF12"/>
    <mergeCell ref="AG11:AG12"/>
    <mergeCell ref="X15:X16"/>
    <mergeCell ref="Z15:Z16"/>
    <mergeCell ref="AA15:AA16"/>
    <mergeCell ref="AB15:AB16"/>
    <mergeCell ref="AC15:AC16"/>
    <mergeCell ref="AG15:AG16"/>
    <mergeCell ref="AE3:AE4"/>
    <mergeCell ref="AF3:AF4"/>
    <mergeCell ref="AG3:AG4"/>
    <mergeCell ref="Y13:Y14"/>
    <mergeCell ref="Z13:Z14"/>
    <mergeCell ref="AA13:AA14"/>
    <mergeCell ref="AB13:AB14"/>
    <mergeCell ref="AC13:AC14"/>
    <mergeCell ref="AD13:AD14"/>
    <mergeCell ref="AE13:AE14"/>
    <mergeCell ref="AD9:AD10"/>
    <mergeCell ref="AA11:AA12"/>
    <mergeCell ref="AB11:AB12"/>
    <mergeCell ref="AC11:AC12"/>
    <mergeCell ref="AD11:AD12"/>
    <mergeCell ref="Y9:Y10"/>
    <mergeCell ref="Z9:Z10"/>
    <mergeCell ref="AA9:AA10"/>
    <mergeCell ref="Y17:Y18"/>
    <mergeCell ref="Z17:Z18"/>
    <mergeCell ref="AA17:AA18"/>
    <mergeCell ref="AB17:AB18"/>
    <mergeCell ref="AC17:AC18"/>
    <mergeCell ref="AD15:AD16"/>
    <mergeCell ref="AE15:AE16"/>
    <mergeCell ref="Y15:Y16"/>
    <mergeCell ref="AD17:AD18"/>
    <mergeCell ref="AE17:AE18"/>
    <mergeCell ref="X13:X14"/>
    <mergeCell ref="X11:X12"/>
    <mergeCell ref="Q17:Q18"/>
    <mergeCell ref="V13:V14"/>
    <mergeCell ref="W13:W14"/>
    <mergeCell ref="V15:V16"/>
    <mergeCell ref="W15:W16"/>
    <mergeCell ref="P17:P18"/>
    <mergeCell ref="O11:O12"/>
    <mergeCell ref="P11:P12"/>
    <mergeCell ref="S11:S12"/>
    <mergeCell ref="T11:T12"/>
    <mergeCell ref="V11:V12"/>
    <mergeCell ref="W11:W12"/>
    <mergeCell ref="O13:O14"/>
    <mergeCell ref="P13:P14"/>
    <mergeCell ref="O15:O16"/>
    <mergeCell ref="P15:P16"/>
    <mergeCell ref="Q13:Q14"/>
    <mergeCell ref="Q15:Q16"/>
    <mergeCell ref="R11:R12"/>
    <mergeCell ref="U11:U12"/>
    <mergeCell ref="Q11:Q12"/>
    <mergeCell ref="X17:X18"/>
    <mergeCell ref="N17:N18"/>
    <mergeCell ref="N13:N14"/>
    <mergeCell ref="L13:L14"/>
    <mergeCell ref="M13:M14"/>
    <mergeCell ref="F15:F16"/>
    <mergeCell ref="U13:U14"/>
    <mergeCell ref="U15:U16"/>
    <mergeCell ref="R13:R14"/>
    <mergeCell ref="S13:S14"/>
    <mergeCell ref="T13:T14"/>
    <mergeCell ref="R15:R16"/>
    <mergeCell ref="S15:S16"/>
    <mergeCell ref="T15:T16"/>
    <mergeCell ref="F17:F18"/>
    <mergeCell ref="G17:G18"/>
    <mergeCell ref="H17:H18"/>
    <mergeCell ref="I17:I18"/>
    <mergeCell ref="J17:J18"/>
    <mergeCell ref="K17:K18"/>
    <mergeCell ref="L17:L18"/>
    <mergeCell ref="M17:M18"/>
    <mergeCell ref="O17:O18"/>
    <mergeCell ref="L11:L12"/>
    <mergeCell ref="M11:M12"/>
    <mergeCell ref="F11:F12"/>
    <mergeCell ref="G11:G12"/>
    <mergeCell ref="H11:H12"/>
    <mergeCell ref="I11:I12"/>
    <mergeCell ref="J11:J12"/>
    <mergeCell ref="N15:N16"/>
    <mergeCell ref="K11:K12"/>
    <mergeCell ref="K15:K16"/>
    <mergeCell ref="L15:L16"/>
    <mergeCell ref="M15:M16"/>
    <mergeCell ref="F13:F14"/>
    <mergeCell ref="G13:G14"/>
    <mergeCell ref="H13:H14"/>
    <mergeCell ref="I13:I14"/>
    <mergeCell ref="J13:J14"/>
    <mergeCell ref="K13:K14"/>
    <mergeCell ref="N11:N12"/>
    <mergeCell ref="G15:G16"/>
    <mergeCell ref="H15:H16"/>
    <mergeCell ref="I15:I16"/>
    <mergeCell ref="J15:J16"/>
    <mergeCell ref="AC9:AC10"/>
    <mergeCell ref="T9:T10"/>
    <mergeCell ref="U9:U10"/>
    <mergeCell ref="V9:V10"/>
    <mergeCell ref="W9:W10"/>
    <mergeCell ref="X9:X10"/>
    <mergeCell ref="Y11:Y12"/>
    <mergeCell ref="Z11:Z12"/>
    <mergeCell ref="O9:O10"/>
    <mergeCell ref="P9:P10"/>
    <mergeCell ref="Q9:Q10"/>
    <mergeCell ref="R9:R10"/>
    <mergeCell ref="S9:S10"/>
    <mergeCell ref="AB9:AB10"/>
    <mergeCell ref="F9:F10"/>
    <mergeCell ref="G9:G10"/>
    <mergeCell ref="H9:H10"/>
    <mergeCell ref="I9:I10"/>
    <mergeCell ref="J9:J10"/>
    <mergeCell ref="K9:K10"/>
    <mergeCell ref="L9:L10"/>
    <mergeCell ref="M9:M10"/>
    <mergeCell ref="N9:N10"/>
    <mergeCell ref="AD3:AD4"/>
    <mergeCell ref="R5:R6"/>
    <mergeCell ref="S5:S6"/>
    <mergeCell ref="X3:X4"/>
    <mergeCell ref="F7:F8"/>
    <mergeCell ref="G7:G8"/>
    <mergeCell ref="H7:H8"/>
    <mergeCell ref="I7:I8"/>
    <mergeCell ref="J7:J8"/>
    <mergeCell ref="K7:K8"/>
    <mergeCell ref="L7:L8"/>
    <mergeCell ref="M7:M8"/>
    <mergeCell ref="N7:N8"/>
    <mergeCell ref="O7:O8"/>
    <mergeCell ref="P7:P8"/>
    <mergeCell ref="Q7:Q8"/>
    <mergeCell ref="R7:R8"/>
    <mergeCell ref="S7:S8"/>
    <mergeCell ref="Y5:Y6"/>
    <mergeCell ref="Z5:Z6"/>
    <mergeCell ref="Y7:Y8"/>
    <mergeCell ref="Z7:Z8"/>
    <mergeCell ref="O5:O6"/>
    <mergeCell ref="P5:P6"/>
    <mergeCell ref="AD5:AD6"/>
    <mergeCell ref="AD7:AD8"/>
    <mergeCell ref="AA7:AA8"/>
    <mergeCell ref="AA5:AA6"/>
    <mergeCell ref="AB5:AB6"/>
    <mergeCell ref="AC5:AC6"/>
    <mergeCell ref="T5:T6"/>
    <mergeCell ref="U5:U6"/>
    <mergeCell ref="V5:V6"/>
    <mergeCell ref="W5:W6"/>
    <mergeCell ref="X5:X6"/>
    <mergeCell ref="L5:L6"/>
    <mergeCell ref="M5:M6"/>
    <mergeCell ref="N5:N6"/>
    <mergeCell ref="R3:R4"/>
    <mergeCell ref="AB7:AB8"/>
    <mergeCell ref="AC7:AC8"/>
    <mergeCell ref="T7:T8"/>
    <mergeCell ref="U7:U8"/>
    <mergeCell ref="V7:V8"/>
    <mergeCell ref="W7:W8"/>
    <mergeCell ref="X7:X8"/>
    <mergeCell ref="AC3:AC4"/>
    <mergeCell ref="Q5:Q6"/>
    <mergeCell ref="Y3:Y4"/>
    <mergeCell ref="Z3:Z4"/>
    <mergeCell ref="AA3:AA4"/>
    <mergeCell ref="AB3:AB4"/>
    <mergeCell ref="P3:P4"/>
    <mergeCell ref="Q3:Q4"/>
    <mergeCell ref="F3:F4"/>
    <mergeCell ref="G3:G4"/>
    <mergeCell ref="H3:H4"/>
    <mergeCell ref="I3:I4"/>
    <mergeCell ref="A7:A8"/>
    <mergeCell ref="B7:B8"/>
    <mergeCell ref="C7:C8"/>
    <mergeCell ref="D7:D8"/>
    <mergeCell ref="E7:E8"/>
    <mergeCell ref="A5:A6"/>
    <mergeCell ref="B5:B6"/>
    <mergeCell ref="C5:C6"/>
    <mergeCell ref="D5:D6"/>
    <mergeCell ref="E5:E6"/>
    <mergeCell ref="F5:F6"/>
    <mergeCell ref="G5:G6"/>
    <mergeCell ref="H5:H6"/>
    <mergeCell ref="I5:I6"/>
    <mergeCell ref="J5:J6"/>
    <mergeCell ref="K5:K6"/>
    <mergeCell ref="BC1:BL1"/>
    <mergeCell ref="BM1:BW1"/>
    <mergeCell ref="BX1:BZ1"/>
    <mergeCell ref="A3:A4"/>
    <mergeCell ref="B3:B4"/>
    <mergeCell ref="C3:C4"/>
    <mergeCell ref="D3:D4"/>
    <mergeCell ref="E3:E4"/>
    <mergeCell ref="A1:AI1"/>
    <mergeCell ref="AJ1:AX1"/>
    <mergeCell ref="AY1:BB1"/>
    <mergeCell ref="S3:S4"/>
    <mergeCell ref="T3:T4"/>
    <mergeCell ref="U3:U4"/>
    <mergeCell ref="V3:V4"/>
    <mergeCell ref="W3:W4"/>
    <mergeCell ref="J3:J4"/>
    <mergeCell ref="K3:K4"/>
    <mergeCell ref="L3:L4"/>
    <mergeCell ref="M3:M4"/>
    <mergeCell ref="N3:N4"/>
    <mergeCell ref="O3:O4"/>
    <mergeCell ref="B9:B10"/>
    <mergeCell ref="C9:C10"/>
    <mergeCell ref="D9:D10"/>
    <mergeCell ref="A11:A12"/>
    <mergeCell ref="B11:B12"/>
    <mergeCell ref="C11:C12"/>
    <mergeCell ref="D11:D12"/>
    <mergeCell ref="A9:A10"/>
    <mergeCell ref="E11:E12"/>
    <mergeCell ref="E9:E10"/>
    <mergeCell ref="A13:A14"/>
    <mergeCell ref="B13:B14"/>
    <mergeCell ref="C13:C14"/>
    <mergeCell ref="D13:D14"/>
    <mergeCell ref="E13:E14"/>
    <mergeCell ref="A15:A16"/>
    <mergeCell ref="B15:B16"/>
    <mergeCell ref="C15:C16"/>
    <mergeCell ref="D15:D16"/>
    <mergeCell ref="E15:E16"/>
    <mergeCell ref="BX20:BX21"/>
    <mergeCell ref="BY20:BY21"/>
    <mergeCell ref="J20:J21"/>
    <mergeCell ref="K20:K21"/>
    <mergeCell ref="AI20:AI21"/>
    <mergeCell ref="C34:E34"/>
    <mergeCell ref="C26:D26"/>
    <mergeCell ref="E26:F26"/>
    <mergeCell ref="A17:A18"/>
    <mergeCell ref="B17:B18"/>
    <mergeCell ref="C17:C18"/>
    <mergeCell ref="D17:D18"/>
    <mergeCell ref="E17:E18"/>
    <mergeCell ref="A20:A21"/>
    <mergeCell ref="B20:B21"/>
    <mergeCell ref="C20:C21"/>
    <mergeCell ref="D20:D21"/>
    <mergeCell ref="E20:E21"/>
    <mergeCell ref="R17:R18"/>
    <mergeCell ref="S17:S18"/>
    <mergeCell ref="T17:T18"/>
    <mergeCell ref="U17:U18"/>
    <mergeCell ref="V17:V18"/>
    <mergeCell ref="W17:W18"/>
  </mergeCells>
  <phoneticPr fontId="6" type="noConversion"/>
  <conditionalFormatting sqref="AY3:BB21">
    <cfRule type="containsText" dxfId="10" priority="1" operator="containsText" text="YES">
      <formula>NOT(ISERROR(SEARCH("YES",AY3)))</formula>
    </cfRule>
  </conditionalFormatting>
  <hyperlinks>
    <hyperlink ref="K15" r:id="rId1" xr:uid="{B332D1E3-CAE3-4714-BB71-4C45CC36E237}"/>
    <hyperlink ref="X11:X12" r:id="rId2" display="consiliul@hincesti.md" xr:uid="{1570B523-6BC9-410C-8A1D-6E075F615590}"/>
    <hyperlink ref="K15:K16" r:id="rId3" display="denisa.lazurca@nord-vest.ro; ovidiu.marginean@nord-vest.ro" xr:uid="{7215DEA4-4208-419C-8688-22CB381279F0}"/>
    <hyperlink ref="AL8" r:id="rId4" xr:uid="{BDCA9F48-91B3-454E-B559-31F20B0766AF}"/>
    <hyperlink ref="AL20" r:id="rId5" xr:uid="{BEE30371-59B5-4447-983E-06A8E143C91F}"/>
    <hyperlink ref="AM20" r:id="rId6" xr:uid="{294AEE8D-5C87-4E84-AA6B-C9C73C40579B}"/>
    <hyperlink ref="AL21" r:id="rId7" xr:uid="{4FB34336-E5D4-4062-852B-AEE9A4139B8F}"/>
    <hyperlink ref="AL5" r:id="rId8" xr:uid="{EEB4403F-DB72-4C7C-9F82-C1918140C71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D8F9D3A-9A16-4D28-9BFC-7D893C5AAAFA}">
          <x14:formula1>
            <xm:f>Hoja1!$A$1:$A$2</xm:f>
          </x14:formula1>
          <xm:sqref>AY3:BB21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2BA9B-B3E9-4EC2-978C-954A2E0DE233}">
  <dimension ref="A1:BU67"/>
  <sheetViews>
    <sheetView workbookViewId="0">
      <pane xSplit="3" ySplit="2" topLeftCell="Z3" activePane="bottomRight" state="frozen"/>
      <selection pane="topRight" activeCell="C1" sqref="C1"/>
      <selection pane="bottomLeft" activeCell="A3" sqref="A3"/>
      <selection pane="bottomRight" activeCell="AC18" sqref="AC18"/>
    </sheetView>
  </sheetViews>
  <sheetFormatPr baseColWidth="10" defaultColWidth="19.5" defaultRowHeight="52" customHeight="1"/>
  <cols>
    <col min="1" max="1" width="10.83203125" style="1" customWidth="1"/>
    <col min="2" max="3" width="19.5" style="1" customWidth="1"/>
    <col min="4" max="4" width="24.83203125" style="1" customWidth="1"/>
    <col min="5" max="21" width="19.5" style="1" customWidth="1"/>
    <col min="22" max="23" width="50.5" style="1" customWidth="1"/>
    <col min="24" max="24" width="19.5" style="1" customWidth="1"/>
    <col min="25" max="25" width="9.5" style="1" customWidth="1"/>
    <col min="26" max="28" width="9.1640625" style="1"/>
    <col min="29" max="32" width="14.5" style="1" customWidth="1"/>
    <col min="33" max="33" width="15.83203125" style="1" customWidth="1"/>
    <col min="34" max="36" width="14.5" style="1" customWidth="1"/>
    <col min="37" max="37" width="15.5" style="1" customWidth="1"/>
    <col min="38" max="38" width="16.5" style="1" customWidth="1"/>
    <col min="39" max="43" width="9.1640625" style="1"/>
    <col min="44" max="45" width="12.5" style="1" customWidth="1"/>
    <col min="46" max="46" width="9.1640625" style="1"/>
    <col min="47" max="47" width="38" style="1" customWidth="1"/>
    <col min="48" max="48" width="35.1640625" style="1" customWidth="1"/>
    <col min="49" max="16384" width="19.5" style="1"/>
  </cols>
  <sheetData>
    <row r="1" spans="1:49" ht="30" customHeight="1">
      <c r="A1" s="33"/>
      <c r="B1" s="1211" t="s">
        <v>2160</v>
      </c>
      <c r="C1" s="1211"/>
      <c r="D1" s="1211"/>
      <c r="E1" s="1211"/>
      <c r="F1" s="1211"/>
      <c r="G1" s="1212" t="s">
        <v>2161</v>
      </c>
      <c r="H1" s="1212"/>
      <c r="I1" s="1212"/>
      <c r="J1" s="1212"/>
      <c r="K1" s="1212"/>
      <c r="L1" s="1212"/>
      <c r="M1" s="1212"/>
      <c r="N1" s="1212"/>
      <c r="O1" s="1212"/>
      <c r="P1" s="1213" t="s">
        <v>2162</v>
      </c>
      <c r="Q1" s="1213"/>
      <c r="R1" s="1213"/>
      <c r="S1" s="1213"/>
      <c r="T1" s="1213"/>
      <c r="U1" s="1213"/>
      <c r="V1" s="1214" t="s">
        <v>2163</v>
      </c>
      <c r="W1" s="1214"/>
      <c r="X1" s="1214"/>
      <c r="Y1" s="1215" t="s">
        <v>2164</v>
      </c>
      <c r="Z1" s="1215"/>
      <c r="AA1" s="1215"/>
      <c r="AB1" s="1215"/>
      <c r="AC1" s="1216" t="s">
        <v>3</v>
      </c>
      <c r="AD1" s="1216"/>
      <c r="AE1" s="1216"/>
      <c r="AF1" s="1216"/>
      <c r="AG1" s="1216"/>
      <c r="AH1" s="1216"/>
      <c r="AI1" s="1216"/>
      <c r="AJ1" s="1216"/>
      <c r="AK1" s="1216"/>
      <c r="AL1" s="34"/>
      <c r="AM1" s="1210" t="s">
        <v>2165</v>
      </c>
      <c r="AN1" s="1210"/>
      <c r="AO1" s="1210"/>
      <c r="AP1" s="1210"/>
      <c r="AQ1" s="1210"/>
      <c r="AR1" s="1210"/>
      <c r="AS1" s="1210"/>
      <c r="AT1" s="1210"/>
      <c r="AU1" s="1209" t="s">
        <v>2166</v>
      </c>
      <c r="AV1" s="1209"/>
      <c r="AW1" s="1209"/>
    </row>
    <row r="2" spans="1:49" ht="51.75" customHeight="1">
      <c r="B2" s="35" t="s">
        <v>2167</v>
      </c>
      <c r="C2" s="35" t="s">
        <v>2168</v>
      </c>
      <c r="D2" s="35" t="s">
        <v>2169</v>
      </c>
      <c r="E2" s="35" t="s">
        <v>2170</v>
      </c>
      <c r="F2" s="35" t="s">
        <v>2171</v>
      </c>
      <c r="G2" s="36" t="s">
        <v>2172</v>
      </c>
      <c r="H2" s="36" t="s">
        <v>2173</v>
      </c>
      <c r="I2" s="36" t="s">
        <v>2174</v>
      </c>
      <c r="J2" s="36" t="s">
        <v>2175</v>
      </c>
      <c r="K2" s="36" t="s">
        <v>2176</v>
      </c>
      <c r="L2" s="36" t="s">
        <v>2177</v>
      </c>
      <c r="M2" s="36" t="s">
        <v>2178</v>
      </c>
      <c r="N2" s="36" t="s">
        <v>2179</v>
      </c>
      <c r="O2" s="36" t="s">
        <v>2180</v>
      </c>
      <c r="P2" s="37" t="s">
        <v>2181</v>
      </c>
      <c r="Q2" s="37" t="s">
        <v>2182</v>
      </c>
      <c r="R2" s="37" t="s">
        <v>2183</v>
      </c>
      <c r="S2" s="37" t="s">
        <v>2181</v>
      </c>
      <c r="T2" s="37" t="s">
        <v>2182</v>
      </c>
      <c r="U2" s="37" t="s">
        <v>2183</v>
      </c>
      <c r="V2" s="38" t="s">
        <v>2184</v>
      </c>
      <c r="W2" s="39" t="s">
        <v>2185</v>
      </c>
      <c r="X2" s="39" t="s">
        <v>2186</v>
      </c>
      <c r="Y2" s="40" t="s">
        <v>64</v>
      </c>
      <c r="Z2" s="40" t="s">
        <v>65</v>
      </c>
      <c r="AA2" s="40" t="s">
        <v>66</v>
      </c>
      <c r="AB2" s="40" t="s">
        <v>67</v>
      </c>
      <c r="AC2" s="41" t="s">
        <v>68</v>
      </c>
      <c r="AD2" s="41" t="s">
        <v>69</v>
      </c>
      <c r="AE2" s="41" t="s">
        <v>57</v>
      </c>
      <c r="AF2" s="41" t="s">
        <v>70</v>
      </c>
      <c r="AG2" s="41" t="s">
        <v>71</v>
      </c>
      <c r="AH2" s="41" t="s">
        <v>72</v>
      </c>
      <c r="AI2" s="41" t="s">
        <v>73</v>
      </c>
      <c r="AJ2" s="41" t="s">
        <v>70</v>
      </c>
      <c r="AK2" s="41" t="s">
        <v>71</v>
      </c>
      <c r="AL2" s="41" t="s">
        <v>74</v>
      </c>
      <c r="AM2" s="42" t="s">
        <v>2187</v>
      </c>
      <c r="AN2" s="43">
        <v>45942</v>
      </c>
      <c r="AO2" s="43">
        <v>45943</v>
      </c>
      <c r="AP2" s="43">
        <v>45944</v>
      </c>
      <c r="AQ2" s="43">
        <v>45945</v>
      </c>
      <c r="AR2" s="42" t="s">
        <v>75</v>
      </c>
      <c r="AS2" s="42" t="s">
        <v>76</v>
      </c>
      <c r="AT2" s="42" t="s">
        <v>2188</v>
      </c>
      <c r="AU2" s="40" t="s">
        <v>2185</v>
      </c>
      <c r="AV2" s="40" t="s">
        <v>81</v>
      </c>
      <c r="AW2" s="40" t="s">
        <v>82</v>
      </c>
    </row>
    <row r="3" spans="1:49" ht="15" customHeight="1">
      <c r="A3" s="44">
        <v>1</v>
      </c>
      <c r="B3" s="45" t="s">
        <v>2189</v>
      </c>
      <c r="C3" s="45" t="s">
        <v>2190</v>
      </c>
      <c r="D3" s="45" t="s">
        <v>2191</v>
      </c>
      <c r="E3" s="45" t="s">
        <v>2192</v>
      </c>
      <c r="F3" s="45" t="s">
        <v>2193</v>
      </c>
      <c r="G3" s="45" t="s">
        <v>97</v>
      </c>
      <c r="H3" s="45" t="s">
        <v>121</v>
      </c>
      <c r="I3" s="45" t="s">
        <v>1149</v>
      </c>
      <c r="J3" s="45" t="s">
        <v>2194</v>
      </c>
      <c r="K3" s="45" t="s">
        <v>2195</v>
      </c>
      <c r="L3" s="45" t="s">
        <v>1149</v>
      </c>
      <c r="M3" s="45" t="s">
        <v>2196</v>
      </c>
      <c r="N3" s="45" t="s">
        <v>2197</v>
      </c>
      <c r="O3" s="45" t="s">
        <v>97</v>
      </c>
      <c r="P3" s="45" t="s">
        <v>2198</v>
      </c>
      <c r="Q3" s="45" t="s">
        <v>2199</v>
      </c>
      <c r="R3" s="45" t="s">
        <v>2200</v>
      </c>
      <c r="S3" s="45" t="s">
        <v>2201</v>
      </c>
      <c r="T3" s="45" t="s">
        <v>2202</v>
      </c>
      <c r="U3" s="46" t="s">
        <v>2203</v>
      </c>
      <c r="V3" s="29" t="s">
        <v>2204</v>
      </c>
      <c r="W3" s="47"/>
      <c r="X3" s="47"/>
      <c r="Y3" s="48" t="s">
        <v>98</v>
      </c>
      <c r="Z3" s="48" t="s">
        <v>98</v>
      </c>
      <c r="AA3" s="48" t="s">
        <v>98</v>
      </c>
      <c r="AB3" s="48" t="s">
        <v>98</v>
      </c>
      <c r="AC3" s="48" t="s">
        <v>1149</v>
      </c>
      <c r="AD3" s="49" t="s">
        <v>2205</v>
      </c>
      <c r="AE3" s="50">
        <v>45942</v>
      </c>
      <c r="AF3" s="49" t="s">
        <v>2206</v>
      </c>
      <c r="AG3" s="49" t="s">
        <v>2207</v>
      </c>
      <c r="AH3" s="48" t="s">
        <v>1149</v>
      </c>
      <c r="AI3" s="50">
        <v>45945</v>
      </c>
      <c r="AJ3" s="49" t="s">
        <v>2208</v>
      </c>
      <c r="AK3" s="49" t="s">
        <v>2209</v>
      </c>
      <c r="AL3" s="51">
        <v>537.22</v>
      </c>
      <c r="AM3" s="48" t="s">
        <v>2210</v>
      </c>
      <c r="AN3" s="52">
        <v>1</v>
      </c>
      <c r="AO3" s="52">
        <v>1</v>
      </c>
      <c r="AP3" s="52">
        <v>1</v>
      </c>
      <c r="AQ3" s="52">
        <v>0</v>
      </c>
      <c r="AR3" s="50">
        <v>45942</v>
      </c>
      <c r="AS3" s="50">
        <v>45945</v>
      </c>
      <c r="AT3" s="48">
        <v>3</v>
      </c>
      <c r="AU3" s="48"/>
      <c r="AV3" s="48"/>
      <c r="AW3" s="48"/>
    </row>
    <row r="4" spans="1:49" ht="15" customHeight="1">
      <c r="A4" s="44">
        <v>2</v>
      </c>
      <c r="B4" s="45" t="s">
        <v>2211</v>
      </c>
      <c r="C4" s="45" t="s">
        <v>2212</v>
      </c>
      <c r="D4" s="45" t="s">
        <v>2213</v>
      </c>
      <c r="E4" s="45" t="s">
        <v>2214</v>
      </c>
      <c r="F4" s="45" t="s">
        <v>2215</v>
      </c>
      <c r="G4" s="45" t="s">
        <v>97</v>
      </c>
      <c r="H4" s="45" t="s">
        <v>154</v>
      </c>
      <c r="I4" s="45" t="s">
        <v>2216</v>
      </c>
      <c r="J4" s="45" t="s">
        <v>2217</v>
      </c>
      <c r="K4" s="45" t="s">
        <v>2218</v>
      </c>
      <c r="L4" s="45" t="s">
        <v>2216</v>
      </c>
      <c r="M4" s="45" t="s">
        <v>2219</v>
      </c>
      <c r="N4" s="45" t="s">
        <v>2220</v>
      </c>
      <c r="O4" s="45" t="s">
        <v>97</v>
      </c>
      <c r="P4" s="45" t="s">
        <v>2221</v>
      </c>
      <c r="Q4" s="45" t="s">
        <v>2222</v>
      </c>
      <c r="R4" s="45" t="s">
        <v>2223</v>
      </c>
      <c r="S4" s="45" t="s">
        <v>2224</v>
      </c>
      <c r="T4" s="45" t="s">
        <v>2225</v>
      </c>
      <c r="U4" s="46" t="s">
        <v>2203</v>
      </c>
      <c r="V4" s="29" t="s">
        <v>2226</v>
      </c>
      <c r="W4" s="47"/>
      <c r="X4" s="47"/>
      <c r="Y4" s="48" t="s">
        <v>98</v>
      </c>
      <c r="Z4" s="48" t="s">
        <v>98</v>
      </c>
      <c r="AA4" s="48" t="s">
        <v>98</v>
      </c>
      <c r="AB4" s="48" t="s">
        <v>98</v>
      </c>
      <c r="AC4" s="48" t="s">
        <v>2216</v>
      </c>
      <c r="AD4" s="48" t="s">
        <v>2227</v>
      </c>
      <c r="AE4" s="50">
        <v>45944</v>
      </c>
      <c r="AF4" s="48"/>
      <c r="AG4" s="48"/>
      <c r="AH4" s="48" t="s">
        <v>2216</v>
      </c>
      <c r="AI4" s="50">
        <v>45946</v>
      </c>
      <c r="AJ4" s="48" t="s">
        <v>2228</v>
      </c>
      <c r="AK4" s="48" t="s">
        <v>1613</v>
      </c>
      <c r="AL4" s="51">
        <v>169</v>
      </c>
      <c r="AM4" s="48" t="s">
        <v>2210</v>
      </c>
      <c r="AN4" s="52">
        <v>0</v>
      </c>
      <c r="AO4" s="52">
        <v>0</v>
      </c>
      <c r="AP4" s="52">
        <v>1</v>
      </c>
      <c r="AQ4" s="52">
        <v>1</v>
      </c>
      <c r="AR4" s="50">
        <v>45944</v>
      </c>
      <c r="AS4" s="50">
        <v>45946</v>
      </c>
      <c r="AT4" s="48">
        <v>2</v>
      </c>
      <c r="AU4" s="48"/>
      <c r="AV4" s="32"/>
      <c r="AW4" s="48"/>
    </row>
    <row r="5" spans="1:49" ht="15" customHeight="1">
      <c r="A5" s="44">
        <v>3</v>
      </c>
      <c r="B5" s="45" t="s">
        <v>2229</v>
      </c>
      <c r="C5" s="45" t="s">
        <v>2230</v>
      </c>
      <c r="D5" s="45" t="s">
        <v>2231</v>
      </c>
      <c r="E5" s="45" t="s">
        <v>2232</v>
      </c>
      <c r="F5" s="45" t="s">
        <v>2233</v>
      </c>
      <c r="G5" s="45" t="s">
        <v>97</v>
      </c>
      <c r="H5" s="45" t="s">
        <v>121</v>
      </c>
      <c r="I5" s="45" t="s">
        <v>2234</v>
      </c>
      <c r="J5" s="45" t="s">
        <v>2235</v>
      </c>
      <c r="K5" s="45" t="s">
        <v>2236</v>
      </c>
      <c r="L5" s="45" t="s">
        <v>2234</v>
      </c>
      <c r="M5" s="53" t="s">
        <v>2219</v>
      </c>
      <c r="N5" s="45" t="s">
        <v>2237</v>
      </c>
      <c r="O5" s="45" t="s">
        <v>97</v>
      </c>
      <c r="P5" s="45" t="s">
        <v>2221</v>
      </c>
      <c r="Q5" s="45" t="s">
        <v>2222</v>
      </c>
      <c r="R5" s="45" t="s">
        <v>2223</v>
      </c>
      <c r="S5" s="45" t="s">
        <v>2224</v>
      </c>
      <c r="T5" s="45" t="s">
        <v>2238</v>
      </c>
      <c r="U5" s="46" t="s">
        <v>2239</v>
      </c>
      <c r="V5" s="29" t="s">
        <v>2204</v>
      </c>
      <c r="W5" s="47"/>
      <c r="X5" s="47"/>
      <c r="Y5" s="48" t="s">
        <v>98</v>
      </c>
      <c r="Z5" s="48" t="s">
        <v>98</v>
      </c>
      <c r="AA5" s="48" t="s">
        <v>98</v>
      </c>
      <c r="AB5" s="48" t="s">
        <v>98</v>
      </c>
      <c r="AC5" s="48" t="s">
        <v>2234</v>
      </c>
      <c r="AD5" s="48" t="s">
        <v>126</v>
      </c>
      <c r="AE5" s="50">
        <v>45942</v>
      </c>
      <c r="AF5" s="48" t="s">
        <v>2240</v>
      </c>
      <c r="AG5" s="48" t="s">
        <v>2241</v>
      </c>
      <c r="AH5" s="48" t="s">
        <v>2234</v>
      </c>
      <c r="AI5" s="50">
        <v>45946</v>
      </c>
      <c r="AJ5" s="48" t="s">
        <v>2242</v>
      </c>
      <c r="AK5" s="48" t="s">
        <v>2243</v>
      </c>
      <c r="AL5" s="51">
        <v>531.1</v>
      </c>
      <c r="AM5" s="48" t="s">
        <v>2210</v>
      </c>
      <c r="AN5" s="52">
        <v>1</v>
      </c>
      <c r="AO5" s="52">
        <v>1</v>
      </c>
      <c r="AP5" s="52">
        <v>1</v>
      </c>
      <c r="AQ5" s="52">
        <v>1</v>
      </c>
      <c r="AR5" s="50">
        <v>45942</v>
      </c>
      <c r="AS5" s="50">
        <v>45946</v>
      </c>
      <c r="AT5" s="48">
        <v>4</v>
      </c>
      <c r="AU5" s="48"/>
      <c r="AV5" s="48"/>
      <c r="AW5" s="48"/>
    </row>
    <row r="6" spans="1:49" ht="15" customHeight="1">
      <c r="A6" s="44">
        <v>4</v>
      </c>
      <c r="B6" s="45" t="s">
        <v>2244</v>
      </c>
      <c r="C6" s="45" t="s">
        <v>2245</v>
      </c>
      <c r="D6" s="45" t="s">
        <v>2246</v>
      </c>
      <c r="E6" s="45" t="s">
        <v>2247</v>
      </c>
      <c r="F6" s="45" t="s">
        <v>2248</v>
      </c>
      <c r="G6" s="45" t="s">
        <v>97</v>
      </c>
      <c r="H6" s="45" t="s">
        <v>121</v>
      </c>
      <c r="I6" s="45" t="s">
        <v>2234</v>
      </c>
      <c r="J6" s="45" t="s">
        <v>2235</v>
      </c>
      <c r="K6" s="45" t="s">
        <v>2236</v>
      </c>
      <c r="L6" s="45" t="s">
        <v>2234</v>
      </c>
      <c r="M6" s="53" t="s">
        <v>2219</v>
      </c>
      <c r="N6" s="45" t="s">
        <v>2237</v>
      </c>
      <c r="O6" s="45" t="s">
        <v>97</v>
      </c>
      <c r="P6" s="45" t="s">
        <v>2221</v>
      </c>
      <c r="Q6" s="45" t="s">
        <v>2222</v>
      </c>
      <c r="R6" s="45" t="s">
        <v>2249</v>
      </c>
      <c r="S6" s="45" t="s">
        <v>2250</v>
      </c>
      <c r="T6" s="45" t="s">
        <v>2238</v>
      </c>
      <c r="U6" s="46" t="s">
        <v>2239</v>
      </c>
      <c r="V6" s="29" t="s">
        <v>2204</v>
      </c>
      <c r="W6" s="47"/>
      <c r="X6" s="47"/>
      <c r="Y6" s="48" t="s">
        <v>98</v>
      </c>
      <c r="Z6" s="48" t="s">
        <v>98</v>
      </c>
      <c r="AA6" s="48" t="s">
        <v>98</v>
      </c>
      <c r="AB6" s="48" t="s">
        <v>98</v>
      </c>
      <c r="AC6" s="48" t="s">
        <v>2234</v>
      </c>
      <c r="AD6" s="48" t="s">
        <v>2251</v>
      </c>
      <c r="AE6" s="50">
        <v>45942</v>
      </c>
      <c r="AF6" s="48" t="s">
        <v>2240</v>
      </c>
      <c r="AG6" s="48" t="s">
        <v>2241</v>
      </c>
      <c r="AH6" s="48" t="s">
        <v>2234</v>
      </c>
      <c r="AI6" s="50">
        <v>45946</v>
      </c>
      <c r="AJ6" s="48" t="s">
        <v>2242</v>
      </c>
      <c r="AK6" s="48" t="s">
        <v>2243</v>
      </c>
      <c r="AL6" s="826" t="s">
        <v>2252</v>
      </c>
      <c r="AM6" s="48" t="s">
        <v>2210</v>
      </c>
      <c r="AN6" s="52">
        <v>1</v>
      </c>
      <c r="AO6" s="52">
        <v>1</v>
      </c>
      <c r="AP6" s="52">
        <v>1</v>
      </c>
      <c r="AQ6" s="52">
        <v>1</v>
      </c>
      <c r="AR6" s="50">
        <v>45942</v>
      </c>
      <c r="AS6" s="50">
        <v>45946</v>
      </c>
      <c r="AT6" s="48">
        <v>4</v>
      </c>
      <c r="AU6" s="48"/>
      <c r="AV6" s="48"/>
      <c r="AW6" s="48"/>
    </row>
    <row r="7" spans="1:49" ht="15" customHeight="1">
      <c r="A7" s="44">
        <v>5</v>
      </c>
      <c r="B7" s="45" t="s">
        <v>2253</v>
      </c>
      <c r="C7" s="58" t="s">
        <v>2254</v>
      </c>
      <c r="D7" s="45" t="s">
        <v>2255</v>
      </c>
      <c r="E7" s="45" t="s">
        <v>2256</v>
      </c>
      <c r="F7" s="45" t="s">
        <v>2257</v>
      </c>
      <c r="G7" s="45" t="s">
        <v>97</v>
      </c>
      <c r="H7" s="45" t="s">
        <v>121</v>
      </c>
      <c r="I7" s="45" t="s">
        <v>2258</v>
      </c>
      <c r="J7" s="45" t="s">
        <v>2259</v>
      </c>
      <c r="K7" s="45" t="s">
        <v>2260</v>
      </c>
      <c r="L7" s="45" t="s">
        <v>2258</v>
      </c>
      <c r="M7" s="45" t="s">
        <v>2261</v>
      </c>
      <c r="N7" s="45" t="s">
        <v>2262</v>
      </c>
      <c r="O7" s="45" t="s">
        <v>97</v>
      </c>
      <c r="P7" s="45" t="s">
        <v>2263</v>
      </c>
      <c r="Q7" s="45" t="s">
        <v>2222</v>
      </c>
      <c r="R7" s="45" t="s">
        <v>2223</v>
      </c>
      <c r="S7" s="45" t="s">
        <v>2224</v>
      </c>
      <c r="T7" s="45" t="s">
        <v>2238</v>
      </c>
      <c r="U7" s="46" t="s">
        <v>2239</v>
      </c>
      <c r="V7" s="29" t="s">
        <v>2204</v>
      </c>
      <c r="W7" s="47"/>
      <c r="X7" s="47"/>
      <c r="Y7" s="48" t="s">
        <v>98</v>
      </c>
      <c r="Z7" s="48" t="s">
        <v>98</v>
      </c>
      <c r="AA7" s="48" t="s">
        <v>98</v>
      </c>
      <c r="AB7" s="48" t="s">
        <v>98</v>
      </c>
      <c r="AC7" s="48" t="s">
        <v>2258</v>
      </c>
      <c r="AD7" s="48" t="s">
        <v>126</v>
      </c>
      <c r="AE7" s="50">
        <v>45942</v>
      </c>
      <c r="AF7" s="48" t="s">
        <v>2264</v>
      </c>
      <c r="AG7" s="48" t="s">
        <v>2265</v>
      </c>
      <c r="AH7" s="48" t="s">
        <v>2258</v>
      </c>
      <c r="AI7" s="50">
        <v>45946</v>
      </c>
      <c r="AJ7" s="48" t="s">
        <v>2266</v>
      </c>
      <c r="AK7" s="48" t="s">
        <v>1847</v>
      </c>
      <c r="AL7" s="826" t="s">
        <v>2267</v>
      </c>
      <c r="AM7" s="48" t="s">
        <v>2210</v>
      </c>
      <c r="AN7" s="52">
        <v>1</v>
      </c>
      <c r="AO7" s="52">
        <v>1</v>
      </c>
      <c r="AP7" s="52">
        <v>1</v>
      </c>
      <c r="AQ7" s="52">
        <v>1</v>
      </c>
      <c r="AR7" s="50">
        <v>45942</v>
      </c>
      <c r="AS7" s="50">
        <v>45946</v>
      </c>
      <c r="AT7" s="48">
        <v>4</v>
      </c>
      <c r="AU7" s="48"/>
      <c r="AV7" s="48"/>
      <c r="AW7" s="48"/>
    </row>
    <row r="8" spans="1:49" ht="15" customHeight="1">
      <c r="A8" s="44">
        <v>6</v>
      </c>
      <c r="B8" s="45" t="s">
        <v>2268</v>
      </c>
      <c r="C8" s="45" t="s">
        <v>2269</v>
      </c>
      <c r="D8" s="45" t="s">
        <v>2270</v>
      </c>
      <c r="E8" s="45" t="s">
        <v>2271</v>
      </c>
      <c r="F8" s="45" t="s">
        <v>2272</v>
      </c>
      <c r="G8" s="45" t="s">
        <v>97</v>
      </c>
      <c r="H8" s="45" t="s">
        <v>121</v>
      </c>
      <c r="I8" s="45" t="s">
        <v>1410</v>
      </c>
      <c r="J8" s="45" t="s">
        <v>2259</v>
      </c>
      <c r="K8" s="45" t="s">
        <v>2273</v>
      </c>
      <c r="L8" s="45" t="s">
        <v>1410</v>
      </c>
      <c r="M8" s="45" t="s">
        <v>509</v>
      </c>
      <c r="N8" s="45" t="s">
        <v>445</v>
      </c>
      <c r="O8" s="45" t="s">
        <v>97</v>
      </c>
      <c r="P8" s="45" t="s">
        <v>2198</v>
      </c>
      <c r="Q8" s="45" t="s">
        <v>2222</v>
      </c>
      <c r="R8" s="45" t="s">
        <v>2223</v>
      </c>
      <c r="S8" s="45" t="s">
        <v>2224</v>
      </c>
      <c r="T8" s="45" t="s">
        <v>2238</v>
      </c>
      <c r="U8" s="46" t="s">
        <v>2203</v>
      </c>
      <c r="V8" s="29" t="s">
        <v>2204</v>
      </c>
      <c r="W8" s="47"/>
      <c r="X8" s="47"/>
      <c r="Y8" s="48" t="s">
        <v>98</v>
      </c>
      <c r="Z8" s="48" t="s">
        <v>98</v>
      </c>
      <c r="AA8" s="48" t="s">
        <v>98</v>
      </c>
      <c r="AB8" s="48" t="s">
        <v>98</v>
      </c>
      <c r="AC8" s="48" t="s">
        <v>1410</v>
      </c>
      <c r="AD8" s="49" t="s">
        <v>2205</v>
      </c>
      <c r="AE8" s="50">
        <v>45942</v>
      </c>
      <c r="AF8" s="49" t="s">
        <v>2274</v>
      </c>
      <c r="AG8" s="49" t="s">
        <v>2275</v>
      </c>
      <c r="AH8" s="48" t="s">
        <v>1410</v>
      </c>
      <c r="AI8" s="50">
        <v>45946</v>
      </c>
      <c r="AJ8" s="49" t="s">
        <v>2276</v>
      </c>
      <c r="AK8" s="49" t="s">
        <v>2277</v>
      </c>
      <c r="AL8" s="51">
        <v>439.34</v>
      </c>
      <c r="AM8" s="48" t="s">
        <v>2210</v>
      </c>
      <c r="AN8" s="52">
        <v>1</v>
      </c>
      <c r="AO8" s="52">
        <v>1</v>
      </c>
      <c r="AP8" s="52">
        <v>1</v>
      </c>
      <c r="AQ8" s="52">
        <v>1</v>
      </c>
      <c r="AR8" s="50">
        <v>45942</v>
      </c>
      <c r="AS8" s="50">
        <v>45946</v>
      </c>
      <c r="AT8" s="48">
        <v>4</v>
      </c>
      <c r="AU8" s="48"/>
      <c r="AV8" s="48"/>
      <c r="AW8" s="48"/>
    </row>
    <row r="9" spans="1:49" ht="15" customHeight="1">
      <c r="A9" s="44">
        <v>7</v>
      </c>
      <c r="B9" s="45" t="s">
        <v>2278</v>
      </c>
      <c r="C9" s="45" t="s">
        <v>2279</v>
      </c>
      <c r="D9" s="45" t="s">
        <v>2280</v>
      </c>
      <c r="E9" s="45" t="s">
        <v>2281</v>
      </c>
      <c r="F9" s="45" t="s">
        <v>2282</v>
      </c>
      <c r="G9" s="45" t="s">
        <v>97</v>
      </c>
      <c r="H9" s="45" t="s">
        <v>121</v>
      </c>
      <c r="I9" s="45" t="s">
        <v>2283</v>
      </c>
      <c r="J9" s="45" t="s">
        <v>2217</v>
      </c>
      <c r="K9" s="45" t="s">
        <v>2284</v>
      </c>
      <c r="L9" s="45" t="s">
        <v>2283</v>
      </c>
      <c r="M9" s="45" t="s">
        <v>2219</v>
      </c>
      <c r="N9" s="45" t="s">
        <v>842</v>
      </c>
      <c r="O9" s="45" t="s">
        <v>97</v>
      </c>
      <c r="P9" s="45" t="s">
        <v>2198</v>
      </c>
      <c r="Q9" s="45" t="s">
        <v>2222</v>
      </c>
      <c r="R9" s="45" t="s">
        <v>2223</v>
      </c>
      <c r="S9" s="45" t="s">
        <v>2201</v>
      </c>
      <c r="T9" s="45" t="s">
        <v>2238</v>
      </c>
      <c r="U9" s="46" t="s">
        <v>2203</v>
      </c>
      <c r="V9" s="54" t="s">
        <v>2285</v>
      </c>
      <c r="W9" s="172"/>
      <c r="X9" s="47"/>
      <c r="Y9" s="48" t="s">
        <v>98</v>
      </c>
      <c r="Z9" s="48" t="s">
        <v>98</v>
      </c>
      <c r="AA9" s="48" t="s">
        <v>98</v>
      </c>
      <c r="AB9" s="48" t="s">
        <v>98</v>
      </c>
      <c r="AC9" s="48" t="s">
        <v>2283</v>
      </c>
      <c r="AD9" s="48" t="s">
        <v>126</v>
      </c>
      <c r="AE9" s="50">
        <v>45942</v>
      </c>
      <c r="AF9" s="48" t="s">
        <v>2286</v>
      </c>
      <c r="AG9" s="48" t="s">
        <v>2287</v>
      </c>
      <c r="AH9" s="48" t="s">
        <v>2283</v>
      </c>
      <c r="AI9" s="50">
        <v>45946</v>
      </c>
      <c r="AJ9" s="48" t="s">
        <v>2288</v>
      </c>
      <c r="AK9" s="48" t="s">
        <v>2289</v>
      </c>
      <c r="AL9" s="51">
        <v>533.58000000000004</v>
      </c>
      <c r="AM9" s="48" t="s">
        <v>2210</v>
      </c>
      <c r="AN9" s="52">
        <v>1</v>
      </c>
      <c r="AO9" s="52">
        <v>1</v>
      </c>
      <c r="AP9" s="52">
        <v>1</v>
      </c>
      <c r="AQ9" s="52">
        <v>1</v>
      </c>
      <c r="AR9" s="50">
        <v>45942</v>
      </c>
      <c r="AS9" s="50">
        <v>45946</v>
      </c>
      <c r="AT9" s="48">
        <v>4</v>
      </c>
      <c r="AU9" s="48"/>
      <c r="AV9" s="48"/>
      <c r="AW9" s="48"/>
    </row>
    <row r="10" spans="1:49" ht="15" customHeight="1">
      <c r="A10" s="44">
        <v>8</v>
      </c>
      <c r="B10" s="45" t="s">
        <v>2290</v>
      </c>
      <c r="C10" s="45" t="s">
        <v>2291</v>
      </c>
      <c r="D10" s="45" t="s">
        <v>2292</v>
      </c>
      <c r="E10" s="45" t="s">
        <v>2293</v>
      </c>
      <c r="F10" s="45" t="s">
        <v>2294</v>
      </c>
      <c r="G10" s="45" t="s">
        <v>97</v>
      </c>
      <c r="H10" s="45" t="s">
        <v>154</v>
      </c>
      <c r="I10" s="45" t="s">
        <v>2295</v>
      </c>
      <c r="J10" s="45" t="s">
        <v>2217</v>
      </c>
      <c r="K10" s="45" t="s">
        <v>157</v>
      </c>
      <c r="L10" s="45" t="s">
        <v>2295</v>
      </c>
      <c r="M10" s="45" t="s">
        <v>2219</v>
      </c>
      <c r="N10" s="45" t="s">
        <v>842</v>
      </c>
      <c r="O10" s="45" t="s">
        <v>97</v>
      </c>
      <c r="P10" s="45" t="s">
        <v>2263</v>
      </c>
      <c r="Q10" s="45" t="s">
        <v>2199</v>
      </c>
      <c r="R10" s="45" t="s">
        <v>2249</v>
      </c>
      <c r="S10" s="45" t="s">
        <v>2201</v>
      </c>
      <c r="T10" s="45" t="s">
        <v>2202</v>
      </c>
      <c r="U10" s="46" t="s">
        <v>2203</v>
      </c>
      <c r="V10" s="29" t="s">
        <v>2204</v>
      </c>
      <c r="W10" s="47"/>
      <c r="X10" s="47"/>
      <c r="Y10" s="48" t="s">
        <v>98</v>
      </c>
      <c r="Z10" s="48" t="s">
        <v>1006</v>
      </c>
      <c r="AA10" s="48" t="s">
        <v>1006</v>
      </c>
      <c r="AB10" s="48" t="s">
        <v>1006</v>
      </c>
      <c r="AC10" s="48" t="s">
        <v>2295</v>
      </c>
      <c r="AD10" s="48"/>
      <c r="AE10" s="48"/>
      <c r="AF10" s="48"/>
      <c r="AG10" s="48"/>
      <c r="AH10" s="48" t="s">
        <v>2295</v>
      </c>
      <c r="AI10" s="48"/>
      <c r="AJ10" s="48"/>
      <c r="AK10" s="48"/>
      <c r="AL10" s="51"/>
      <c r="AM10" s="48" t="s">
        <v>2296</v>
      </c>
      <c r="AN10" s="52">
        <v>0</v>
      </c>
      <c r="AO10" s="52">
        <v>0</v>
      </c>
      <c r="AP10" s="52">
        <v>0</v>
      </c>
      <c r="AQ10" s="52">
        <v>0</v>
      </c>
      <c r="AR10" s="48"/>
      <c r="AS10" s="48"/>
      <c r="AT10" s="48"/>
      <c r="AU10" s="48"/>
      <c r="AV10" s="48"/>
      <c r="AW10" s="48"/>
    </row>
    <row r="11" spans="1:49" ht="15" customHeight="1">
      <c r="A11" s="44">
        <v>9</v>
      </c>
      <c r="B11" s="45" t="s">
        <v>2297</v>
      </c>
      <c r="C11" s="45" t="s">
        <v>2298</v>
      </c>
      <c r="D11" s="45" t="s">
        <v>2299</v>
      </c>
      <c r="E11" s="45" t="s">
        <v>2300</v>
      </c>
      <c r="F11" s="45" t="s">
        <v>2301</v>
      </c>
      <c r="G11" s="45" t="s">
        <v>97</v>
      </c>
      <c r="H11" s="45" t="s">
        <v>121</v>
      </c>
      <c r="I11" s="45" t="s">
        <v>2302</v>
      </c>
      <c r="J11" s="45" t="s">
        <v>2303</v>
      </c>
      <c r="K11" s="45" t="s">
        <v>893</v>
      </c>
      <c r="L11" s="45" t="s">
        <v>2304</v>
      </c>
      <c r="M11" s="55" t="s">
        <v>2305</v>
      </c>
      <c r="N11" s="45" t="s">
        <v>842</v>
      </c>
      <c r="O11" s="45" t="s">
        <v>97</v>
      </c>
      <c r="P11" s="45" t="s">
        <v>2198</v>
      </c>
      <c r="Q11" s="45" t="s">
        <v>2222</v>
      </c>
      <c r="R11" s="45" t="s">
        <v>2200</v>
      </c>
      <c r="S11" s="45" t="s">
        <v>2224</v>
      </c>
      <c r="T11" s="45" t="s">
        <v>2238</v>
      </c>
      <c r="U11" s="46" t="s">
        <v>2203</v>
      </c>
      <c r="V11" s="56" t="s">
        <v>2306</v>
      </c>
      <c r="W11" s="173"/>
      <c r="X11" s="47" t="s">
        <v>2307</v>
      </c>
      <c r="Y11" s="48" t="s">
        <v>98</v>
      </c>
      <c r="Z11" s="48" t="s">
        <v>98</v>
      </c>
      <c r="AA11" s="48" t="s">
        <v>98</v>
      </c>
      <c r="AB11" s="48" t="s">
        <v>98</v>
      </c>
      <c r="AC11" s="48" t="s">
        <v>2302</v>
      </c>
      <c r="AD11" s="49" t="s">
        <v>2205</v>
      </c>
      <c r="AE11" s="50">
        <v>45942</v>
      </c>
      <c r="AF11" s="49" t="s">
        <v>2308</v>
      </c>
      <c r="AG11" s="49" t="s">
        <v>2309</v>
      </c>
      <c r="AH11" s="48" t="s">
        <v>2304</v>
      </c>
      <c r="AI11" s="50">
        <v>45949</v>
      </c>
      <c r="AJ11" s="49" t="s">
        <v>2310</v>
      </c>
      <c r="AK11" s="49" t="s">
        <v>1415</v>
      </c>
      <c r="AL11" s="51">
        <v>397.84</v>
      </c>
      <c r="AM11" s="48" t="s">
        <v>2296</v>
      </c>
      <c r="AN11" s="52">
        <v>1</v>
      </c>
      <c r="AO11" s="52">
        <v>1</v>
      </c>
      <c r="AP11" s="52">
        <v>1</v>
      </c>
      <c r="AQ11" s="52">
        <v>1</v>
      </c>
      <c r="AR11" s="50">
        <v>45942</v>
      </c>
      <c r="AS11" s="50">
        <v>45949</v>
      </c>
      <c r="AT11" s="48">
        <v>4</v>
      </c>
      <c r="AU11" s="48"/>
      <c r="AV11" s="48"/>
      <c r="AW11" s="48"/>
    </row>
    <row r="12" spans="1:49" ht="15" customHeight="1">
      <c r="A12" s="44">
        <v>10</v>
      </c>
      <c r="B12" s="45" t="s">
        <v>2311</v>
      </c>
      <c r="C12" s="45" t="s">
        <v>2312</v>
      </c>
      <c r="D12" s="45" t="s">
        <v>2313</v>
      </c>
      <c r="E12" s="45" t="s">
        <v>2314</v>
      </c>
      <c r="F12" s="45" t="s">
        <v>2315</v>
      </c>
      <c r="G12" s="45" t="s">
        <v>97</v>
      </c>
      <c r="H12" s="45" t="s">
        <v>121</v>
      </c>
      <c r="I12" s="45" t="s">
        <v>2060</v>
      </c>
      <c r="J12" s="45" t="s">
        <v>2316</v>
      </c>
      <c r="K12" s="45" t="s">
        <v>2317</v>
      </c>
      <c r="L12" s="45" t="s">
        <v>2060</v>
      </c>
      <c r="M12" s="53" t="s">
        <v>2219</v>
      </c>
      <c r="N12" s="45" t="s">
        <v>2318</v>
      </c>
      <c r="O12" s="45" t="s">
        <v>97</v>
      </c>
      <c r="P12" s="45" t="s">
        <v>2221</v>
      </c>
      <c r="Q12" s="45" t="s">
        <v>2222</v>
      </c>
      <c r="R12" s="45" t="s">
        <v>2223</v>
      </c>
      <c r="S12" s="45" t="s">
        <v>2224</v>
      </c>
      <c r="T12" s="45" t="s">
        <v>2202</v>
      </c>
      <c r="U12" s="46" t="s">
        <v>2203</v>
      </c>
      <c r="V12" s="29" t="s">
        <v>2204</v>
      </c>
      <c r="W12" s="47"/>
      <c r="X12" s="47"/>
      <c r="Y12" s="48" t="s">
        <v>98</v>
      </c>
      <c r="Z12" s="48" t="s">
        <v>98</v>
      </c>
      <c r="AA12" s="48" t="s">
        <v>98</v>
      </c>
      <c r="AB12" s="48" t="s">
        <v>98</v>
      </c>
      <c r="AC12" s="48" t="s">
        <v>2060</v>
      </c>
      <c r="AD12" s="49" t="s">
        <v>126</v>
      </c>
      <c r="AE12" s="50">
        <v>45942</v>
      </c>
      <c r="AF12" s="49" t="s">
        <v>2319</v>
      </c>
      <c r="AG12" s="49" t="s">
        <v>1870</v>
      </c>
      <c r="AH12" s="48" t="s">
        <v>2060</v>
      </c>
      <c r="AI12" s="50">
        <v>45946</v>
      </c>
      <c r="AJ12" s="49" t="s">
        <v>2320</v>
      </c>
      <c r="AK12" s="49" t="s">
        <v>2321</v>
      </c>
      <c r="AL12" s="51">
        <v>424.95</v>
      </c>
      <c r="AM12" s="48" t="s">
        <v>2210</v>
      </c>
      <c r="AN12" s="52">
        <v>1</v>
      </c>
      <c r="AO12" s="52">
        <v>1</v>
      </c>
      <c r="AP12" s="52">
        <v>1</v>
      </c>
      <c r="AQ12" s="52">
        <v>1</v>
      </c>
      <c r="AR12" s="50">
        <v>45942</v>
      </c>
      <c r="AS12" s="50">
        <v>45946</v>
      </c>
      <c r="AT12" s="48">
        <v>4</v>
      </c>
      <c r="AU12" s="48"/>
      <c r="AV12" s="48"/>
      <c r="AW12" s="48"/>
    </row>
    <row r="13" spans="1:49" ht="15" customHeight="1">
      <c r="A13" s="44">
        <v>11</v>
      </c>
      <c r="B13" s="45" t="s">
        <v>2322</v>
      </c>
      <c r="C13" s="45" t="s">
        <v>2323</v>
      </c>
      <c r="D13" s="45" t="s">
        <v>2324</v>
      </c>
      <c r="E13" s="45" t="s">
        <v>2325</v>
      </c>
      <c r="F13" s="45" t="s">
        <v>2326</v>
      </c>
      <c r="G13" s="45" t="s">
        <v>97</v>
      </c>
      <c r="H13" s="45" t="s">
        <v>154</v>
      </c>
      <c r="I13" s="45" t="s">
        <v>104</v>
      </c>
      <c r="J13" s="45" t="s">
        <v>2217</v>
      </c>
      <c r="K13" s="45" t="s">
        <v>2327</v>
      </c>
      <c r="L13" s="45" t="s">
        <v>104</v>
      </c>
      <c r="M13" s="45" t="s">
        <v>2328</v>
      </c>
      <c r="N13" s="45" t="s">
        <v>2327</v>
      </c>
      <c r="O13" s="45" t="s">
        <v>97</v>
      </c>
      <c r="P13" s="45" t="s">
        <v>2263</v>
      </c>
      <c r="Q13" s="45" t="s">
        <v>2222</v>
      </c>
      <c r="R13" s="45" t="s">
        <v>2200</v>
      </c>
      <c r="S13" s="45" t="s">
        <v>2224</v>
      </c>
      <c r="T13" s="45" t="s">
        <v>2238</v>
      </c>
      <c r="U13" s="46" t="s">
        <v>2203</v>
      </c>
      <c r="V13" s="29" t="s">
        <v>2204</v>
      </c>
      <c r="W13" s="47"/>
      <c r="X13" s="47"/>
      <c r="Y13" s="48" t="s">
        <v>98</v>
      </c>
      <c r="Z13" s="48" t="s">
        <v>98</v>
      </c>
      <c r="AA13" s="48" t="s">
        <v>98</v>
      </c>
      <c r="AB13" s="48" t="s">
        <v>98</v>
      </c>
      <c r="AC13" s="48" t="s">
        <v>104</v>
      </c>
      <c r="AD13" s="48" t="s">
        <v>425</v>
      </c>
      <c r="AE13" s="50">
        <v>45942</v>
      </c>
      <c r="AF13" s="48" t="s">
        <v>2329</v>
      </c>
      <c r="AG13" s="48" t="s">
        <v>2330</v>
      </c>
      <c r="AH13" s="48" t="s">
        <v>104</v>
      </c>
      <c r="AI13" s="50">
        <v>45946</v>
      </c>
      <c r="AJ13" s="48" t="s">
        <v>2331</v>
      </c>
      <c r="AK13" s="48" t="s">
        <v>2332</v>
      </c>
      <c r="AL13" s="51">
        <v>226</v>
      </c>
      <c r="AM13" s="48" t="s">
        <v>2210</v>
      </c>
      <c r="AN13" s="52">
        <v>1</v>
      </c>
      <c r="AO13" s="52">
        <v>1</v>
      </c>
      <c r="AP13" s="52">
        <v>1</v>
      </c>
      <c r="AQ13" s="52">
        <v>1</v>
      </c>
      <c r="AR13" s="50">
        <v>45942</v>
      </c>
      <c r="AS13" s="50">
        <v>45946</v>
      </c>
      <c r="AT13" s="48">
        <v>4</v>
      </c>
      <c r="AU13" s="48"/>
      <c r="AV13" s="48"/>
      <c r="AW13" s="48"/>
    </row>
    <row r="14" spans="1:49" ht="15" customHeight="1">
      <c r="A14" s="44">
        <v>12</v>
      </c>
      <c r="B14" s="45" t="s">
        <v>2333</v>
      </c>
      <c r="C14" s="45" t="s">
        <v>2334</v>
      </c>
      <c r="D14" s="45" t="s">
        <v>2335</v>
      </c>
      <c r="E14" s="45" t="s">
        <v>2336</v>
      </c>
      <c r="F14" s="45" t="s">
        <v>2337</v>
      </c>
      <c r="G14" s="45" t="s">
        <v>97</v>
      </c>
      <c r="H14" s="45" t="s">
        <v>154</v>
      </c>
      <c r="I14" s="45" t="s">
        <v>2338</v>
      </c>
      <c r="J14" s="45" t="s">
        <v>2339</v>
      </c>
      <c r="K14" s="45" t="s">
        <v>892</v>
      </c>
      <c r="L14" s="45" t="s">
        <v>2338</v>
      </c>
      <c r="M14" s="53" t="s">
        <v>2219</v>
      </c>
      <c r="N14" s="45" t="s">
        <v>892</v>
      </c>
      <c r="O14" s="45" t="s">
        <v>97</v>
      </c>
      <c r="P14" s="45" t="s">
        <v>2198</v>
      </c>
      <c r="Q14" s="45" t="s">
        <v>2222</v>
      </c>
      <c r="R14" s="45" t="s">
        <v>2223</v>
      </c>
      <c r="S14" s="45" t="s">
        <v>2224</v>
      </c>
      <c r="T14" s="45" t="s">
        <v>2238</v>
      </c>
      <c r="U14" s="46" t="s">
        <v>2203</v>
      </c>
      <c r="V14" s="29" t="s">
        <v>2204</v>
      </c>
      <c r="W14" s="47"/>
      <c r="X14" s="47"/>
      <c r="Y14" s="48" t="s">
        <v>98</v>
      </c>
      <c r="Z14" s="48" t="s">
        <v>98</v>
      </c>
      <c r="AA14" s="48" t="s">
        <v>98</v>
      </c>
      <c r="AB14" s="48" t="s">
        <v>98</v>
      </c>
      <c r="AC14" s="48" t="s">
        <v>2338</v>
      </c>
      <c r="AD14" s="49" t="s">
        <v>425</v>
      </c>
      <c r="AE14" s="50">
        <v>45942</v>
      </c>
      <c r="AF14" s="49" t="s">
        <v>2340</v>
      </c>
      <c r="AG14" s="49" t="s">
        <v>2341</v>
      </c>
      <c r="AH14" s="48" t="s">
        <v>2338</v>
      </c>
      <c r="AI14" s="50">
        <v>45946</v>
      </c>
      <c r="AJ14" s="49" t="s">
        <v>2342</v>
      </c>
      <c r="AK14" s="49" t="s">
        <v>2343</v>
      </c>
      <c r="AL14" s="51">
        <v>203.98</v>
      </c>
      <c r="AM14" s="48" t="s">
        <v>2210</v>
      </c>
      <c r="AN14" s="52">
        <v>1</v>
      </c>
      <c r="AO14" s="52">
        <v>1</v>
      </c>
      <c r="AP14" s="52">
        <v>1</v>
      </c>
      <c r="AQ14" s="52">
        <v>1</v>
      </c>
      <c r="AR14" s="50">
        <v>45942</v>
      </c>
      <c r="AS14" s="50">
        <v>45946</v>
      </c>
      <c r="AT14" s="48">
        <v>4</v>
      </c>
      <c r="AU14" s="48"/>
      <c r="AV14" s="48"/>
      <c r="AW14" s="48"/>
    </row>
    <row r="15" spans="1:49" ht="15" customHeight="1">
      <c r="A15" s="44">
        <v>13</v>
      </c>
      <c r="B15" s="45" t="s">
        <v>2344</v>
      </c>
      <c r="C15" s="45" t="s">
        <v>2345</v>
      </c>
      <c r="D15" s="45" t="s">
        <v>2346</v>
      </c>
      <c r="E15" s="45" t="s">
        <v>2347</v>
      </c>
      <c r="F15" s="45" t="s">
        <v>2348</v>
      </c>
      <c r="G15" s="45" t="s">
        <v>97</v>
      </c>
      <c r="H15" s="45" t="s">
        <v>121</v>
      </c>
      <c r="I15" s="45" t="s">
        <v>2349</v>
      </c>
      <c r="J15" s="45" t="s">
        <v>2259</v>
      </c>
      <c r="K15" s="45" t="s">
        <v>2350</v>
      </c>
      <c r="L15" s="45" t="s">
        <v>2349</v>
      </c>
      <c r="M15" s="45" t="s">
        <v>509</v>
      </c>
      <c r="N15" s="45" t="s">
        <v>2351</v>
      </c>
      <c r="O15" s="45" t="s">
        <v>97</v>
      </c>
      <c r="P15" s="45" t="s">
        <v>2198</v>
      </c>
      <c r="Q15" s="45" t="s">
        <v>2199</v>
      </c>
      <c r="R15" s="45" t="s">
        <v>2200</v>
      </c>
      <c r="S15" s="45" t="s">
        <v>2201</v>
      </c>
      <c r="T15" s="45" t="s">
        <v>2238</v>
      </c>
      <c r="U15" s="46" t="s">
        <v>2239</v>
      </c>
      <c r="V15" s="56" t="s">
        <v>2352</v>
      </c>
      <c r="W15" s="173"/>
      <c r="X15" s="47" t="s">
        <v>2353</v>
      </c>
      <c r="Y15" s="48" t="s">
        <v>98</v>
      </c>
      <c r="Z15" s="48" t="s">
        <v>98</v>
      </c>
      <c r="AA15" s="48" t="s">
        <v>98</v>
      </c>
      <c r="AB15" s="48" t="s">
        <v>98</v>
      </c>
      <c r="AC15" s="48" t="s">
        <v>2349</v>
      </c>
      <c r="AD15" s="49" t="s">
        <v>2205</v>
      </c>
      <c r="AE15" s="50">
        <v>45941</v>
      </c>
      <c r="AF15" s="49" t="s">
        <v>2264</v>
      </c>
      <c r="AG15" s="49" t="s">
        <v>2354</v>
      </c>
      <c r="AH15" s="48" t="s">
        <v>2349</v>
      </c>
      <c r="AI15" s="50">
        <v>45946</v>
      </c>
      <c r="AJ15" s="49" t="s">
        <v>2355</v>
      </c>
      <c r="AK15" s="49" t="s">
        <v>2356</v>
      </c>
      <c r="AL15" s="51">
        <v>420.21</v>
      </c>
      <c r="AM15" s="48" t="s">
        <v>2296</v>
      </c>
      <c r="AN15" s="52">
        <v>1</v>
      </c>
      <c r="AO15" s="52">
        <v>1</v>
      </c>
      <c r="AP15" s="52">
        <v>1</v>
      </c>
      <c r="AQ15" s="52">
        <v>1</v>
      </c>
      <c r="AR15" s="50">
        <v>45941</v>
      </c>
      <c r="AS15" s="50">
        <v>45946</v>
      </c>
      <c r="AT15" s="48">
        <v>4</v>
      </c>
      <c r="AU15" s="48"/>
      <c r="AV15" s="48"/>
      <c r="AW15" s="48"/>
    </row>
    <row r="16" spans="1:49" ht="15" customHeight="1">
      <c r="A16" s="44">
        <v>14</v>
      </c>
      <c r="B16" s="45" t="s">
        <v>2357</v>
      </c>
      <c r="C16" s="45" t="s">
        <v>2358</v>
      </c>
      <c r="D16" s="45" t="s">
        <v>2359</v>
      </c>
      <c r="E16" s="45" t="s">
        <v>2360</v>
      </c>
      <c r="F16" s="45" t="s">
        <v>2361</v>
      </c>
      <c r="G16" s="45" t="s">
        <v>97</v>
      </c>
      <c r="H16" s="45" t="s">
        <v>121</v>
      </c>
      <c r="I16" s="45" t="s">
        <v>1119</v>
      </c>
      <c r="J16" s="45" t="s">
        <v>2217</v>
      </c>
      <c r="K16" s="45" t="s">
        <v>2362</v>
      </c>
      <c r="L16" s="45" t="s">
        <v>384</v>
      </c>
      <c r="M16" s="45" t="s">
        <v>2328</v>
      </c>
      <c r="N16" s="45" t="s">
        <v>2363</v>
      </c>
      <c r="O16" s="45" t="s">
        <v>97</v>
      </c>
      <c r="P16" s="45" t="s">
        <v>2198</v>
      </c>
      <c r="Q16" s="45" t="s">
        <v>2199</v>
      </c>
      <c r="R16" s="45" t="s">
        <v>2223</v>
      </c>
      <c r="S16" s="45" t="s">
        <v>2224</v>
      </c>
      <c r="T16" s="45" t="s">
        <v>2238</v>
      </c>
      <c r="U16" s="46" t="s">
        <v>2203</v>
      </c>
      <c r="V16" s="30" t="s">
        <v>2364</v>
      </c>
      <c r="W16" s="174"/>
      <c r="X16" s="47" t="s">
        <v>2365</v>
      </c>
      <c r="Y16" s="48" t="s">
        <v>98</v>
      </c>
      <c r="Z16" s="48" t="s">
        <v>98</v>
      </c>
      <c r="AA16" s="48" t="s">
        <v>98</v>
      </c>
      <c r="AB16" s="48" t="s">
        <v>98</v>
      </c>
      <c r="AC16" s="48" t="s">
        <v>1119</v>
      </c>
      <c r="AD16" s="49" t="s">
        <v>2205</v>
      </c>
      <c r="AE16" s="50">
        <v>45942</v>
      </c>
      <c r="AF16" s="49" t="s">
        <v>2366</v>
      </c>
      <c r="AG16" s="49" t="s">
        <v>2367</v>
      </c>
      <c r="AH16" s="48" t="s">
        <v>384</v>
      </c>
      <c r="AI16" s="50">
        <v>45946</v>
      </c>
      <c r="AJ16" s="49" t="s">
        <v>2368</v>
      </c>
      <c r="AK16" s="49" t="s">
        <v>2369</v>
      </c>
      <c r="AL16" s="51">
        <v>522.95000000000005</v>
      </c>
      <c r="AM16" s="48" t="s">
        <v>2210</v>
      </c>
      <c r="AN16" s="52">
        <v>1</v>
      </c>
      <c r="AO16" s="52">
        <v>1</v>
      </c>
      <c r="AP16" s="52">
        <v>1</v>
      </c>
      <c r="AQ16" s="52">
        <v>1</v>
      </c>
      <c r="AR16" s="50">
        <v>45942</v>
      </c>
      <c r="AS16" s="50">
        <v>45946</v>
      </c>
      <c r="AT16" s="48">
        <v>4</v>
      </c>
      <c r="AU16" s="48"/>
      <c r="AV16" s="48"/>
      <c r="AW16" s="48"/>
    </row>
    <row r="17" spans="1:49" ht="15" customHeight="1">
      <c r="A17" s="44">
        <v>15</v>
      </c>
      <c r="B17" s="45" t="s">
        <v>2370</v>
      </c>
      <c r="C17" s="45" t="s">
        <v>2371</v>
      </c>
      <c r="D17" s="45" t="s">
        <v>2372</v>
      </c>
      <c r="E17" s="45" t="s">
        <v>2373</v>
      </c>
      <c r="F17" s="45" t="s">
        <v>2374</v>
      </c>
      <c r="G17" s="45" t="s">
        <v>97</v>
      </c>
      <c r="H17" s="45" t="s">
        <v>121</v>
      </c>
      <c r="I17" s="45" t="s">
        <v>514</v>
      </c>
      <c r="J17" s="55" t="s">
        <v>2375</v>
      </c>
      <c r="K17" s="45" t="s">
        <v>2376</v>
      </c>
      <c r="L17" s="45" t="s">
        <v>758</v>
      </c>
      <c r="M17" s="45" t="s">
        <v>2377</v>
      </c>
      <c r="N17" s="45" t="s">
        <v>2378</v>
      </c>
      <c r="O17" s="45" t="s">
        <v>97</v>
      </c>
      <c r="P17" s="45" t="s">
        <v>2198</v>
      </c>
      <c r="Q17" s="45" t="s">
        <v>2199</v>
      </c>
      <c r="R17" s="45" t="s">
        <v>2249</v>
      </c>
      <c r="S17" s="45" t="s">
        <v>2201</v>
      </c>
      <c r="T17" s="45" t="s">
        <v>2202</v>
      </c>
      <c r="U17" s="46" t="s">
        <v>2203</v>
      </c>
      <c r="V17" s="56" t="s">
        <v>2379</v>
      </c>
      <c r="W17" s="173"/>
      <c r="X17" s="47"/>
      <c r="Y17" s="48" t="s">
        <v>98</v>
      </c>
      <c r="Z17" s="48" t="s">
        <v>98</v>
      </c>
      <c r="AA17" s="48" t="s">
        <v>98</v>
      </c>
      <c r="AB17" s="48" t="s">
        <v>98</v>
      </c>
      <c r="AC17" s="48" t="s">
        <v>514</v>
      </c>
      <c r="AD17" s="48" t="s">
        <v>126</v>
      </c>
      <c r="AE17" s="50">
        <v>45941</v>
      </c>
      <c r="AF17" s="48" t="s">
        <v>2380</v>
      </c>
      <c r="AG17" s="48" t="s">
        <v>2381</v>
      </c>
      <c r="AH17" s="48" t="s">
        <v>758</v>
      </c>
      <c r="AI17" s="50">
        <v>45946</v>
      </c>
      <c r="AJ17" s="48" t="s">
        <v>2382</v>
      </c>
      <c r="AK17" s="29" t="s">
        <v>2383</v>
      </c>
      <c r="AL17" s="51">
        <v>528.6</v>
      </c>
      <c r="AM17" s="48" t="s">
        <v>2296</v>
      </c>
      <c r="AN17" s="52">
        <v>1</v>
      </c>
      <c r="AO17" s="52">
        <v>1</v>
      </c>
      <c r="AP17" s="52">
        <v>1</v>
      </c>
      <c r="AQ17" s="52">
        <v>1</v>
      </c>
      <c r="AR17" s="50">
        <v>45942</v>
      </c>
      <c r="AS17" s="50">
        <v>45946</v>
      </c>
      <c r="AT17" s="48">
        <v>4</v>
      </c>
      <c r="AU17" s="48"/>
      <c r="AV17" s="48"/>
      <c r="AW17" s="48"/>
    </row>
    <row r="18" spans="1:49" ht="15" customHeight="1">
      <c r="A18" s="44">
        <v>16</v>
      </c>
      <c r="B18" s="45" t="s">
        <v>2384</v>
      </c>
      <c r="C18" s="45" t="s">
        <v>2385</v>
      </c>
      <c r="D18" s="45" t="s">
        <v>2386</v>
      </c>
      <c r="E18" s="45" t="s">
        <v>2387</v>
      </c>
      <c r="F18" s="45" t="s">
        <v>2388</v>
      </c>
      <c r="G18" s="45" t="s">
        <v>97</v>
      </c>
      <c r="H18" s="45" t="s">
        <v>121</v>
      </c>
      <c r="I18" s="45" t="s">
        <v>689</v>
      </c>
      <c r="J18" s="45" t="s">
        <v>2389</v>
      </c>
      <c r="K18" s="45" t="s">
        <v>2390</v>
      </c>
      <c r="L18" s="45" t="s">
        <v>689</v>
      </c>
      <c r="M18" s="53" t="s">
        <v>2219</v>
      </c>
      <c r="N18" s="45" t="s">
        <v>2391</v>
      </c>
      <c r="O18" s="45" t="s">
        <v>97</v>
      </c>
      <c r="P18" s="45" t="s">
        <v>2221</v>
      </c>
      <c r="Q18" s="45" t="s">
        <v>2199</v>
      </c>
      <c r="R18" s="45" t="s">
        <v>2223</v>
      </c>
      <c r="S18" s="45" t="s">
        <v>2201</v>
      </c>
      <c r="T18" s="45" t="s">
        <v>2238</v>
      </c>
      <c r="U18" s="46" t="s">
        <v>2203</v>
      </c>
      <c r="V18" s="29" t="s">
        <v>2204</v>
      </c>
      <c r="W18" s="47"/>
      <c r="X18" s="47"/>
      <c r="Y18" s="48" t="s">
        <v>98</v>
      </c>
      <c r="Z18" s="48" t="s">
        <v>98</v>
      </c>
      <c r="AA18" s="48" t="s">
        <v>98</v>
      </c>
      <c r="AB18" s="48" t="s">
        <v>98</v>
      </c>
      <c r="AC18" s="48" t="s">
        <v>689</v>
      </c>
      <c r="AD18" s="48" t="s">
        <v>126</v>
      </c>
      <c r="AE18" s="50">
        <v>45942</v>
      </c>
      <c r="AF18" s="48" t="s">
        <v>2308</v>
      </c>
      <c r="AG18" s="48" t="s">
        <v>2309</v>
      </c>
      <c r="AH18" s="48" t="s">
        <v>689</v>
      </c>
      <c r="AI18" s="50">
        <v>45946</v>
      </c>
      <c r="AJ18" s="48" t="s">
        <v>2310</v>
      </c>
      <c r="AK18" s="48" t="s">
        <v>1415</v>
      </c>
      <c r="AL18" s="51">
        <v>440.84</v>
      </c>
      <c r="AM18" s="48" t="s">
        <v>2210</v>
      </c>
      <c r="AN18" s="52">
        <v>1</v>
      </c>
      <c r="AO18" s="52">
        <v>1</v>
      </c>
      <c r="AP18" s="52">
        <v>1</v>
      </c>
      <c r="AQ18" s="52">
        <v>1</v>
      </c>
      <c r="AR18" s="50">
        <v>45942</v>
      </c>
      <c r="AS18" s="50">
        <v>45946</v>
      </c>
      <c r="AT18" s="48">
        <v>4</v>
      </c>
      <c r="AU18" s="48"/>
      <c r="AV18" s="48"/>
      <c r="AW18" s="48"/>
    </row>
    <row r="19" spans="1:49" ht="15" customHeight="1">
      <c r="A19" s="44">
        <v>17</v>
      </c>
      <c r="B19" s="45" t="s">
        <v>2392</v>
      </c>
      <c r="C19" s="45" t="s">
        <v>2393</v>
      </c>
      <c r="D19" s="45" t="s">
        <v>2394</v>
      </c>
      <c r="E19" s="45" t="s">
        <v>2395</v>
      </c>
      <c r="F19" s="45" t="s">
        <v>2396</v>
      </c>
      <c r="G19" s="45" t="s">
        <v>97</v>
      </c>
      <c r="H19" s="45" t="s">
        <v>121</v>
      </c>
      <c r="I19" s="45" t="s">
        <v>1410</v>
      </c>
      <c r="J19" s="55" t="s">
        <v>2397</v>
      </c>
      <c r="K19" s="45" t="s">
        <v>89</v>
      </c>
      <c r="L19" s="45" t="s">
        <v>2398</v>
      </c>
      <c r="M19" s="53" t="s">
        <v>2219</v>
      </c>
      <c r="N19" s="45" t="s">
        <v>1521</v>
      </c>
      <c r="O19" s="45" t="s">
        <v>97</v>
      </c>
      <c r="P19" s="45" t="s">
        <v>2198</v>
      </c>
      <c r="Q19" s="45" t="s">
        <v>2199</v>
      </c>
      <c r="R19" s="45" t="s">
        <v>2249</v>
      </c>
      <c r="S19" s="45" t="s">
        <v>2201</v>
      </c>
      <c r="T19" s="45" t="s">
        <v>2202</v>
      </c>
      <c r="U19" s="46" t="s">
        <v>2239</v>
      </c>
      <c r="V19" s="29" t="s">
        <v>2204</v>
      </c>
      <c r="W19" s="47"/>
      <c r="X19" s="47"/>
      <c r="Y19" s="48" t="s">
        <v>98</v>
      </c>
      <c r="Z19" s="48" t="s">
        <v>98</v>
      </c>
      <c r="AA19" s="48" t="s">
        <v>98</v>
      </c>
      <c r="AB19" s="48" t="s">
        <v>98</v>
      </c>
      <c r="AC19" s="48" t="s">
        <v>1410</v>
      </c>
      <c r="AD19" s="48" t="s">
        <v>126</v>
      </c>
      <c r="AE19" s="50">
        <v>45942</v>
      </c>
      <c r="AF19" s="48" t="s">
        <v>2274</v>
      </c>
      <c r="AG19" s="48" t="s">
        <v>2275</v>
      </c>
      <c r="AH19" s="48" t="s">
        <v>2398</v>
      </c>
      <c r="AI19" s="50">
        <v>45946</v>
      </c>
      <c r="AJ19" s="48" t="s">
        <v>2276</v>
      </c>
      <c r="AK19" s="48" t="s">
        <v>2277</v>
      </c>
      <c r="AL19" s="51">
        <v>439.34</v>
      </c>
      <c r="AM19" s="48" t="s">
        <v>2210</v>
      </c>
      <c r="AN19" s="52">
        <v>1</v>
      </c>
      <c r="AO19" s="52">
        <v>1</v>
      </c>
      <c r="AP19" s="52">
        <v>1</v>
      </c>
      <c r="AQ19" s="52">
        <v>1</v>
      </c>
      <c r="AR19" s="50">
        <v>45942</v>
      </c>
      <c r="AS19" s="50">
        <v>45946</v>
      </c>
      <c r="AT19" s="48">
        <v>4</v>
      </c>
      <c r="AU19" s="48"/>
      <c r="AV19" s="48"/>
      <c r="AW19" s="48"/>
    </row>
    <row r="20" spans="1:49" ht="15" customHeight="1">
      <c r="A20" s="44">
        <v>18</v>
      </c>
      <c r="B20" s="45" t="s">
        <v>2399</v>
      </c>
      <c r="C20" s="45" t="s">
        <v>2400</v>
      </c>
      <c r="D20" s="45" t="s">
        <v>2401</v>
      </c>
      <c r="E20" s="45" t="s">
        <v>2402</v>
      </c>
      <c r="F20" s="45" t="s">
        <v>2403</v>
      </c>
      <c r="G20" s="45" t="s">
        <v>97</v>
      </c>
      <c r="H20" s="45" t="s">
        <v>121</v>
      </c>
      <c r="I20" s="45" t="s">
        <v>2404</v>
      </c>
      <c r="J20" s="45" t="s">
        <v>2259</v>
      </c>
      <c r="K20" s="45" t="s">
        <v>2405</v>
      </c>
      <c r="L20" s="45" t="s">
        <v>2404</v>
      </c>
      <c r="M20" s="45" t="s">
        <v>2406</v>
      </c>
      <c r="N20" s="45" t="s">
        <v>892</v>
      </c>
      <c r="O20" s="45" t="s">
        <v>97</v>
      </c>
      <c r="P20" s="45" t="s">
        <v>2198</v>
      </c>
      <c r="Q20" s="45" t="s">
        <v>2222</v>
      </c>
      <c r="R20" s="45" t="s">
        <v>2223</v>
      </c>
      <c r="S20" s="45" t="s">
        <v>2201</v>
      </c>
      <c r="T20" s="45" t="s">
        <v>2238</v>
      </c>
      <c r="U20" s="46" t="s">
        <v>2203</v>
      </c>
      <c r="V20" s="29" t="s">
        <v>2204</v>
      </c>
      <c r="W20" s="47"/>
      <c r="X20" s="47"/>
      <c r="Y20" s="48" t="s">
        <v>98</v>
      </c>
      <c r="Z20" s="48" t="s">
        <v>98</v>
      </c>
      <c r="AA20" s="48" t="s">
        <v>98</v>
      </c>
      <c r="AB20" s="48" t="s">
        <v>98</v>
      </c>
      <c r="AC20" s="48" t="s">
        <v>2404</v>
      </c>
      <c r="AD20" s="49" t="s">
        <v>2205</v>
      </c>
      <c r="AE20" s="50">
        <v>45942</v>
      </c>
      <c r="AF20" s="49" t="s">
        <v>2407</v>
      </c>
      <c r="AG20" s="49" t="s">
        <v>2408</v>
      </c>
      <c r="AH20" s="48" t="s">
        <v>2404</v>
      </c>
      <c r="AI20" s="50">
        <v>45946</v>
      </c>
      <c r="AJ20" s="49" t="s">
        <v>2409</v>
      </c>
      <c r="AK20" s="49" t="s">
        <v>2410</v>
      </c>
      <c r="AL20" s="51">
        <v>440.48</v>
      </c>
      <c r="AM20" s="48" t="s">
        <v>2210</v>
      </c>
      <c r="AN20" s="52">
        <v>1</v>
      </c>
      <c r="AO20" s="52">
        <v>1</v>
      </c>
      <c r="AP20" s="52">
        <v>1</v>
      </c>
      <c r="AQ20" s="52">
        <v>1</v>
      </c>
      <c r="AR20" s="50">
        <v>45942</v>
      </c>
      <c r="AS20" s="50">
        <v>45946</v>
      </c>
      <c r="AT20" s="48">
        <v>4</v>
      </c>
      <c r="AU20" s="48"/>
      <c r="AV20" s="48"/>
      <c r="AW20" s="48"/>
    </row>
    <row r="21" spans="1:49" ht="15" customHeight="1">
      <c r="A21" s="44">
        <v>19</v>
      </c>
      <c r="B21" s="45" t="s">
        <v>2411</v>
      </c>
      <c r="C21" s="45" t="s">
        <v>2412</v>
      </c>
      <c r="D21" s="45" t="s">
        <v>2413</v>
      </c>
      <c r="E21" s="45" t="s">
        <v>2414</v>
      </c>
      <c r="F21" s="45" t="s">
        <v>2415</v>
      </c>
      <c r="G21" s="45" t="s">
        <v>97</v>
      </c>
      <c r="H21" s="45" t="s">
        <v>121</v>
      </c>
      <c r="I21" s="45" t="s">
        <v>2416</v>
      </c>
      <c r="J21" s="45" t="s">
        <v>2417</v>
      </c>
      <c r="K21" s="45" t="s">
        <v>445</v>
      </c>
      <c r="L21" s="45" t="s">
        <v>2418</v>
      </c>
      <c r="M21" s="45" t="s">
        <v>2419</v>
      </c>
      <c r="N21" s="45" t="s">
        <v>444</v>
      </c>
      <c r="O21" s="45" t="s">
        <v>97</v>
      </c>
      <c r="P21" s="45" t="s">
        <v>2198</v>
      </c>
      <c r="Q21" s="45" t="s">
        <v>2199</v>
      </c>
      <c r="R21" s="45" t="s">
        <v>2223</v>
      </c>
      <c r="S21" s="45" t="s">
        <v>2201</v>
      </c>
      <c r="T21" s="45" t="s">
        <v>2238</v>
      </c>
      <c r="U21" s="46" t="s">
        <v>2239</v>
      </c>
      <c r="V21" s="29" t="s">
        <v>2204</v>
      </c>
      <c r="W21" s="47"/>
      <c r="X21" s="47"/>
      <c r="Y21" s="48" t="s">
        <v>98</v>
      </c>
      <c r="Z21" s="48" t="s">
        <v>98</v>
      </c>
      <c r="AA21" s="48" t="s">
        <v>98</v>
      </c>
      <c r="AB21" s="48" t="s">
        <v>98</v>
      </c>
      <c r="AC21" s="48" t="s">
        <v>2416</v>
      </c>
      <c r="AD21" s="49" t="s">
        <v>2205</v>
      </c>
      <c r="AE21" s="50">
        <v>45942</v>
      </c>
      <c r="AF21" s="49" t="s">
        <v>2420</v>
      </c>
      <c r="AG21" s="49" t="s">
        <v>2421</v>
      </c>
      <c r="AH21" s="48" t="s">
        <v>2418</v>
      </c>
      <c r="AI21" s="50">
        <v>45946</v>
      </c>
      <c r="AJ21" s="49" t="s">
        <v>2422</v>
      </c>
      <c r="AK21" s="49" t="s">
        <v>2423</v>
      </c>
      <c r="AL21" s="51">
        <v>442.76</v>
      </c>
      <c r="AM21" s="48" t="s">
        <v>2210</v>
      </c>
      <c r="AN21" s="52">
        <v>1</v>
      </c>
      <c r="AO21" s="52">
        <v>1</v>
      </c>
      <c r="AP21" s="52">
        <v>1</v>
      </c>
      <c r="AQ21" s="52">
        <v>1</v>
      </c>
      <c r="AR21" s="50">
        <v>45942</v>
      </c>
      <c r="AS21" s="50">
        <v>45946</v>
      </c>
      <c r="AT21" s="48">
        <v>4</v>
      </c>
      <c r="AU21" s="48"/>
      <c r="AV21" s="48"/>
      <c r="AW21" s="48"/>
    </row>
    <row r="22" spans="1:49" ht="15" customHeight="1">
      <c r="A22" s="44">
        <v>20</v>
      </c>
      <c r="B22" s="45" t="s">
        <v>2424</v>
      </c>
      <c r="C22" s="45" t="s">
        <v>2425</v>
      </c>
      <c r="D22" s="45" t="s">
        <v>2426</v>
      </c>
      <c r="E22" s="45" t="s">
        <v>2427</v>
      </c>
      <c r="F22" s="45" t="s">
        <v>2428</v>
      </c>
      <c r="G22" s="45" t="s">
        <v>97</v>
      </c>
      <c r="H22" s="45" t="s">
        <v>121</v>
      </c>
      <c r="I22" s="45" t="s">
        <v>182</v>
      </c>
      <c r="J22" s="45" t="s">
        <v>2429</v>
      </c>
      <c r="K22" s="45" t="s">
        <v>2430</v>
      </c>
      <c r="L22" s="45" t="s">
        <v>182</v>
      </c>
      <c r="M22" s="53" t="s">
        <v>2219</v>
      </c>
      <c r="N22" s="45" t="s">
        <v>2431</v>
      </c>
      <c r="O22" s="45" t="s">
        <v>97</v>
      </c>
      <c r="P22" s="45" t="s">
        <v>2198</v>
      </c>
      <c r="Q22" s="45" t="s">
        <v>2222</v>
      </c>
      <c r="R22" s="45" t="s">
        <v>2223</v>
      </c>
      <c r="S22" s="45" t="s">
        <v>2201</v>
      </c>
      <c r="T22" s="45" t="s">
        <v>2238</v>
      </c>
      <c r="U22" s="46" t="s">
        <v>2203</v>
      </c>
      <c r="V22" s="29" t="s">
        <v>2204</v>
      </c>
      <c r="W22" s="47"/>
      <c r="X22" s="47"/>
      <c r="Y22" s="48" t="s">
        <v>98</v>
      </c>
      <c r="Z22" s="48" t="s">
        <v>98</v>
      </c>
      <c r="AA22" s="48" t="s">
        <v>98</v>
      </c>
      <c r="AB22" s="48" t="s">
        <v>98</v>
      </c>
      <c r="AC22" s="48" t="s">
        <v>182</v>
      </c>
      <c r="AD22" s="48" t="s">
        <v>126</v>
      </c>
      <c r="AE22" s="50">
        <v>45942</v>
      </c>
      <c r="AF22" s="48" t="s">
        <v>2432</v>
      </c>
      <c r="AG22" s="48" t="s">
        <v>184</v>
      </c>
      <c r="AH22" s="48" t="s">
        <v>182</v>
      </c>
      <c r="AI22" s="50">
        <v>45946</v>
      </c>
      <c r="AJ22" s="48" t="s">
        <v>2433</v>
      </c>
      <c r="AK22" s="48" t="s">
        <v>2434</v>
      </c>
      <c r="AL22" s="51">
        <v>440.82</v>
      </c>
      <c r="AM22" s="48" t="s">
        <v>2210</v>
      </c>
      <c r="AN22" s="52">
        <v>1</v>
      </c>
      <c r="AO22" s="52">
        <v>1</v>
      </c>
      <c r="AP22" s="52">
        <v>1</v>
      </c>
      <c r="AQ22" s="52">
        <v>1</v>
      </c>
      <c r="AR22" s="50">
        <v>45942</v>
      </c>
      <c r="AS22" s="50">
        <v>45946</v>
      </c>
      <c r="AT22" s="48">
        <v>4</v>
      </c>
      <c r="AU22" s="48"/>
      <c r="AV22" s="48"/>
      <c r="AW22" s="48"/>
    </row>
    <row r="23" spans="1:49" ht="15" customHeight="1">
      <c r="A23" s="44">
        <v>21</v>
      </c>
      <c r="B23" s="45" t="s">
        <v>2435</v>
      </c>
      <c r="C23" s="45" t="s">
        <v>2436</v>
      </c>
      <c r="D23" s="45" t="s">
        <v>2437</v>
      </c>
      <c r="E23" s="45" t="s">
        <v>2438</v>
      </c>
      <c r="F23" s="45" t="s">
        <v>2439</v>
      </c>
      <c r="G23" s="45" t="s">
        <v>97</v>
      </c>
      <c r="H23" s="45" t="s">
        <v>121</v>
      </c>
      <c r="I23" s="45" t="s">
        <v>2440</v>
      </c>
      <c r="J23" s="55" t="s">
        <v>2441</v>
      </c>
      <c r="K23" s="45" t="s">
        <v>2442</v>
      </c>
      <c r="L23" s="45" t="s">
        <v>2440</v>
      </c>
      <c r="M23" s="53" t="s">
        <v>2219</v>
      </c>
      <c r="N23" s="45" t="s">
        <v>1521</v>
      </c>
      <c r="O23" s="45" t="s">
        <v>97</v>
      </c>
      <c r="P23" s="45" t="s">
        <v>2221</v>
      </c>
      <c r="Q23" s="45" t="s">
        <v>2199</v>
      </c>
      <c r="R23" s="45" t="s">
        <v>2223</v>
      </c>
      <c r="S23" s="45" t="s">
        <v>2224</v>
      </c>
      <c r="T23" s="45" t="s">
        <v>2202</v>
      </c>
      <c r="U23" s="46" t="s">
        <v>2203</v>
      </c>
      <c r="V23" s="30" t="s">
        <v>2443</v>
      </c>
      <c r="W23" s="174"/>
      <c r="X23" s="47"/>
      <c r="Y23" s="48" t="s">
        <v>98</v>
      </c>
      <c r="Z23" s="48" t="s">
        <v>98</v>
      </c>
      <c r="AA23" s="48" t="s">
        <v>98</v>
      </c>
      <c r="AB23" s="48" t="s">
        <v>98</v>
      </c>
      <c r="AC23" s="48" t="s">
        <v>2440</v>
      </c>
      <c r="AD23" s="48" t="s">
        <v>126</v>
      </c>
      <c r="AE23" s="50">
        <v>45941</v>
      </c>
      <c r="AF23" s="57" t="s">
        <v>2444</v>
      </c>
      <c r="AG23" s="48" t="s">
        <v>2445</v>
      </c>
      <c r="AH23" s="48" t="s">
        <v>2440</v>
      </c>
      <c r="AI23" s="50">
        <v>45946</v>
      </c>
      <c r="AJ23" s="48" t="s">
        <v>2446</v>
      </c>
      <c r="AK23" s="48" t="s">
        <v>2447</v>
      </c>
      <c r="AL23" s="51">
        <v>480.53</v>
      </c>
      <c r="AM23" s="48" t="s">
        <v>2296</v>
      </c>
      <c r="AN23" s="52">
        <v>1</v>
      </c>
      <c r="AO23" s="52">
        <v>1</v>
      </c>
      <c r="AP23" s="52">
        <v>1</v>
      </c>
      <c r="AQ23" s="52">
        <v>1</v>
      </c>
      <c r="AR23" s="50">
        <v>45941</v>
      </c>
      <c r="AS23" s="50">
        <v>45946</v>
      </c>
      <c r="AT23" s="48">
        <v>4</v>
      </c>
      <c r="AU23" s="48"/>
      <c r="AV23" s="48"/>
      <c r="AW23" s="48"/>
    </row>
    <row r="24" spans="1:49" ht="15" customHeight="1">
      <c r="A24" s="44">
        <v>22</v>
      </c>
      <c r="B24" s="45" t="s">
        <v>2448</v>
      </c>
      <c r="C24" s="58" t="s">
        <v>2449</v>
      </c>
      <c r="D24" s="45" t="s">
        <v>2450</v>
      </c>
      <c r="E24" s="45" t="s">
        <v>2451</v>
      </c>
      <c r="F24" s="45" t="s">
        <v>2452</v>
      </c>
      <c r="G24" s="45" t="s">
        <v>97</v>
      </c>
      <c r="H24" s="45" t="s">
        <v>121</v>
      </c>
      <c r="I24" s="45" t="s">
        <v>2453</v>
      </c>
      <c r="J24" s="45" t="s">
        <v>2454</v>
      </c>
      <c r="K24" s="45" t="s">
        <v>2455</v>
      </c>
      <c r="L24" s="45" t="s">
        <v>2453</v>
      </c>
      <c r="M24" s="53" t="s">
        <v>2219</v>
      </c>
      <c r="N24" s="45" t="s">
        <v>2456</v>
      </c>
      <c r="O24" s="45" t="s">
        <v>97</v>
      </c>
      <c r="P24" s="45" t="s">
        <v>2198</v>
      </c>
      <c r="Q24" s="45" t="s">
        <v>2199</v>
      </c>
      <c r="R24" s="45" t="s">
        <v>2223</v>
      </c>
      <c r="S24" s="45" t="s">
        <v>2201</v>
      </c>
      <c r="T24" s="45" t="s">
        <v>2238</v>
      </c>
      <c r="U24" s="46" t="s">
        <v>2239</v>
      </c>
      <c r="V24" s="29" t="s">
        <v>2457</v>
      </c>
      <c r="W24" s="47"/>
      <c r="X24" s="47"/>
      <c r="Y24" s="48" t="s">
        <v>98</v>
      </c>
      <c r="Z24" s="48" t="s">
        <v>98</v>
      </c>
      <c r="AA24" s="48" t="s">
        <v>98</v>
      </c>
      <c r="AB24" s="48" t="s">
        <v>98</v>
      </c>
      <c r="AC24" s="48" t="s">
        <v>2453</v>
      </c>
      <c r="AD24" s="49" t="s">
        <v>126</v>
      </c>
      <c r="AE24" s="50">
        <v>45942</v>
      </c>
      <c r="AF24" s="49" t="s">
        <v>2458</v>
      </c>
      <c r="AG24" s="49" t="s">
        <v>2459</v>
      </c>
      <c r="AH24" s="48" t="s">
        <v>2453</v>
      </c>
      <c r="AI24" s="50">
        <v>45946</v>
      </c>
      <c r="AJ24" s="49" t="s">
        <v>2460</v>
      </c>
      <c r="AK24" s="49" t="s">
        <v>2369</v>
      </c>
      <c r="AL24" s="51">
        <v>543.08000000000004</v>
      </c>
      <c r="AM24" s="48" t="s">
        <v>2210</v>
      </c>
      <c r="AN24" s="52">
        <v>1</v>
      </c>
      <c r="AO24" s="52">
        <v>1</v>
      </c>
      <c r="AP24" s="52">
        <v>1</v>
      </c>
      <c r="AQ24" s="52">
        <v>1</v>
      </c>
      <c r="AR24" s="50">
        <v>45942</v>
      </c>
      <c r="AS24" s="50">
        <v>45946</v>
      </c>
      <c r="AT24" s="48">
        <v>4</v>
      </c>
      <c r="AU24" s="48"/>
      <c r="AV24" s="48"/>
      <c r="AW24" s="48"/>
    </row>
    <row r="25" spans="1:49" ht="15" customHeight="1">
      <c r="A25" s="44">
        <v>23</v>
      </c>
      <c r="B25" s="45" t="s">
        <v>2461</v>
      </c>
      <c r="C25" s="45" t="s">
        <v>2462</v>
      </c>
      <c r="D25" s="45" t="s">
        <v>2463</v>
      </c>
      <c r="E25" s="45" t="s">
        <v>2464</v>
      </c>
      <c r="F25" s="45" t="s">
        <v>2465</v>
      </c>
      <c r="G25" s="45" t="s">
        <v>97</v>
      </c>
      <c r="H25" s="45" t="s">
        <v>121</v>
      </c>
      <c r="I25" s="45" t="s">
        <v>2074</v>
      </c>
      <c r="J25" s="45" t="s">
        <v>2454</v>
      </c>
      <c r="K25" s="45" t="s">
        <v>2466</v>
      </c>
      <c r="L25" s="45" t="s">
        <v>2074</v>
      </c>
      <c r="M25" s="53" t="s">
        <v>2219</v>
      </c>
      <c r="N25" s="45" t="s">
        <v>2467</v>
      </c>
      <c r="O25" s="45" t="s">
        <v>97</v>
      </c>
      <c r="P25" s="45" t="s">
        <v>2198</v>
      </c>
      <c r="Q25" s="45" t="s">
        <v>2199</v>
      </c>
      <c r="R25" s="45" t="s">
        <v>2223</v>
      </c>
      <c r="S25" s="45" t="s">
        <v>2224</v>
      </c>
      <c r="T25" s="45" t="s">
        <v>2238</v>
      </c>
      <c r="U25" s="46" t="s">
        <v>2203</v>
      </c>
      <c r="V25" s="29" t="s">
        <v>2204</v>
      </c>
      <c r="W25" s="47"/>
      <c r="X25" s="47"/>
      <c r="Y25" s="48" t="s">
        <v>98</v>
      </c>
      <c r="Z25" s="48" t="s">
        <v>98</v>
      </c>
      <c r="AA25" s="48" t="s">
        <v>98</v>
      </c>
      <c r="AB25" s="48" t="s">
        <v>98</v>
      </c>
      <c r="AC25" s="48" t="s">
        <v>2074</v>
      </c>
      <c r="AD25" s="49" t="s">
        <v>126</v>
      </c>
      <c r="AE25" s="50">
        <v>45942</v>
      </c>
      <c r="AF25" s="49" t="s">
        <v>2468</v>
      </c>
      <c r="AG25" s="48" t="s">
        <v>2469</v>
      </c>
      <c r="AH25" s="48" t="s">
        <v>2074</v>
      </c>
      <c r="AI25" s="50">
        <v>45946</v>
      </c>
      <c r="AJ25" s="48" t="s">
        <v>2470</v>
      </c>
      <c r="AK25" s="48" t="s">
        <v>2471</v>
      </c>
      <c r="AL25" s="51">
        <v>542.72</v>
      </c>
      <c r="AM25" s="48" t="s">
        <v>2210</v>
      </c>
      <c r="AN25" s="52">
        <v>1</v>
      </c>
      <c r="AO25" s="52">
        <v>1</v>
      </c>
      <c r="AP25" s="52">
        <v>1</v>
      </c>
      <c r="AQ25" s="52">
        <v>1</v>
      </c>
      <c r="AR25" s="50">
        <v>45942</v>
      </c>
      <c r="AS25" s="50">
        <v>45946</v>
      </c>
      <c r="AT25" s="48">
        <v>4</v>
      </c>
      <c r="AU25" s="48"/>
      <c r="AV25" s="48"/>
      <c r="AW25" s="48"/>
    </row>
    <row r="26" spans="1:49" ht="15" customHeight="1">
      <c r="A26" s="44">
        <v>24</v>
      </c>
      <c r="B26" s="53" t="s">
        <v>2472</v>
      </c>
      <c r="C26" s="53" t="s">
        <v>2473</v>
      </c>
      <c r="D26" s="53" t="s">
        <v>2474</v>
      </c>
      <c r="E26" s="53" t="s">
        <v>2475</v>
      </c>
      <c r="F26" s="53" t="s">
        <v>2476</v>
      </c>
      <c r="G26" s="53" t="s">
        <v>97</v>
      </c>
      <c r="H26" s="53" t="s">
        <v>121</v>
      </c>
      <c r="I26" s="53" t="s">
        <v>2258</v>
      </c>
      <c r="J26" s="53" t="s">
        <v>2217</v>
      </c>
      <c r="K26" s="53"/>
      <c r="L26" s="53" t="s">
        <v>2258</v>
      </c>
      <c r="M26" s="53" t="s">
        <v>2219</v>
      </c>
      <c r="O26" s="53" t="s">
        <v>97</v>
      </c>
      <c r="P26" s="53" t="s">
        <v>2221</v>
      </c>
      <c r="Q26" s="53" t="s">
        <v>2477</v>
      </c>
      <c r="R26" s="53" t="s">
        <v>2249</v>
      </c>
      <c r="S26" s="53" t="s">
        <v>2250</v>
      </c>
      <c r="T26" s="53" t="s">
        <v>2225</v>
      </c>
      <c r="U26" s="59" t="s">
        <v>2478</v>
      </c>
      <c r="V26" s="60" t="s">
        <v>2479</v>
      </c>
      <c r="W26" s="61"/>
      <c r="X26" s="61"/>
      <c r="Y26" s="48" t="s">
        <v>98</v>
      </c>
      <c r="Z26" s="48" t="s">
        <v>98</v>
      </c>
      <c r="AA26" s="48" t="s">
        <v>98</v>
      </c>
      <c r="AB26" s="48" t="s">
        <v>98</v>
      </c>
      <c r="AC26" s="48" t="s">
        <v>2258</v>
      </c>
      <c r="AD26" s="49" t="s">
        <v>126</v>
      </c>
      <c r="AE26" s="50">
        <v>45942</v>
      </c>
      <c r="AF26" s="49" t="s">
        <v>2264</v>
      </c>
      <c r="AG26" s="49" t="s">
        <v>2480</v>
      </c>
      <c r="AH26" s="48" t="s">
        <v>2258</v>
      </c>
      <c r="AI26" s="50">
        <v>45946</v>
      </c>
      <c r="AJ26" s="49" t="s">
        <v>2481</v>
      </c>
      <c r="AK26" s="49" t="s">
        <v>2482</v>
      </c>
      <c r="AL26" s="51">
        <v>368.06</v>
      </c>
      <c r="AM26" s="48" t="s">
        <v>2210</v>
      </c>
      <c r="AN26" s="52">
        <v>1</v>
      </c>
      <c r="AO26" s="52">
        <v>1</v>
      </c>
      <c r="AP26" s="52">
        <v>1</v>
      </c>
      <c r="AQ26" s="52">
        <v>1</v>
      </c>
      <c r="AR26" s="50">
        <v>45942</v>
      </c>
      <c r="AS26" s="50">
        <v>45946</v>
      </c>
      <c r="AT26" s="48">
        <v>4</v>
      </c>
      <c r="AU26" s="48"/>
      <c r="AV26" s="48"/>
      <c r="AW26" s="48"/>
    </row>
    <row r="27" spans="1:49" ht="15" customHeight="1">
      <c r="A27" s="44">
        <v>25</v>
      </c>
      <c r="B27" s="54" t="s">
        <v>2483</v>
      </c>
      <c r="C27" s="286" t="s">
        <v>2484</v>
      </c>
      <c r="D27" s="133">
        <v>358505237665</v>
      </c>
      <c r="E27" s="54" t="s">
        <v>2485</v>
      </c>
      <c r="F27" s="54" t="s">
        <v>2486</v>
      </c>
      <c r="G27" s="54" t="s">
        <v>97</v>
      </c>
      <c r="H27" s="54" t="s">
        <v>121</v>
      </c>
      <c r="I27" s="54" t="s">
        <v>2487</v>
      </c>
      <c r="J27" s="54" t="s">
        <v>2488</v>
      </c>
      <c r="K27" s="54" t="s">
        <v>2489</v>
      </c>
      <c r="L27" s="54" t="s">
        <v>2490</v>
      </c>
      <c r="M27" s="56" t="s">
        <v>2491</v>
      </c>
      <c r="N27" s="54" t="s">
        <v>2492</v>
      </c>
      <c r="O27" s="54" t="s">
        <v>97</v>
      </c>
      <c r="P27" s="54" t="s">
        <v>2263</v>
      </c>
      <c r="Q27" s="54" t="s">
        <v>2199</v>
      </c>
      <c r="R27" s="54" t="s">
        <v>2200</v>
      </c>
      <c r="S27" s="54" t="s">
        <v>2201</v>
      </c>
      <c r="T27" s="54" t="s">
        <v>2238</v>
      </c>
      <c r="U27" s="54" t="s">
        <v>2203</v>
      </c>
      <c r="V27" s="56" t="s">
        <v>2493</v>
      </c>
      <c r="W27" s="173"/>
      <c r="X27" s="47"/>
      <c r="Y27" s="48" t="s">
        <v>98</v>
      </c>
      <c r="Z27" s="48" t="s">
        <v>1006</v>
      </c>
      <c r="AA27" s="48" t="s">
        <v>1006</v>
      </c>
      <c r="AB27" s="48" t="s">
        <v>1006</v>
      </c>
      <c r="AC27" s="48" t="s">
        <v>2487</v>
      </c>
      <c r="AD27" s="48"/>
      <c r="AE27" s="48"/>
      <c r="AF27" s="48"/>
      <c r="AG27" s="48"/>
      <c r="AH27" s="48" t="s">
        <v>2490</v>
      </c>
      <c r="AI27" s="48"/>
      <c r="AJ27" s="48"/>
      <c r="AK27" s="48"/>
      <c r="AL27" s="51"/>
      <c r="AM27" s="48" t="s">
        <v>2296</v>
      </c>
      <c r="AN27" s="52">
        <v>0</v>
      </c>
      <c r="AO27" s="52">
        <v>0</v>
      </c>
      <c r="AP27" s="52">
        <v>0</v>
      </c>
      <c r="AQ27" s="52">
        <v>0</v>
      </c>
      <c r="AR27" s="48"/>
      <c r="AS27" s="48"/>
      <c r="AT27" s="48"/>
      <c r="AU27" s="48"/>
      <c r="AV27" s="48"/>
      <c r="AW27" s="48"/>
    </row>
    <row r="28" spans="1:49" ht="15" customHeight="1">
      <c r="A28" s="44">
        <v>26</v>
      </c>
      <c r="B28" s="54" t="s">
        <v>2494</v>
      </c>
      <c r="C28" s="54" t="s">
        <v>2495</v>
      </c>
      <c r="D28" s="133">
        <v>436509848276</v>
      </c>
      <c r="E28" s="54" t="s">
        <v>2496</v>
      </c>
      <c r="F28" s="54" t="s">
        <v>2497</v>
      </c>
      <c r="G28" s="54" t="s">
        <v>97</v>
      </c>
      <c r="H28" s="54" t="s">
        <v>121</v>
      </c>
      <c r="I28" s="54" t="s">
        <v>1149</v>
      </c>
      <c r="J28" s="54" t="s">
        <v>2259</v>
      </c>
      <c r="K28" s="54" t="s">
        <v>444</v>
      </c>
      <c r="L28" s="54" t="s">
        <v>1149</v>
      </c>
      <c r="M28" s="62">
        <v>45946</v>
      </c>
      <c r="N28" s="54" t="s">
        <v>183</v>
      </c>
      <c r="O28" s="54" t="s">
        <v>97</v>
      </c>
      <c r="P28" s="54" t="s">
        <v>2263</v>
      </c>
      <c r="Q28" s="54" t="s">
        <v>2222</v>
      </c>
      <c r="R28" s="54" t="s">
        <v>2223</v>
      </c>
      <c r="S28" s="54" t="s">
        <v>2224</v>
      </c>
      <c r="T28" s="54" t="s">
        <v>2202</v>
      </c>
      <c r="U28" s="54" t="s">
        <v>2203</v>
      </c>
      <c r="V28" s="54"/>
      <c r="W28" s="172"/>
      <c r="X28" s="47"/>
      <c r="Y28" s="48" t="s">
        <v>98</v>
      </c>
      <c r="Z28" s="48" t="s">
        <v>1006</v>
      </c>
      <c r="AA28" s="48" t="s">
        <v>1006</v>
      </c>
      <c r="AB28" s="48" t="s">
        <v>1006</v>
      </c>
      <c r="AC28" s="48" t="s">
        <v>1149</v>
      </c>
      <c r="AD28" s="48"/>
      <c r="AE28" s="48"/>
      <c r="AF28" s="48"/>
      <c r="AG28" s="48"/>
      <c r="AH28" s="48" t="s">
        <v>1149</v>
      </c>
      <c r="AI28" s="48"/>
      <c r="AJ28" s="48"/>
      <c r="AK28" s="48"/>
      <c r="AL28" s="51"/>
      <c r="AM28" s="48" t="s">
        <v>2296</v>
      </c>
      <c r="AN28" s="52">
        <v>0</v>
      </c>
      <c r="AO28" s="52">
        <v>0</v>
      </c>
      <c r="AP28" s="52">
        <v>0</v>
      </c>
      <c r="AQ28" s="52">
        <v>0</v>
      </c>
      <c r="AR28" s="48"/>
      <c r="AS28" s="48"/>
      <c r="AT28" s="48"/>
      <c r="AU28" s="48"/>
      <c r="AV28" s="48"/>
      <c r="AW28" s="48"/>
    </row>
    <row r="29" spans="1:49" ht="15" customHeight="1">
      <c r="A29" s="44">
        <v>27</v>
      </c>
      <c r="B29" s="54" t="s">
        <v>2498</v>
      </c>
      <c r="C29" s="54" t="s">
        <v>2499</v>
      </c>
      <c r="D29" s="133">
        <v>385992332233</v>
      </c>
      <c r="E29" s="54" t="s">
        <v>2500</v>
      </c>
      <c r="F29" s="54">
        <v>117541458</v>
      </c>
      <c r="G29" s="54" t="s">
        <v>97</v>
      </c>
      <c r="H29" s="54" t="s">
        <v>121</v>
      </c>
      <c r="I29" s="54" t="s">
        <v>689</v>
      </c>
      <c r="J29" s="54" t="s">
        <v>2259</v>
      </c>
      <c r="K29" s="54" t="s">
        <v>2273</v>
      </c>
      <c r="L29" s="54" t="s">
        <v>689</v>
      </c>
      <c r="M29" s="62">
        <v>45946</v>
      </c>
      <c r="N29" s="54" t="s">
        <v>2273</v>
      </c>
      <c r="O29" s="54" t="s">
        <v>97</v>
      </c>
      <c r="P29" s="54" t="s">
        <v>2198</v>
      </c>
      <c r="Q29" s="54" t="s">
        <v>2199</v>
      </c>
      <c r="R29" s="54" t="s">
        <v>2223</v>
      </c>
      <c r="S29" s="54" t="s">
        <v>2224</v>
      </c>
      <c r="T29" s="54" t="s">
        <v>2238</v>
      </c>
      <c r="U29" s="54" t="s">
        <v>2478</v>
      </c>
      <c r="V29" s="54"/>
      <c r="W29" s="172"/>
      <c r="X29" s="47"/>
      <c r="Y29" s="48" t="s">
        <v>98</v>
      </c>
      <c r="Z29" s="48" t="s">
        <v>98</v>
      </c>
      <c r="AA29" s="48" t="s">
        <v>98</v>
      </c>
      <c r="AB29" s="48" t="s">
        <v>98</v>
      </c>
      <c r="AC29" s="48" t="s">
        <v>689</v>
      </c>
      <c r="AD29" s="49" t="s">
        <v>2205</v>
      </c>
      <c r="AE29" s="50">
        <v>45942</v>
      </c>
      <c r="AF29" s="49" t="s">
        <v>2308</v>
      </c>
      <c r="AG29" s="49" t="s">
        <v>2309</v>
      </c>
      <c r="AH29" s="48" t="s">
        <v>689</v>
      </c>
      <c r="AI29" s="50">
        <v>45945</v>
      </c>
      <c r="AJ29" s="49" t="s">
        <v>2310</v>
      </c>
      <c r="AK29" s="49" t="s">
        <v>1415</v>
      </c>
      <c r="AL29" s="51">
        <v>412.84</v>
      </c>
      <c r="AM29" s="48" t="s">
        <v>2210</v>
      </c>
      <c r="AN29" s="52">
        <v>1</v>
      </c>
      <c r="AO29" s="52">
        <v>1</v>
      </c>
      <c r="AP29" s="52">
        <v>1</v>
      </c>
      <c r="AQ29" s="52">
        <v>0</v>
      </c>
      <c r="AR29" s="50">
        <v>45942</v>
      </c>
      <c r="AS29" s="50">
        <v>45945</v>
      </c>
      <c r="AT29" s="48">
        <v>3</v>
      </c>
      <c r="AU29" s="48"/>
      <c r="AV29" s="48"/>
      <c r="AW29" s="48"/>
    </row>
    <row r="30" spans="1:49" s="166" customFormat="1" ht="15" customHeight="1">
      <c r="A30" s="155">
        <v>28</v>
      </c>
      <c r="B30" s="159" t="s">
        <v>2501</v>
      </c>
      <c r="C30" s="167" t="s">
        <v>2502</v>
      </c>
      <c r="D30" s="168" t="s">
        <v>2503</v>
      </c>
      <c r="E30" s="159" t="s">
        <v>2504</v>
      </c>
      <c r="F30" s="159" t="s">
        <v>2505</v>
      </c>
      <c r="G30" s="159" t="s">
        <v>97</v>
      </c>
      <c r="H30" s="159" t="s">
        <v>121</v>
      </c>
      <c r="I30" s="159" t="s">
        <v>2506</v>
      </c>
      <c r="J30" s="169">
        <v>45943</v>
      </c>
      <c r="K30" s="159" t="s">
        <v>2507</v>
      </c>
      <c r="L30" s="159" t="s">
        <v>384</v>
      </c>
      <c r="M30" s="169">
        <v>45946</v>
      </c>
      <c r="N30" s="159" t="s">
        <v>2508</v>
      </c>
      <c r="O30" s="159" t="s">
        <v>97</v>
      </c>
      <c r="P30" s="159" t="s">
        <v>2198</v>
      </c>
      <c r="Q30" s="159" t="s">
        <v>2222</v>
      </c>
      <c r="R30" s="159" t="s">
        <v>2223</v>
      </c>
      <c r="S30" s="159" t="s">
        <v>2224</v>
      </c>
      <c r="T30" s="159" t="s">
        <v>2238</v>
      </c>
      <c r="U30" s="159" t="s">
        <v>2203</v>
      </c>
      <c r="V30" s="159"/>
      <c r="W30" s="175"/>
      <c r="X30" s="287"/>
      <c r="Y30" s="288" t="s">
        <v>1006</v>
      </c>
      <c r="Z30" s="288" t="s">
        <v>1006</v>
      </c>
      <c r="AA30" s="288" t="s">
        <v>1006</v>
      </c>
      <c r="AB30" s="288" t="s">
        <v>1006</v>
      </c>
      <c r="AC30" s="289" t="s">
        <v>2506</v>
      </c>
      <c r="AD30" s="161"/>
      <c r="AE30" s="161"/>
      <c r="AF30" s="161"/>
      <c r="AG30" s="161"/>
      <c r="AH30" s="161" t="s">
        <v>384</v>
      </c>
      <c r="AI30" s="161"/>
      <c r="AJ30" s="161"/>
      <c r="AK30" s="161"/>
      <c r="AL30" s="162"/>
      <c r="AM30" s="161"/>
      <c r="AN30" s="163">
        <v>0</v>
      </c>
      <c r="AO30" s="163">
        <v>0</v>
      </c>
      <c r="AP30" s="163">
        <v>0</v>
      </c>
      <c r="AQ30" s="163">
        <v>0</v>
      </c>
      <c r="AR30" s="161"/>
      <c r="AS30" s="161"/>
      <c r="AT30" s="161"/>
      <c r="AU30" s="161" t="s">
        <v>2509</v>
      </c>
      <c r="AV30" s="161"/>
      <c r="AW30" s="161"/>
    </row>
    <row r="31" spans="1:49" ht="15" customHeight="1">
      <c r="A31" s="44">
        <v>29</v>
      </c>
      <c r="B31" s="54" t="s">
        <v>2510</v>
      </c>
      <c r="C31" s="54" t="s">
        <v>2511</v>
      </c>
      <c r="D31" s="133">
        <v>34699222264</v>
      </c>
      <c r="E31" s="54" t="s">
        <v>2512</v>
      </c>
      <c r="F31" s="54" t="s">
        <v>2513</v>
      </c>
      <c r="G31" s="54" t="s">
        <v>97</v>
      </c>
      <c r="H31" s="54" t="s">
        <v>121</v>
      </c>
      <c r="I31" s="54" t="s">
        <v>2514</v>
      </c>
      <c r="J31" s="56" t="s">
        <v>2515</v>
      </c>
      <c r="K31" s="54" t="s">
        <v>444</v>
      </c>
      <c r="L31" s="54" t="s">
        <v>2514</v>
      </c>
      <c r="M31" s="54" t="s">
        <v>2516</v>
      </c>
      <c r="N31" s="54" t="s">
        <v>2273</v>
      </c>
      <c r="O31" s="54" t="s">
        <v>97</v>
      </c>
      <c r="P31" s="54" t="s">
        <v>2221</v>
      </c>
      <c r="Q31" s="54" t="s">
        <v>2222</v>
      </c>
      <c r="R31" s="54" t="s">
        <v>2249</v>
      </c>
      <c r="S31" s="54" t="s">
        <v>2250</v>
      </c>
      <c r="T31" s="54" t="s">
        <v>2202</v>
      </c>
      <c r="U31" s="54" t="s">
        <v>2478</v>
      </c>
      <c r="V31" s="54"/>
      <c r="W31" s="172"/>
      <c r="X31" s="47"/>
      <c r="Y31" s="48" t="s">
        <v>98</v>
      </c>
      <c r="Z31" s="48" t="s">
        <v>98</v>
      </c>
      <c r="AA31" s="48" t="s">
        <v>98</v>
      </c>
      <c r="AB31" s="48" t="s">
        <v>98</v>
      </c>
      <c r="AC31" s="48" t="s">
        <v>2514</v>
      </c>
      <c r="AD31" s="49" t="s">
        <v>2205</v>
      </c>
      <c r="AE31" s="50">
        <v>45942</v>
      </c>
      <c r="AF31" s="49" t="s">
        <v>2517</v>
      </c>
      <c r="AG31" s="49" t="s">
        <v>2518</v>
      </c>
      <c r="AH31" s="48" t="s">
        <v>2514</v>
      </c>
      <c r="AI31" s="50">
        <v>45945</v>
      </c>
      <c r="AJ31" s="63" t="s">
        <v>2519</v>
      </c>
      <c r="AK31" s="49" t="s">
        <v>904</v>
      </c>
      <c r="AL31" s="51">
        <v>543.92999999999995</v>
      </c>
      <c r="AM31" s="48" t="s">
        <v>2210</v>
      </c>
      <c r="AN31" s="52">
        <v>1</v>
      </c>
      <c r="AO31" s="52">
        <v>1</v>
      </c>
      <c r="AP31" s="52">
        <v>1</v>
      </c>
      <c r="AQ31" s="52">
        <v>0</v>
      </c>
      <c r="AR31" s="50">
        <v>45942</v>
      </c>
      <c r="AS31" s="50">
        <v>45945</v>
      </c>
      <c r="AT31" s="48">
        <v>3</v>
      </c>
      <c r="AU31" s="48"/>
      <c r="AV31" s="48"/>
      <c r="AW31" s="48"/>
    </row>
    <row r="32" spans="1:49" ht="15" customHeight="1">
      <c r="A32" s="44">
        <v>30</v>
      </c>
      <c r="B32" s="54" t="s">
        <v>2520</v>
      </c>
      <c r="C32" s="54" t="s">
        <v>2521</v>
      </c>
      <c r="D32" s="133">
        <v>46708109529</v>
      </c>
      <c r="E32" s="54" t="s">
        <v>2522</v>
      </c>
      <c r="F32" s="54" t="s">
        <v>2523</v>
      </c>
      <c r="G32" s="54" t="s">
        <v>97</v>
      </c>
      <c r="H32" s="54" t="s">
        <v>121</v>
      </c>
      <c r="I32" s="54" t="s">
        <v>2524</v>
      </c>
      <c r="J32" s="64">
        <v>45942</v>
      </c>
      <c r="K32" s="54">
        <v>17.3</v>
      </c>
      <c r="L32" s="54" t="s">
        <v>2524</v>
      </c>
      <c r="M32" s="64">
        <v>45945</v>
      </c>
      <c r="N32" s="54">
        <v>14.3</v>
      </c>
      <c r="O32" s="54" t="s">
        <v>97</v>
      </c>
      <c r="P32" s="54" t="s">
        <v>2198</v>
      </c>
      <c r="Q32" s="54" t="s">
        <v>2222</v>
      </c>
      <c r="R32" s="54" t="s">
        <v>2200</v>
      </c>
      <c r="S32" s="54" t="s">
        <v>2224</v>
      </c>
      <c r="T32" s="54" t="s">
        <v>2238</v>
      </c>
      <c r="U32" s="54" t="s">
        <v>2239</v>
      </c>
      <c r="V32" s="54"/>
      <c r="W32" s="172"/>
      <c r="X32" s="47"/>
      <c r="Y32" s="48" t="s">
        <v>98</v>
      </c>
      <c r="Z32" s="48" t="s">
        <v>98</v>
      </c>
      <c r="AA32" s="48" t="s">
        <v>98</v>
      </c>
      <c r="AB32" s="48" t="s">
        <v>98</v>
      </c>
      <c r="AC32" s="48" t="s">
        <v>2524</v>
      </c>
      <c r="AD32" s="49" t="s">
        <v>126</v>
      </c>
      <c r="AE32" s="50">
        <v>45942</v>
      </c>
      <c r="AF32" s="49" t="s">
        <v>2525</v>
      </c>
      <c r="AG32" s="49" t="s">
        <v>2526</v>
      </c>
      <c r="AH32" s="48" t="s">
        <v>2524</v>
      </c>
      <c r="AI32" s="50">
        <v>45946</v>
      </c>
      <c r="AJ32" s="49" t="s">
        <v>2527</v>
      </c>
      <c r="AK32" s="49" t="s">
        <v>2528</v>
      </c>
      <c r="AL32" s="51">
        <v>311.27</v>
      </c>
      <c r="AM32" s="48" t="s">
        <v>2210</v>
      </c>
      <c r="AN32" s="52">
        <v>1</v>
      </c>
      <c r="AO32" s="52">
        <v>1</v>
      </c>
      <c r="AP32" s="52">
        <v>1</v>
      </c>
      <c r="AQ32" s="52">
        <v>1</v>
      </c>
      <c r="AR32" s="50">
        <v>45942</v>
      </c>
      <c r="AS32" s="50">
        <v>45946</v>
      </c>
      <c r="AT32" s="48">
        <v>4</v>
      </c>
      <c r="AU32" s="48"/>
      <c r="AV32" s="48"/>
      <c r="AW32" s="48"/>
    </row>
    <row r="33" spans="1:49" ht="15" customHeight="1">
      <c r="A33" s="44">
        <v>31</v>
      </c>
      <c r="B33" s="54" t="s">
        <v>2529</v>
      </c>
      <c r="C33" s="54" t="s">
        <v>2530</v>
      </c>
      <c r="D33" s="133">
        <v>353872712623</v>
      </c>
      <c r="E33" s="54" t="s">
        <v>2531</v>
      </c>
      <c r="F33" s="54" t="s">
        <v>2532</v>
      </c>
      <c r="G33" s="54" t="s">
        <v>97</v>
      </c>
      <c r="H33" s="54" t="s">
        <v>121</v>
      </c>
      <c r="I33" s="54" t="s">
        <v>2533</v>
      </c>
      <c r="J33" s="62">
        <v>45942</v>
      </c>
      <c r="K33" s="54">
        <v>17</v>
      </c>
      <c r="L33" s="54" t="s">
        <v>384</v>
      </c>
      <c r="M33" s="65">
        <v>45948</v>
      </c>
      <c r="N33" s="54" t="s">
        <v>2534</v>
      </c>
      <c r="O33" s="54" t="s">
        <v>89</v>
      </c>
      <c r="P33" s="54" t="s">
        <v>2198</v>
      </c>
      <c r="Q33" s="54" t="s">
        <v>2199</v>
      </c>
      <c r="R33" s="54" t="s">
        <v>2223</v>
      </c>
      <c r="S33" s="54" t="s">
        <v>2250</v>
      </c>
      <c r="T33" s="54" t="s">
        <v>2202</v>
      </c>
      <c r="U33" s="54" t="s">
        <v>2478</v>
      </c>
      <c r="V33" s="56" t="s">
        <v>2535</v>
      </c>
      <c r="W33" s="173"/>
      <c r="X33" s="47"/>
      <c r="Y33" s="48" t="s">
        <v>98</v>
      </c>
      <c r="Z33" s="48" t="s">
        <v>98</v>
      </c>
      <c r="AA33" s="48" t="s">
        <v>98</v>
      </c>
      <c r="AB33" s="48" t="s">
        <v>98</v>
      </c>
      <c r="AC33" s="48" t="s">
        <v>2533</v>
      </c>
      <c r="AD33" s="49" t="s">
        <v>2205</v>
      </c>
      <c r="AE33" s="50">
        <v>45942</v>
      </c>
      <c r="AF33" s="49" t="s">
        <v>2536</v>
      </c>
      <c r="AG33" s="49" t="s">
        <v>2537</v>
      </c>
      <c r="AH33" s="48" t="s">
        <v>384</v>
      </c>
      <c r="AI33" s="50">
        <v>45948</v>
      </c>
      <c r="AJ33" s="49" t="s">
        <v>2538</v>
      </c>
      <c r="AK33" s="49" t="s">
        <v>2539</v>
      </c>
      <c r="AL33" s="51">
        <v>290.37</v>
      </c>
      <c r="AM33" s="48" t="s">
        <v>2296</v>
      </c>
      <c r="AN33" s="52">
        <v>1</v>
      </c>
      <c r="AO33" s="52">
        <v>1</v>
      </c>
      <c r="AP33" s="52">
        <v>1</v>
      </c>
      <c r="AQ33" s="52">
        <v>1</v>
      </c>
      <c r="AR33" s="50">
        <v>45942</v>
      </c>
      <c r="AS33" s="50">
        <v>45948</v>
      </c>
      <c r="AT33" s="48">
        <v>4</v>
      </c>
      <c r="AU33" s="48"/>
      <c r="AV33" s="48"/>
      <c r="AW33" s="48"/>
    </row>
    <row r="34" spans="1:49" ht="15" customHeight="1">
      <c r="A34" s="44">
        <v>32</v>
      </c>
      <c r="B34" s="54" t="s">
        <v>2540</v>
      </c>
      <c r="C34" s="54" t="s">
        <v>2541</v>
      </c>
      <c r="D34" s="133">
        <v>37062053440</v>
      </c>
      <c r="E34" s="54" t="s">
        <v>2542</v>
      </c>
      <c r="F34" s="54">
        <v>15015899</v>
      </c>
      <c r="G34" s="54" t="s">
        <v>97</v>
      </c>
      <c r="H34" s="54" t="s">
        <v>121</v>
      </c>
      <c r="I34" s="54" t="s">
        <v>1850</v>
      </c>
      <c r="J34" s="66">
        <v>45942</v>
      </c>
      <c r="K34" s="54" t="s">
        <v>2466</v>
      </c>
      <c r="L34" s="54" t="s">
        <v>1850</v>
      </c>
      <c r="M34" s="66">
        <v>45945</v>
      </c>
      <c r="N34" s="54" t="s">
        <v>2543</v>
      </c>
      <c r="O34" s="54" t="s">
        <v>97</v>
      </c>
      <c r="P34" s="54" t="s">
        <v>2198</v>
      </c>
      <c r="Q34" s="54" t="s">
        <v>2222</v>
      </c>
      <c r="R34" s="54" t="s">
        <v>2223</v>
      </c>
      <c r="S34" s="54" t="s">
        <v>2201</v>
      </c>
      <c r="T34" s="54" t="s">
        <v>2238</v>
      </c>
      <c r="U34" s="54" t="s">
        <v>2203</v>
      </c>
      <c r="V34" s="54"/>
      <c r="W34" s="172"/>
      <c r="X34" s="47"/>
      <c r="Y34" s="48" t="s">
        <v>98</v>
      </c>
      <c r="Z34" s="48" t="s">
        <v>1006</v>
      </c>
      <c r="AA34" s="48" t="s">
        <v>1006</v>
      </c>
      <c r="AB34" s="48" t="s">
        <v>1006</v>
      </c>
      <c r="AC34" s="48" t="s">
        <v>1850</v>
      </c>
      <c r="AD34" s="48"/>
      <c r="AE34" s="48"/>
      <c r="AF34" s="48"/>
      <c r="AG34" s="48"/>
      <c r="AH34" s="48" t="s">
        <v>1850</v>
      </c>
      <c r="AI34" s="48"/>
      <c r="AJ34" s="48"/>
      <c r="AK34" s="48"/>
      <c r="AL34" s="51"/>
      <c r="AM34" s="48" t="s">
        <v>2296</v>
      </c>
      <c r="AN34" s="52">
        <v>0</v>
      </c>
      <c r="AO34" s="52">
        <v>0</v>
      </c>
      <c r="AP34" s="52">
        <v>0</v>
      </c>
      <c r="AQ34" s="52">
        <v>0</v>
      </c>
      <c r="AR34" s="48"/>
      <c r="AS34" s="48"/>
      <c r="AT34" s="48"/>
      <c r="AU34" s="48"/>
      <c r="AV34" s="48"/>
      <c r="AW34" s="48"/>
    </row>
    <row r="35" spans="1:49" ht="15" customHeight="1">
      <c r="A35" s="44">
        <v>33</v>
      </c>
      <c r="B35" s="54" t="s">
        <v>2544</v>
      </c>
      <c r="C35" s="54" t="s">
        <v>2545</v>
      </c>
      <c r="D35" s="133">
        <v>421948391960</v>
      </c>
      <c r="E35" s="54" t="s">
        <v>2546</v>
      </c>
      <c r="F35" s="54" t="s">
        <v>2547</v>
      </c>
      <c r="G35" s="54" t="s">
        <v>97</v>
      </c>
      <c r="H35" s="54" t="s">
        <v>121</v>
      </c>
      <c r="I35" s="54" t="s">
        <v>2548</v>
      </c>
      <c r="J35" s="54" t="s">
        <v>2549</v>
      </c>
      <c r="K35" s="54" t="s">
        <v>2550</v>
      </c>
      <c r="L35" s="54" t="s">
        <v>2548</v>
      </c>
      <c r="M35" s="54" t="s">
        <v>2516</v>
      </c>
      <c r="N35" s="54" t="s">
        <v>2550</v>
      </c>
      <c r="O35" s="54" t="s">
        <v>97</v>
      </c>
      <c r="P35" s="54" t="s">
        <v>2198</v>
      </c>
      <c r="Q35" s="54" t="s">
        <v>2477</v>
      </c>
      <c r="R35" s="54" t="s">
        <v>2249</v>
      </c>
      <c r="S35" s="54" t="s">
        <v>2224</v>
      </c>
      <c r="T35" s="54" t="s">
        <v>2225</v>
      </c>
      <c r="U35" s="54" t="s">
        <v>2203</v>
      </c>
      <c r="V35" s="54" t="s">
        <v>2551</v>
      </c>
      <c r="W35" s="172"/>
      <c r="X35" s="47"/>
      <c r="Y35" s="48" t="s">
        <v>98</v>
      </c>
      <c r="Z35" s="48" t="s">
        <v>98</v>
      </c>
      <c r="AA35" s="48" t="s">
        <v>98</v>
      </c>
      <c r="AB35" s="48" t="s">
        <v>98</v>
      </c>
      <c r="AC35" s="48" t="s">
        <v>2548</v>
      </c>
      <c r="AD35" s="49" t="s">
        <v>126</v>
      </c>
      <c r="AE35" s="50">
        <v>45942</v>
      </c>
      <c r="AF35" s="49" t="s">
        <v>2552</v>
      </c>
      <c r="AG35" s="49" t="s">
        <v>2553</v>
      </c>
      <c r="AH35" s="48" t="s">
        <v>2548</v>
      </c>
      <c r="AI35" s="50">
        <v>45946</v>
      </c>
      <c r="AJ35" s="49" t="s">
        <v>2554</v>
      </c>
      <c r="AK35" s="49" t="s">
        <v>2555</v>
      </c>
      <c r="AL35" s="51">
        <v>439.37</v>
      </c>
      <c r="AM35" s="48" t="s">
        <v>2296</v>
      </c>
      <c r="AN35" s="52">
        <v>1</v>
      </c>
      <c r="AO35" s="52">
        <v>1</v>
      </c>
      <c r="AP35" s="52">
        <v>1</v>
      </c>
      <c r="AQ35" s="52">
        <v>1</v>
      </c>
      <c r="AR35" s="50">
        <v>45942</v>
      </c>
      <c r="AS35" s="50">
        <v>45946</v>
      </c>
      <c r="AT35" s="48">
        <v>4</v>
      </c>
      <c r="AU35" s="48"/>
      <c r="AV35" s="48"/>
      <c r="AW35" s="48"/>
    </row>
    <row r="36" spans="1:49" ht="15" customHeight="1">
      <c r="A36" s="44">
        <v>34</v>
      </c>
      <c r="B36" s="67" t="s">
        <v>2556</v>
      </c>
      <c r="C36" s="67" t="s">
        <v>2557</v>
      </c>
      <c r="D36" s="134">
        <v>37258837225</v>
      </c>
      <c r="E36" s="67" t="s">
        <v>2558</v>
      </c>
      <c r="F36" s="67" t="s">
        <v>2559</v>
      </c>
      <c r="G36" s="67" t="s">
        <v>97</v>
      </c>
      <c r="H36" s="67" t="s">
        <v>121</v>
      </c>
      <c r="I36" s="67" t="s">
        <v>2560</v>
      </c>
      <c r="J36" s="67" t="s">
        <v>2429</v>
      </c>
      <c r="K36" s="67" t="s">
        <v>2561</v>
      </c>
      <c r="L36" s="67" t="s">
        <v>2562</v>
      </c>
      <c r="M36" s="67">
        <v>16.100000000000001</v>
      </c>
      <c r="N36" s="67">
        <v>18</v>
      </c>
      <c r="O36" s="67" t="s">
        <v>97</v>
      </c>
      <c r="P36" s="67" t="s">
        <v>2198</v>
      </c>
      <c r="Q36" s="67" t="s">
        <v>2199</v>
      </c>
      <c r="R36" s="67" t="s">
        <v>2200</v>
      </c>
      <c r="S36" s="67" t="s">
        <v>2201</v>
      </c>
      <c r="T36" s="67" t="s">
        <v>2225</v>
      </c>
      <c r="U36" s="67" t="s">
        <v>2478</v>
      </c>
      <c r="V36" s="67"/>
      <c r="W36" s="176"/>
      <c r="X36" s="47"/>
      <c r="Y36" s="48" t="s">
        <v>98</v>
      </c>
      <c r="Z36" s="48" t="s">
        <v>1006</v>
      </c>
      <c r="AA36" s="48" t="s">
        <v>1006</v>
      </c>
      <c r="AB36" s="48" t="s">
        <v>1006</v>
      </c>
      <c r="AC36" s="48" t="s">
        <v>2560</v>
      </c>
      <c r="AD36" s="48"/>
      <c r="AE36" s="48"/>
      <c r="AF36" s="48"/>
      <c r="AG36" s="48"/>
      <c r="AH36" s="48" t="s">
        <v>2562</v>
      </c>
      <c r="AI36" s="48"/>
      <c r="AJ36" s="48"/>
      <c r="AK36" s="48"/>
      <c r="AL36" s="51"/>
      <c r="AM36" s="48" t="s">
        <v>2296</v>
      </c>
      <c r="AN36" s="52">
        <v>0</v>
      </c>
      <c r="AO36" s="52">
        <v>0</v>
      </c>
      <c r="AP36" s="52">
        <v>0</v>
      </c>
      <c r="AQ36" s="52">
        <v>0</v>
      </c>
      <c r="AR36" s="48"/>
      <c r="AS36" s="48"/>
      <c r="AT36" s="48"/>
      <c r="AU36" s="48"/>
      <c r="AV36" s="48"/>
      <c r="AW36" s="48"/>
    </row>
    <row r="37" spans="1:49" ht="15" customHeight="1">
      <c r="A37" s="44">
        <v>35</v>
      </c>
      <c r="B37" s="137" t="s">
        <v>2563</v>
      </c>
      <c r="C37" s="137" t="s">
        <v>2564</v>
      </c>
      <c r="D37" s="138">
        <v>393662538975</v>
      </c>
      <c r="E37" s="137" t="s">
        <v>2565</v>
      </c>
      <c r="F37" s="137" t="s">
        <v>2566</v>
      </c>
      <c r="G37" s="137" t="s">
        <v>97</v>
      </c>
      <c r="H37" s="137" t="s">
        <v>121</v>
      </c>
      <c r="I37" s="137" t="s">
        <v>758</v>
      </c>
      <c r="J37" s="137" t="s">
        <v>2567</v>
      </c>
      <c r="K37" s="137" t="s">
        <v>499</v>
      </c>
      <c r="L37" s="137" t="s">
        <v>758</v>
      </c>
      <c r="M37" s="137" t="s">
        <v>2568</v>
      </c>
      <c r="N37" s="137" t="s">
        <v>1125</v>
      </c>
      <c r="O37" s="137" t="s">
        <v>97</v>
      </c>
      <c r="P37" s="137" t="s">
        <v>2263</v>
      </c>
      <c r="Q37" s="137" t="s">
        <v>2477</v>
      </c>
      <c r="R37" s="137" t="s">
        <v>2569</v>
      </c>
      <c r="S37" s="137" t="s">
        <v>2224</v>
      </c>
      <c r="T37" s="137" t="s">
        <v>2225</v>
      </c>
      <c r="U37" s="137" t="s">
        <v>2203</v>
      </c>
      <c r="V37" s="54"/>
      <c r="W37" s="177"/>
      <c r="X37" s="139"/>
      <c r="Y37" s="48" t="s">
        <v>98</v>
      </c>
      <c r="Z37" s="48" t="s">
        <v>98</v>
      </c>
      <c r="AA37" s="48" t="s">
        <v>98</v>
      </c>
      <c r="AB37" s="48" t="s">
        <v>98</v>
      </c>
      <c r="AC37" s="48" t="s">
        <v>2570</v>
      </c>
      <c r="AD37" s="48" t="s">
        <v>126</v>
      </c>
      <c r="AE37" s="50">
        <v>45942</v>
      </c>
      <c r="AF37" s="48" t="s">
        <v>2571</v>
      </c>
      <c r="AG37" s="48" t="s">
        <v>2572</v>
      </c>
      <c r="AH37" s="48" t="s">
        <v>2570</v>
      </c>
      <c r="AI37" s="50">
        <v>45946</v>
      </c>
      <c r="AJ37" s="48" t="s">
        <v>2573</v>
      </c>
      <c r="AK37" s="48" t="s">
        <v>2574</v>
      </c>
      <c r="AL37" s="140">
        <v>338.06</v>
      </c>
      <c r="AM37" s="48" t="s">
        <v>2296</v>
      </c>
      <c r="AN37" s="52">
        <v>1</v>
      </c>
      <c r="AO37" s="52">
        <v>1</v>
      </c>
      <c r="AP37" s="52">
        <v>1</v>
      </c>
      <c r="AQ37" s="52">
        <v>1</v>
      </c>
      <c r="AR37" s="50">
        <v>45942</v>
      </c>
      <c r="AS37" s="50">
        <v>45946</v>
      </c>
      <c r="AT37" s="48">
        <v>4</v>
      </c>
      <c r="AU37" s="48"/>
      <c r="AV37" s="48"/>
      <c r="AW37" s="48"/>
    </row>
    <row r="38" spans="1:49" ht="15" customHeight="1">
      <c r="A38" s="44">
        <v>36</v>
      </c>
      <c r="B38" s="137" t="s">
        <v>2575</v>
      </c>
      <c r="C38" s="137" t="s">
        <v>2576</v>
      </c>
      <c r="D38" s="138">
        <v>34600905043</v>
      </c>
      <c r="E38" s="137" t="s">
        <v>2577</v>
      </c>
      <c r="F38" s="137" t="s">
        <v>2578</v>
      </c>
      <c r="G38" s="137" t="s">
        <v>97</v>
      </c>
      <c r="H38" s="137" t="s">
        <v>121</v>
      </c>
      <c r="I38" s="137" t="s">
        <v>1380</v>
      </c>
      <c r="J38" s="141">
        <v>45942</v>
      </c>
      <c r="K38" s="137">
        <v>8</v>
      </c>
      <c r="L38" s="137" t="s">
        <v>1380</v>
      </c>
      <c r="M38" s="141">
        <v>45946</v>
      </c>
      <c r="N38" s="137">
        <v>15</v>
      </c>
      <c r="O38" s="137" t="s">
        <v>97</v>
      </c>
      <c r="P38" s="137" t="s">
        <v>2221</v>
      </c>
      <c r="Q38" s="137" t="s">
        <v>2477</v>
      </c>
      <c r="R38" s="137" t="s">
        <v>2249</v>
      </c>
      <c r="S38" s="137" t="s">
        <v>2224</v>
      </c>
      <c r="T38" s="137" t="s">
        <v>2202</v>
      </c>
      <c r="U38" s="137" t="s">
        <v>2478</v>
      </c>
      <c r="V38" s="54"/>
      <c r="W38" s="177"/>
      <c r="X38" s="139"/>
      <c r="Y38" s="48" t="s">
        <v>98</v>
      </c>
      <c r="Z38" s="48" t="s">
        <v>98</v>
      </c>
      <c r="AA38" s="48" t="s">
        <v>98</v>
      </c>
      <c r="AB38" s="48" t="s">
        <v>98</v>
      </c>
      <c r="AC38" s="48" t="s">
        <v>1380</v>
      </c>
      <c r="AD38" s="48" t="s">
        <v>126</v>
      </c>
      <c r="AE38" s="50">
        <v>45942</v>
      </c>
      <c r="AF38" s="48" t="s">
        <v>2579</v>
      </c>
      <c r="AG38" s="48" t="s">
        <v>2580</v>
      </c>
      <c r="AH38" s="48" t="s">
        <v>1380</v>
      </c>
      <c r="AI38" s="50">
        <v>45946</v>
      </c>
      <c r="AJ38" s="48" t="s">
        <v>2581</v>
      </c>
      <c r="AK38" s="48" t="s">
        <v>2582</v>
      </c>
      <c r="AL38" s="140">
        <v>465.52</v>
      </c>
      <c r="AM38" s="48" t="s">
        <v>2296</v>
      </c>
      <c r="AN38" s="52">
        <v>1</v>
      </c>
      <c r="AO38" s="52">
        <v>1</v>
      </c>
      <c r="AP38" s="52">
        <v>1</v>
      </c>
      <c r="AQ38" s="52">
        <v>1</v>
      </c>
      <c r="AR38" s="50">
        <v>45942</v>
      </c>
      <c r="AS38" s="50">
        <v>45946</v>
      </c>
      <c r="AT38" s="48">
        <v>4</v>
      </c>
      <c r="AU38" s="48"/>
      <c r="AV38" s="48"/>
      <c r="AW38" s="48"/>
    </row>
    <row r="39" spans="1:49" ht="15" customHeight="1">
      <c r="A39" s="44">
        <v>37</v>
      </c>
      <c r="B39" s="137" t="s">
        <v>2583</v>
      </c>
      <c r="C39" s="137" t="s">
        <v>2584</v>
      </c>
      <c r="D39" s="138">
        <v>40744801369</v>
      </c>
      <c r="E39" s="137" t="s">
        <v>2585</v>
      </c>
      <c r="F39" s="137" t="s">
        <v>2586</v>
      </c>
      <c r="G39" s="137" t="s">
        <v>97</v>
      </c>
      <c r="H39" s="137" t="s">
        <v>121</v>
      </c>
      <c r="I39" s="137" t="s">
        <v>2587</v>
      </c>
      <c r="J39" s="137" t="s">
        <v>2588</v>
      </c>
      <c r="K39" s="137" t="s">
        <v>929</v>
      </c>
      <c r="L39" s="137" t="s">
        <v>2589</v>
      </c>
      <c r="M39" s="137">
        <v>15.1</v>
      </c>
      <c r="N39" s="137" t="s">
        <v>929</v>
      </c>
      <c r="O39" s="137" t="s">
        <v>97</v>
      </c>
      <c r="P39" s="137" t="s">
        <v>2198</v>
      </c>
      <c r="Q39" s="137" t="s">
        <v>2199</v>
      </c>
      <c r="R39" s="137" t="s">
        <v>2200</v>
      </c>
      <c r="S39" s="137" t="s">
        <v>2201</v>
      </c>
      <c r="T39" s="137" t="s">
        <v>2238</v>
      </c>
      <c r="U39" s="137" t="s">
        <v>2203</v>
      </c>
      <c r="V39" s="54"/>
      <c r="W39" s="177"/>
      <c r="X39" s="139"/>
      <c r="Y39" s="48" t="s">
        <v>98</v>
      </c>
      <c r="Z39" s="48" t="s">
        <v>98</v>
      </c>
      <c r="AA39" s="48" t="s">
        <v>98</v>
      </c>
      <c r="AB39" s="48" t="s">
        <v>98</v>
      </c>
      <c r="AC39" s="48" t="s">
        <v>2587</v>
      </c>
      <c r="AD39" s="48" t="s">
        <v>2251</v>
      </c>
      <c r="AE39" s="50">
        <v>45942</v>
      </c>
      <c r="AF39" s="48" t="s">
        <v>2590</v>
      </c>
      <c r="AG39" s="48" t="s">
        <v>2591</v>
      </c>
      <c r="AH39" s="48" t="s">
        <v>2587</v>
      </c>
      <c r="AI39" s="50">
        <v>45946</v>
      </c>
      <c r="AJ39" s="48" t="s">
        <v>2592</v>
      </c>
      <c r="AK39" s="48" t="s">
        <v>2593</v>
      </c>
      <c r="AL39" s="140">
        <v>434.48</v>
      </c>
      <c r="AM39" s="48" t="s">
        <v>2296</v>
      </c>
      <c r="AN39" s="52">
        <v>1</v>
      </c>
      <c r="AO39" s="52">
        <v>1</v>
      </c>
      <c r="AP39" s="52">
        <v>1</v>
      </c>
      <c r="AQ39" s="52">
        <v>1</v>
      </c>
      <c r="AR39" s="50">
        <v>45942</v>
      </c>
      <c r="AS39" s="50">
        <v>45946</v>
      </c>
      <c r="AT39" s="48">
        <v>4</v>
      </c>
      <c r="AU39" s="48"/>
      <c r="AV39" s="48"/>
      <c r="AW39" s="48"/>
    </row>
    <row r="40" spans="1:49" s="166" customFormat="1" ht="57" customHeight="1">
      <c r="A40" s="155">
        <v>38</v>
      </c>
      <c r="B40" s="156" t="s">
        <v>2594</v>
      </c>
      <c r="C40" s="156" t="s">
        <v>2595</v>
      </c>
      <c r="D40" s="157">
        <v>351914552245</v>
      </c>
      <c r="E40" s="156" t="s">
        <v>2596</v>
      </c>
      <c r="F40" s="156" t="s">
        <v>2597</v>
      </c>
      <c r="G40" s="156" t="s">
        <v>97</v>
      </c>
      <c r="H40" s="156" t="s">
        <v>121</v>
      </c>
      <c r="I40" s="156" t="s">
        <v>2598</v>
      </c>
      <c r="J40" s="158">
        <v>45944</v>
      </c>
      <c r="K40" s="156" t="s">
        <v>2599</v>
      </c>
      <c r="L40" s="156" t="s">
        <v>2598</v>
      </c>
      <c r="M40" s="158">
        <v>45945</v>
      </c>
      <c r="N40" s="156" t="s">
        <v>2600</v>
      </c>
      <c r="O40" s="156" t="s">
        <v>97</v>
      </c>
      <c r="P40" s="156" t="s">
        <v>2263</v>
      </c>
      <c r="Q40" s="156" t="s">
        <v>2222</v>
      </c>
      <c r="R40" s="156" t="s">
        <v>2249</v>
      </c>
      <c r="S40" s="156" t="s">
        <v>2201</v>
      </c>
      <c r="T40" s="156" t="s">
        <v>2238</v>
      </c>
      <c r="U40" s="156" t="s">
        <v>2203</v>
      </c>
      <c r="V40" s="159"/>
      <c r="W40" s="178"/>
      <c r="X40" s="160"/>
      <c r="Y40" s="161" t="s">
        <v>1006</v>
      </c>
      <c r="Z40" s="161" t="s">
        <v>1006</v>
      </c>
      <c r="AA40" s="161" t="s">
        <v>1006</v>
      </c>
      <c r="AB40" s="161" t="s">
        <v>1006</v>
      </c>
      <c r="AC40" s="161"/>
      <c r="AD40" s="161"/>
      <c r="AE40" s="161"/>
      <c r="AF40" s="161"/>
      <c r="AG40" s="161"/>
      <c r="AH40" s="161"/>
      <c r="AI40" s="161"/>
      <c r="AJ40" s="161"/>
      <c r="AK40" s="161"/>
      <c r="AL40" s="162"/>
      <c r="AM40" s="161"/>
      <c r="AN40" s="163">
        <v>0</v>
      </c>
      <c r="AO40" s="163">
        <v>0</v>
      </c>
      <c r="AP40" s="163">
        <v>0</v>
      </c>
      <c r="AQ40" s="163">
        <v>0</v>
      </c>
      <c r="AR40" s="161"/>
      <c r="AS40" s="161"/>
      <c r="AT40" s="161"/>
      <c r="AU40" s="164" t="s">
        <v>2601</v>
      </c>
      <c r="AV40" s="165"/>
      <c r="AW40" s="161"/>
    </row>
    <row r="41" spans="1:49" ht="15" customHeight="1">
      <c r="A41" s="44">
        <v>39</v>
      </c>
      <c r="B41" s="137" t="s">
        <v>2602</v>
      </c>
      <c r="C41" s="137" t="s">
        <v>2603</v>
      </c>
      <c r="D41" s="138">
        <v>46733200807</v>
      </c>
      <c r="E41" s="137" t="s">
        <v>2604</v>
      </c>
      <c r="F41" s="137" t="s">
        <v>2605</v>
      </c>
      <c r="G41" s="137" t="s">
        <v>97</v>
      </c>
      <c r="H41" s="137" t="s">
        <v>121</v>
      </c>
      <c r="I41" s="137" t="s">
        <v>390</v>
      </c>
      <c r="J41" s="142">
        <v>41183</v>
      </c>
      <c r="K41" s="137" t="s">
        <v>2606</v>
      </c>
      <c r="L41" s="137" t="s">
        <v>390</v>
      </c>
      <c r="M41" s="142">
        <v>42278</v>
      </c>
      <c r="N41" s="137" t="s">
        <v>2607</v>
      </c>
      <c r="O41" s="137" t="s">
        <v>97</v>
      </c>
      <c r="P41" s="137" t="s">
        <v>2221</v>
      </c>
      <c r="Q41" s="137" t="s">
        <v>2222</v>
      </c>
      <c r="R41" s="137" t="s">
        <v>2569</v>
      </c>
      <c r="S41" s="137" t="s">
        <v>2201</v>
      </c>
      <c r="T41" s="137" t="s">
        <v>2202</v>
      </c>
      <c r="U41" s="137" t="s">
        <v>2203</v>
      </c>
      <c r="V41" s="54"/>
      <c r="W41" s="177"/>
      <c r="X41" s="139"/>
      <c r="Y41" s="48" t="s">
        <v>98</v>
      </c>
      <c r="Z41" s="48" t="s">
        <v>98</v>
      </c>
      <c r="AA41" s="48" t="s">
        <v>98</v>
      </c>
      <c r="AB41" s="48" t="s">
        <v>98</v>
      </c>
      <c r="AC41" s="48" t="s">
        <v>390</v>
      </c>
      <c r="AD41" s="48" t="s">
        <v>126</v>
      </c>
      <c r="AE41" s="50">
        <v>45942</v>
      </c>
      <c r="AF41" s="48" t="s">
        <v>2608</v>
      </c>
      <c r="AG41" s="48" t="s">
        <v>2609</v>
      </c>
      <c r="AH41" s="48" t="s">
        <v>390</v>
      </c>
      <c r="AI41" s="50">
        <v>45945</v>
      </c>
      <c r="AJ41" s="48" t="s">
        <v>2610</v>
      </c>
      <c r="AK41" s="48" t="s">
        <v>393</v>
      </c>
      <c r="AL41" s="140">
        <v>327.57</v>
      </c>
      <c r="AM41" s="48" t="s">
        <v>2296</v>
      </c>
      <c r="AN41" s="52">
        <v>1</v>
      </c>
      <c r="AO41" s="52">
        <v>1</v>
      </c>
      <c r="AP41" s="52">
        <v>1</v>
      </c>
      <c r="AQ41" s="52">
        <v>0</v>
      </c>
      <c r="AR41" s="50">
        <v>45942</v>
      </c>
      <c r="AS41" s="50">
        <v>45945</v>
      </c>
      <c r="AT41" s="48">
        <v>3</v>
      </c>
      <c r="AU41" s="48"/>
      <c r="AV41" s="48"/>
      <c r="AW41" s="48"/>
    </row>
    <row r="42" spans="1:49" s="68" customFormat="1" ht="15" customHeight="1">
      <c r="A42" s="44">
        <v>40</v>
      </c>
      <c r="B42" s="137" t="s">
        <v>2611</v>
      </c>
      <c r="C42" s="137" t="s">
        <v>2612</v>
      </c>
      <c r="D42" s="138">
        <v>358505717530</v>
      </c>
      <c r="E42" s="137" t="s">
        <v>2613</v>
      </c>
      <c r="F42" s="137" t="s">
        <v>2614</v>
      </c>
      <c r="G42" s="137" t="s">
        <v>97</v>
      </c>
      <c r="H42" s="137" t="s">
        <v>579</v>
      </c>
      <c r="I42" s="137" t="s">
        <v>260</v>
      </c>
      <c r="J42" s="141">
        <v>45942</v>
      </c>
      <c r="K42" s="137" t="s">
        <v>2615</v>
      </c>
      <c r="L42" s="137" t="s">
        <v>260</v>
      </c>
      <c r="M42" s="141">
        <v>45945</v>
      </c>
      <c r="N42" s="137" t="s">
        <v>2616</v>
      </c>
      <c r="O42" s="137" t="s">
        <v>97</v>
      </c>
      <c r="P42" s="137" t="s">
        <v>2221</v>
      </c>
      <c r="Q42" s="137" t="s">
        <v>2222</v>
      </c>
      <c r="R42" s="137" t="s">
        <v>2569</v>
      </c>
      <c r="S42" s="137" t="s">
        <v>2224</v>
      </c>
      <c r="T42" s="137" t="s">
        <v>2202</v>
      </c>
      <c r="U42" s="137" t="s">
        <v>2203</v>
      </c>
      <c r="V42" s="137"/>
      <c r="W42" s="137"/>
      <c r="X42" s="143"/>
      <c r="Y42" s="144" t="s">
        <v>98</v>
      </c>
      <c r="Z42" s="144" t="s">
        <v>98</v>
      </c>
      <c r="AA42" s="144" t="s">
        <v>98</v>
      </c>
      <c r="AB42" s="144" t="s">
        <v>98</v>
      </c>
      <c r="AC42" s="54" t="s">
        <v>2617</v>
      </c>
      <c r="AD42" s="54" t="s">
        <v>126</v>
      </c>
      <c r="AE42" s="62">
        <v>45942</v>
      </c>
      <c r="AF42" s="54" t="s">
        <v>2618</v>
      </c>
      <c r="AG42" s="54" t="s">
        <v>263</v>
      </c>
      <c r="AH42" s="54" t="s">
        <v>2617</v>
      </c>
      <c r="AI42" s="62">
        <v>45946</v>
      </c>
      <c r="AJ42" s="54" t="s">
        <v>2619</v>
      </c>
      <c r="AK42" s="54" t="s">
        <v>2620</v>
      </c>
      <c r="AL42" s="216">
        <v>529.88</v>
      </c>
      <c r="AM42" s="54" t="s">
        <v>2296</v>
      </c>
      <c r="AN42" s="217">
        <v>1</v>
      </c>
      <c r="AO42" s="217">
        <v>1</v>
      </c>
      <c r="AP42" s="217">
        <v>1</v>
      </c>
      <c r="AQ42" s="217">
        <v>1</v>
      </c>
      <c r="AR42" s="62">
        <v>45942</v>
      </c>
      <c r="AS42" s="62">
        <v>45946</v>
      </c>
      <c r="AT42" s="54">
        <v>4</v>
      </c>
      <c r="AU42" s="54"/>
      <c r="AV42" s="54"/>
      <c r="AW42" s="54"/>
    </row>
    <row r="43" spans="1:49" s="68" customFormat="1" ht="15" customHeight="1">
      <c r="A43" s="44">
        <v>41</v>
      </c>
      <c r="B43" s="137" t="s">
        <v>2621</v>
      </c>
      <c r="C43" s="137" t="s">
        <v>2622</v>
      </c>
      <c r="D43" s="138">
        <v>420722279346</v>
      </c>
      <c r="E43" s="137" t="s">
        <v>2623</v>
      </c>
      <c r="F43" s="137">
        <v>216182197</v>
      </c>
      <c r="G43" s="137" t="s">
        <v>97</v>
      </c>
      <c r="H43" s="137" t="s">
        <v>579</v>
      </c>
      <c r="I43" s="137" t="s">
        <v>1149</v>
      </c>
      <c r="J43" s="145">
        <v>45942</v>
      </c>
      <c r="K43" s="146">
        <v>0.41666666666666669</v>
      </c>
      <c r="L43" s="137" t="s">
        <v>1149</v>
      </c>
      <c r="M43" s="145">
        <v>45945</v>
      </c>
      <c r="N43" s="146">
        <v>0.91666666666666663</v>
      </c>
      <c r="O43" s="137" t="s">
        <v>97</v>
      </c>
      <c r="P43" s="137" t="s">
        <v>2263</v>
      </c>
      <c r="Q43" s="137" t="s">
        <v>2222</v>
      </c>
      <c r="R43" s="137" t="s">
        <v>2569</v>
      </c>
      <c r="S43" s="137" t="s">
        <v>2224</v>
      </c>
      <c r="T43" s="137" t="s">
        <v>2202</v>
      </c>
      <c r="U43" s="137" t="s">
        <v>2239</v>
      </c>
      <c r="V43" s="137" t="s">
        <v>2624</v>
      </c>
      <c r="W43" s="137"/>
      <c r="X43" s="143"/>
      <c r="Y43" s="144" t="s">
        <v>98</v>
      </c>
      <c r="Z43" s="144" t="s">
        <v>98</v>
      </c>
      <c r="AA43" s="144" t="s">
        <v>98</v>
      </c>
      <c r="AB43" s="144" t="s">
        <v>98</v>
      </c>
      <c r="AC43" s="54" t="s">
        <v>1149</v>
      </c>
      <c r="AD43" s="54" t="s">
        <v>126</v>
      </c>
      <c r="AE43" s="62">
        <v>45942</v>
      </c>
      <c r="AF43" s="54" t="s">
        <v>2625</v>
      </c>
      <c r="AG43" s="54" t="s">
        <v>2626</v>
      </c>
      <c r="AH43" s="54" t="s">
        <v>1149</v>
      </c>
      <c r="AI43" s="62">
        <v>45946</v>
      </c>
      <c r="AJ43" s="54" t="s">
        <v>2627</v>
      </c>
      <c r="AK43" s="54" t="s">
        <v>2628</v>
      </c>
      <c r="AL43" s="216">
        <v>539.22</v>
      </c>
      <c r="AM43" s="54" t="s">
        <v>2296</v>
      </c>
      <c r="AN43" s="1207">
        <v>1</v>
      </c>
      <c r="AO43" s="1207">
        <v>1</v>
      </c>
      <c r="AP43" s="1207">
        <v>1</v>
      </c>
      <c r="AQ43" s="1207">
        <v>1</v>
      </c>
      <c r="AR43" s="62">
        <v>45942</v>
      </c>
      <c r="AS43" s="62">
        <v>45946</v>
      </c>
      <c r="AT43" s="54">
        <v>4</v>
      </c>
      <c r="AU43" s="1205" t="s">
        <v>2629</v>
      </c>
      <c r="AV43" s="54"/>
      <c r="AW43" s="54"/>
    </row>
    <row r="44" spans="1:49" s="68" customFormat="1" ht="15" customHeight="1">
      <c r="A44" s="44">
        <v>42</v>
      </c>
      <c r="B44" s="137" t="s">
        <v>2630</v>
      </c>
      <c r="C44" s="137" t="s">
        <v>2631</v>
      </c>
      <c r="D44" s="138">
        <v>420735518529</v>
      </c>
      <c r="E44" s="137" t="s">
        <v>2632</v>
      </c>
      <c r="F44" s="137">
        <v>218867038</v>
      </c>
      <c r="G44" s="137" t="s">
        <v>97</v>
      </c>
      <c r="H44" s="137" t="s">
        <v>579</v>
      </c>
      <c r="I44" s="137" t="s">
        <v>1149</v>
      </c>
      <c r="J44" s="145">
        <v>45942</v>
      </c>
      <c r="K44" s="146">
        <v>0.41666666666666669</v>
      </c>
      <c r="L44" s="137" t="s">
        <v>1149</v>
      </c>
      <c r="M44" s="145">
        <v>45945</v>
      </c>
      <c r="N44" s="146">
        <v>0.91666666666666663</v>
      </c>
      <c r="O44" s="137" t="s">
        <v>97</v>
      </c>
      <c r="P44" s="137" t="s">
        <v>2221</v>
      </c>
      <c r="Q44" s="137" t="s">
        <v>2477</v>
      </c>
      <c r="R44" s="137" t="s">
        <v>2249</v>
      </c>
      <c r="S44" s="137" t="s">
        <v>2224</v>
      </c>
      <c r="T44" s="137" t="s">
        <v>2225</v>
      </c>
      <c r="U44" s="137" t="s">
        <v>2203</v>
      </c>
      <c r="V44" s="137" t="s">
        <v>2633</v>
      </c>
      <c r="W44" s="137"/>
      <c r="X44" s="143"/>
      <c r="Y44" s="144" t="s">
        <v>98</v>
      </c>
      <c r="Z44" s="144" t="s">
        <v>98</v>
      </c>
      <c r="AA44" s="144" t="s">
        <v>98</v>
      </c>
      <c r="AB44" s="144" t="s">
        <v>98</v>
      </c>
      <c r="AC44" s="54" t="s">
        <v>1149</v>
      </c>
      <c r="AD44" s="54" t="s">
        <v>126</v>
      </c>
      <c r="AE44" s="62">
        <v>45942</v>
      </c>
      <c r="AF44" s="54" t="s">
        <v>2625</v>
      </c>
      <c r="AG44" s="54" t="s">
        <v>2626</v>
      </c>
      <c r="AH44" s="54" t="s">
        <v>1149</v>
      </c>
      <c r="AI44" s="62">
        <v>45946</v>
      </c>
      <c r="AJ44" s="54" t="s">
        <v>2627</v>
      </c>
      <c r="AK44" s="54" t="s">
        <v>2628</v>
      </c>
      <c r="AL44" s="216">
        <v>539.22</v>
      </c>
      <c r="AM44" s="54" t="s">
        <v>2296</v>
      </c>
      <c r="AN44" s="1208"/>
      <c r="AO44" s="1208" t="s">
        <v>2634</v>
      </c>
      <c r="AP44" s="1208" t="s">
        <v>2634</v>
      </c>
      <c r="AQ44" s="1208" t="s">
        <v>2634</v>
      </c>
      <c r="AR44" s="62">
        <v>45942</v>
      </c>
      <c r="AS44" s="62">
        <v>45946</v>
      </c>
      <c r="AT44" s="54">
        <v>4</v>
      </c>
      <c r="AU44" s="1206"/>
      <c r="AV44" s="54"/>
      <c r="AW44" s="54"/>
    </row>
    <row r="45" spans="1:49" s="68" customFormat="1" ht="15" customHeight="1">
      <c r="A45" s="44">
        <v>43</v>
      </c>
      <c r="B45" s="147" t="s">
        <v>2635</v>
      </c>
      <c r="C45" s="147" t="s">
        <v>2636</v>
      </c>
      <c r="D45" s="148">
        <v>306939062701</v>
      </c>
      <c r="E45" s="147" t="s">
        <v>2637</v>
      </c>
      <c r="F45" s="147" t="s">
        <v>2638</v>
      </c>
      <c r="G45" s="147" t="s">
        <v>97</v>
      </c>
      <c r="H45" s="147" t="s">
        <v>121</v>
      </c>
      <c r="I45" s="147" t="s">
        <v>1119</v>
      </c>
      <c r="J45" s="147" t="s">
        <v>2639</v>
      </c>
      <c r="K45" s="147" t="s">
        <v>2640</v>
      </c>
      <c r="L45" s="147" t="s">
        <v>1119</v>
      </c>
      <c r="M45" s="147" t="s">
        <v>2641</v>
      </c>
      <c r="N45" s="147" t="s">
        <v>2642</v>
      </c>
      <c r="O45" s="147" t="s">
        <v>97</v>
      </c>
      <c r="P45" s="147" t="s">
        <v>2221</v>
      </c>
      <c r="Q45" s="147" t="s">
        <v>2222</v>
      </c>
      <c r="R45" s="147" t="s">
        <v>2569</v>
      </c>
      <c r="S45" s="147" t="s">
        <v>2224</v>
      </c>
      <c r="T45" s="147" t="s">
        <v>2202</v>
      </c>
      <c r="U45" s="147" t="s">
        <v>2239</v>
      </c>
      <c r="V45" s="147" t="s">
        <v>2643</v>
      </c>
      <c r="W45" s="147"/>
      <c r="X45" s="149"/>
      <c r="Y45" s="144" t="s">
        <v>98</v>
      </c>
      <c r="Z45" s="144" t="s">
        <v>1006</v>
      </c>
      <c r="AA45" s="144" t="s">
        <v>1006</v>
      </c>
      <c r="AB45" s="144" t="s">
        <v>1006</v>
      </c>
      <c r="AC45" s="67" t="s">
        <v>1119</v>
      </c>
      <c r="AD45" s="67"/>
      <c r="AE45" s="67"/>
      <c r="AF45" s="67"/>
      <c r="AG45" s="67"/>
      <c r="AH45" s="67" t="s">
        <v>1119</v>
      </c>
      <c r="AI45" s="67"/>
      <c r="AJ45" s="67"/>
      <c r="AK45" s="67"/>
      <c r="AL45" s="218"/>
      <c r="AM45" s="67" t="s">
        <v>2296</v>
      </c>
      <c r="AN45" s="217">
        <v>0</v>
      </c>
      <c r="AO45" s="217">
        <v>0</v>
      </c>
      <c r="AP45" s="217">
        <v>0</v>
      </c>
      <c r="AQ45" s="217">
        <v>0</v>
      </c>
      <c r="AR45" s="67"/>
      <c r="AS45" s="67"/>
      <c r="AT45" s="67"/>
      <c r="AU45" s="67"/>
      <c r="AV45" s="67"/>
      <c r="AW45" s="67"/>
    </row>
    <row r="46" spans="1:49" s="299" customFormat="1" ht="41" customHeight="1">
      <c r="A46" s="290">
        <v>44</v>
      </c>
      <c r="B46" s="291" t="s">
        <v>2644</v>
      </c>
      <c r="C46" s="291" t="s">
        <v>2645</v>
      </c>
      <c r="D46" s="292">
        <v>36209654326</v>
      </c>
      <c r="E46" s="291" t="s">
        <v>2646</v>
      </c>
      <c r="F46" s="291" t="s">
        <v>2647</v>
      </c>
      <c r="G46" s="291" t="s">
        <v>97</v>
      </c>
      <c r="H46" s="291" t="s">
        <v>121</v>
      </c>
      <c r="I46" s="291" t="s">
        <v>237</v>
      </c>
      <c r="J46" s="291" t="s">
        <v>2417</v>
      </c>
      <c r="K46" s="291" t="s">
        <v>1903</v>
      </c>
      <c r="L46" s="291" t="s">
        <v>237</v>
      </c>
      <c r="M46" s="291" t="s">
        <v>2648</v>
      </c>
      <c r="N46" s="293" t="s">
        <v>2649</v>
      </c>
      <c r="O46" s="293" t="s">
        <v>97</v>
      </c>
      <c r="P46" s="293" t="s">
        <v>2263</v>
      </c>
      <c r="Q46" s="293" t="s">
        <v>2222</v>
      </c>
      <c r="R46" s="293" t="s">
        <v>2569</v>
      </c>
      <c r="S46" s="293" t="s">
        <v>2250</v>
      </c>
      <c r="T46" s="293" t="s">
        <v>2202</v>
      </c>
      <c r="U46" s="293" t="s">
        <v>2203</v>
      </c>
      <c r="V46" s="293" t="s">
        <v>2650</v>
      </c>
      <c r="W46" s="293"/>
      <c r="X46" s="294"/>
      <c r="Y46" s="295" t="s">
        <v>98</v>
      </c>
      <c r="Z46" s="295" t="s">
        <v>98</v>
      </c>
      <c r="AA46" s="295" t="s">
        <v>98</v>
      </c>
      <c r="AB46" s="295" t="s">
        <v>98</v>
      </c>
      <c r="AC46" s="296" t="s">
        <v>237</v>
      </c>
      <c r="AD46" s="296" t="s">
        <v>126</v>
      </c>
      <c r="AE46" s="827">
        <v>45942</v>
      </c>
      <c r="AF46" s="296" t="s">
        <v>2651</v>
      </c>
      <c r="AG46" s="296" t="s">
        <v>240</v>
      </c>
      <c r="AH46" s="296" t="s">
        <v>237</v>
      </c>
      <c r="AI46" s="827">
        <v>45946</v>
      </c>
      <c r="AJ46" s="296" t="s">
        <v>2652</v>
      </c>
      <c r="AK46" s="296" t="s">
        <v>1933</v>
      </c>
      <c r="AL46" s="297">
        <v>594.69000000000005</v>
      </c>
      <c r="AM46" s="296" t="s">
        <v>2296</v>
      </c>
      <c r="AN46" s="298">
        <v>1</v>
      </c>
      <c r="AO46" s="298">
        <v>1</v>
      </c>
      <c r="AP46" s="298">
        <v>1</v>
      </c>
      <c r="AQ46" s="298">
        <v>1</v>
      </c>
      <c r="AR46" s="827">
        <v>45942</v>
      </c>
      <c r="AS46" s="827">
        <v>45946</v>
      </c>
      <c r="AT46" s="296">
        <v>4</v>
      </c>
      <c r="AU46" s="471" t="s">
        <v>2653</v>
      </c>
      <c r="AV46" s="471" t="s">
        <v>2654</v>
      </c>
      <c r="AW46" s="471" t="s">
        <v>2655</v>
      </c>
    </row>
    <row r="47" spans="1:49" s="299" customFormat="1" ht="29" customHeight="1">
      <c r="A47" s="290">
        <v>45</v>
      </c>
      <c r="B47" s="293" t="s">
        <v>2656</v>
      </c>
      <c r="C47" s="293" t="s">
        <v>2657</v>
      </c>
      <c r="D47" s="300">
        <v>40744312650</v>
      </c>
      <c r="E47" s="293" t="s">
        <v>2658</v>
      </c>
      <c r="F47" s="293" t="s">
        <v>2659</v>
      </c>
      <c r="G47" s="293" t="s">
        <v>97</v>
      </c>
      <c r="H47" s="293" t="s">
        <v>121</v>
      </c>
      <c r="I47" s="293" t="s">
        <v>2660</v>
      </c>
      <c r="J47" s="293" t="s">
        <v>2417</v>
      </c>
      <c r="K47" s="293" t="s">
        <v>444</v>
      </c>
      <c r="L47" s="293" t="s">
        <v>2660</v>
      </c>
      <c r="M47" s="293" t="s">
        <v>2661</v>
      </c>
      <c r="N47" s="293" t="s">
        <v>2662</v>
      </c>
      <c r="O47" s="293" t="s">
        <v>97</v>
      </c>
      <c r="P47" s="293" t="s">
        <v>2198</v>
      </c>
      <c r="Q47" s="293" t="s">
        <v>2222</v>
      </c>
      <c r="R47" s="293" t="s">
        <v>2569</v>
      </c>
      <c r="S47" s="293" t="s">
        <v>2201</v>
      </c>
      <c r="T47" s="293" t="s">
        <v>2238</v>
      </c>
      <c r="U47" s="293" t="s">
        <v>2203</v>
      </c>
      <c r="V47" s="293" t="s">
        <v>2663</v>
      </c>
      <c r="W47" s="293"/>
      <c r="X47" s="301"/>
      <c r="Y47" s="295" t="s">
        <v>98</v>
      </c>
      <c r="Z47" s="295" t="s">
        <v>1006</v>
      </c>
      <c r="AA47" s="295" t="s">
        <v>1006</v>
      </c>
      <c r="AB47" s="295" t="s">
        <v>1006</v>
      </c>
      <c r="AC47" s="302" t="s">
        <v>2660</v>
      </c>
      <c r="AD47" s="302"/>
      <c r="AE47" s="302"/>
      <c r="AF47" s="302"/>
      <c r="AG47" s="302"/>
      <c r="AH47" s="302" t="s">
        <v>2660</v>
      </c>
      <c r="AI47" s="302"/>
      <c r="AJ47" s="302"/>
      <c r="AK47" s="302"/>
      <c r="AL47" s="303"/>
      <c r="AM47" s="302" t="s">
        <v>2296</v>
      </c>
      <c r="AN47" s="304"/>
      <c r="AO47" s="304"/>
      <c r="AP47" s="304"/>
      <c r="AQ47" s="304"/>
      <c r="AR47" s="302"/>
      <c r="AS47" s="302"/>
      <c r="AT47" s="302"/>
      <c r="AU47" s="302"/>
      <c r="AV47" s="302"/>
      <c r="AW47" s="302"/>
    </row>
    <row r="48" spans="1:49" s="299" customFormat="1" ht="15" customHeight="1">
      <c r="A48" s="290">
        <v>46</v>
      </c>
      <c r="B48" s="305" t="s">
        <v>2664</v>
      </c>
      <c r="C48" s="305" t="s">
        <v>2665</v>
      </c>
      <c r="D48" s="306">
        <v>34606968683</v>
      </c>
      <c r="E48" s="305" t="s">
        <v>2666</v>
      </c>
      <c r="F48" s="305" t="s">
        <v>2667</v>
      </c>
      <c r="G48" s="305" t="s">
        <v>97</v>
      </c>
      <c r="H48" s="305" t="s">
        <v>121</v>
      </c>
      <c r="I48" s="305" t="s">
        <v>2668</v>
      </c>
      <c r="J48" s="307">
        <v>45942</v>
      </c>
      <c r="K48" s="305" t="s">
        <v>2669</v>
      </c>
      <c r="L48" s="305" t="s">
        <v>2668</v>
      </c>
      <c r="M48" s="307">
        <v>45945</v>
      </c>
      <c r="N48" s="305" t="s">
        <v>2669</v>
      </c>
      <c r="O48" s="305" t="s">
        <v>97</v>
      </c>
      <c r="P48" s="305" t="s">
        <v>2198</v>
      </c>
      <c r="Q48" s="305" t="s">
        <v>2222</v>
      </c>
      <c r="R48" s="305" t="s">
        <v>2249</v>
      </c>
      <c r="S48" s="305" t="s">
        <v>2201</v>
      </c>
      <c r="T48" s="305" t="s">
        <v>2238</v>
      </c>
      <c r="U48" s="305" t="s">
        <v>2478</v>
      </c>
      <c r="V48" s="308"/>
      <c r="W48" s="308"/>
      <c r="X48" s="309"/>
      <c r="Y48" s="295" t="s">
        <v>98</v>
      </c>
      <c r="Z48" s="295" t="s">
        <v>98</v>
      </c>
      <c r="AA48" s="295" t="s">
        <v>98</v>
      </c>
      <c r="AB48" s="295" t="s">
        <v>98</v>
      </c>
      <c r="AC48" s="302" t="s">
        <v>2670</v>
      </c>
      <c r="AD48" s="302" t="s">
        <v>126</v>
      </c>
      <c r="AE48" s="310">
        <v>45942</v>
      </c>
      <c r="AF48" s="302" t="s">
        <v>2671</v>
      </c>
      <c r="AG48" s="302" t="s">
        <v>2672</v>
      </c>
      <c r="AH48" s="302" t="s">
        <v>2670</v>
      </c>
      <c r="AI48" s="310">
        <v>45946</v>
      </c>
      <c r="AJ48" s="302" t="s">
        <v>2673</v>
      </c>
      <c r="AK48" s="302" t="s">
        <v>2674</v>
      </c>
      <c r="AL48" s="311">
        <v>425.4</v>
      </c>
      <c r="AM48" s="302" t="s">
        <v>2296</v>
      </c>
      <c r="AN48" s="304">
        <v>1</v>
      </c>
      <c r="AO48" s="304">
        <v>1</v>
      </c>
      <c r="AP48" s="304">
        <v>1</v>
      </c>
      <c r="AQ48" s="304">
        <v>1</v>
      </c>
      <c r="AR48" s="310">
        <v>45942</v>
      </c>
      <c r="AS48" s="310">
        <v>45946</v>
      </c>
      <c r="AT48" s="302">
        <v>4</v>
      </c>
      <c r="AU48" s="302"/>
      <c r="AV48" s="302"/>
      <c r="AW48" s="302"/>
    </row>
    <row r="49" spans="1:73" s="299" customFormat="1" ht="29" customHeight="1">
      <c r="A49" s="290">
        <v>47</v>
      </c>
      <c r="B49" s="305" t="s">
        <v>2675</v>
      </c>
      <c r="C49" s="312" t="s">
        <v>2676</v>
      </c>
      <c r="D49" s="306">
        <v>31616504316</v>
      </c>
      <c r="E49" s="305" t="s">
        <v>2677</v>
      </c>
      <c r="F49" s="305" t="s">
        <v>2678</v>
      </c>
      <c r="G49" s="305" t="s">
        <v>97</v>
      </c>
      <c r="H49" s="305" t="s">
        <v>154</v>
      </c>
      <c r="I49" s="305" t="s">
        <v>2679</v>
      </c>
      <c r="J49" s="305" t="s">
        <v>2680</v>
      </c>
      <c r="K49" s="313">
        <v>0.45833333333333331</v>
      </c>
      <c r="L49" s="305" t="s">
        <v>2681</v>
      </c>
      <c r="M49" s="305" t="s">
        <v>2516</v>
      </c>
      <c r="N49" s="313">
        <v>0.83680555555555558</v>
      </c>
      <c r="O49" s="305" t="s">
        <v>97</v>
      </c>
      <c r="P49" s="305" t="s">
        <v>2198</v>
      </c>
      <c r="Q49" s="305" t="s">
        <v>2222</v>
      </c>
      <c r="R49" s="305" t="s">
        <v>2569</v>
      </c>
      <c r="S49" s="305" t="s">
        <v>2201</v>
      </c>
      <c r="T49" s="305" t="s">
        <v>2202</v>
      </c>
      <c r="U49" s="305" t="s">
        <v>2203</v>
      </c>
      <c r="V49" s="305" t="s">
        <v>2682</v>
      </c>
      <c r="W49" s="305"/>
      <c r="X49" s="309"/>
      <c r="Y49" s="295" t="s">
        <v>98</v>
      </c>
      <c r="Z49" s="295" t="s">
        <v>98</v>
      </c>
      <c r="AA49" s="295" t="s">
        <v>98</v>
      </c>
      <c r="AB49" s="295" t="s">
        <v>98</v>
      </c>
      <c r="AC49" s="314" t="s">
        <v>2679</v>
      </c>
      <c r="AD49" s="302" t="s">
        <v>126</v>
      </c>
      <c r="AE49" s="310">
        <v>45941</v>
      </c>
      <c r="AF49" s="302" t="s">
        <v>2683</v>
      </c>
      <c r="AG49" s="302" t="s">
        <v>2684</v>
      </c>
      <c r="AH49" s="302" t="s">
        <v>2681</v>
      </c>
      <c r="AI49" s="310">
        <v>45946</v>
      </c>
      <c r="AJ49" s="302" t="s">
        <v>2685</v>
      </c>
      <c r="AK49" s="302" t="s">
        <v>2593</v>
      </c>
      <c r="AL49" s="303">
        <v>392.26</v>
      </c>
      <c r="AM49" s="302" t="s">
        <v>2296</v>
      </c>
      <c r="AN49" s="304">
        <v>1</v>
      </c>
      <c r="AO49" s="304">
        <v>1</v>
      </c>
      <c r="AP49" s="304">
        <v>1</v>
      </c>
      <c r="AQ49" s="304">
        <v>1</v>
      </c>
      <c r="AR49" s="310">
        <v>45942</v>
      </c>
      <c r="AS49" s="310">
        <v>45946</v>
      </c>
      <c r="AT49" s="302">
        <v>4</v>
      </c>
      <c r="AU49" s="302"/>
      <c r="AV49" s="302"/>
      <c r="AW49" s="302"/>
    </row>
    <row r="50" spans="1:73" s="299" customFormat="1" ht="15" customHeight="1">
      <c r="A50" s="473">
        <v>48</v>
      </c>
      <c r="B50" s="302" t="s">
        <v>2686</v>
      </c>
      <c r="C50" s="302" t="s">
        <v>2687</v>
      </c>
      <c r="D50" s="302" t="s">
        <v>2688</v>
      </c>
      <c r="E50" s="302" t="s">
        <v>2689</v>
      </c>
      <c r="F50" s="302" t="s">
        <v>2690</v>
      </c>
      <c r="G50" s="302" t="s">
        <v>97</v>
      </c>
      <c r="H50" s="302" t="s">
        <v>121</v>
      </c>
      <c r="I50" s="302" t="s">
        <v>2060</v>
      </c>
      <c r="J50" s="315">
        <v>45941</v>
      </c>
      <c r="K50" s="316">
        <v>0.33333333333333331</v>
      </c>
      <c r="L50" s="317" t="s">
        <v>2060</v>
      </c>
      <c r="M50" s="315">
        <v>45945</v>
      </c>
      <c r="N50" s="316">
        <v>0.83333333333333337</v>
      </c>
      <c r="O50" s="302" t="s">
        <v>97</v>
      </c>
      <c r="P50" s="302" t="s">
        <v>2198</v>
      </c>
      <c r="Q50" s="302" t="s">
        <v>2199</v>
      </c>
      <c r="R50" s="302" t="s">
        <v>2200</v>
      </c>
      <c r="S50" s="302" t="s">
        <v>2224</v>
      </c>
      <c r="T50" s="302" t="s">
        <v>2238</v>
      </c>
      <c r="U50" s="302" t="s">
        <v>2203</v>
      </c>
      <c r="V50" s="302"/>
      <c r="W50" s="302"/>
      <c r="X50" s="302"/>
      <c r="Y50" s="295" t="s">
        <v>98</v>
      </c>
      <c r="Z50" s="295" t="s">
        <v>98</v>
      </c>
      <c r="AA50" s="295" t="s">
        <v>98</v>
      </c>
      <c r="AB50" s="295" t="s">
        <v>98</v>
      </c>
      <c r="AC50" s="302" t="s">
        <v>1119</v>
      </c>
      <c r="AD50" s="302" t="s">
        <v>126</v>
      </c>
      <c r="AE50" s="310">
        <v>45941</v>
      </c>
      <c r="AF50" s="302" t="s">
        <v>2691</v>
      </c>
      <c r="AG50" s="302" t="s">
        <v>2692</v>
      </c>
      <c r="AH50" s="302" t="s">
        <v>1119</v>
      </c>
      <c r="AI50" s="310">
        <v>45945</v>
      </c>
      <c r="AJ50" s="318" t="s">
        <v>2693</v>
      </c>
      <c r="AK50" s="302" t="s">
        <v>902</v>
      </c>
      <c r="AL50" s="303">
        <v>504.95</v>
      </c>
      <c r="AM50" s="302" t="s">
        <v>2296</v>
      </c>
      <c r="AN50" s="304">
        <v>1</v>
      </c>
      <c r="AO50" s="304">
        <v>1</v>
      </c>
      <c r="AP50" s="304">
        <v>1</v>
      </c>
      <c r="AQ50" s="304">
        <v>0</v>
      </c>
      <c r="AR50" s="310">
        <v>45942</v>
      </c>
      <c r="AS50" s="310">
        <v>45945</v>
      </c>
      <c r="AT50" s="302">
        <v>3</v>
      </c>
      <c r="AU50" s="302"/>
      <c r="AV50" s="302"/>
      <c r="AW50" s="302"/>
    </row>
    <row r="51" spans="1:73" s="299" customFormat="1" ht="93" customHeight="1">
      <c r="A51" s="290">
        <v>49</v>
      </c>
      <c r="B51" s="305" t="s">
        <v>2694</v>
      </c>
      <c r="C51" s="305" t="s">
        <v>2695</v>
      </c>
      <c r="D51" s="306" t="s">
        <v>2696</v>
      </c>
      <c r="E51" s="305" t="s">
        <v>2697</v>
      </c>
      <c r="F51" s="305" t="s">
        <v>2698</v>
      </c>
      <c r="G51" s="305" t="s">
        <v>97</v>
      </c>
      <c r="H51" s="305" t="s">
        <v>121</v>
      </c>
      <c r="I51" s="305" t="s">
        <v>1205</v>
      </c>
      <c r="J51" s="305" t="s">
        <v>2699</v>
      </c>
      <c r="K51" s="305" t="s">
        <v>1125</v>
      </c>
      <c r="L51" s="305" t="s">
        <v>1205</v>
      </c>
      <c r="M51" s="305" t="s">
        <v>2700</v>
      </c>
      <c r="N51" s="305" t="s">
        <v>1571</v>
      </c>
      <c r="O51" s="305" t="s">
        <v>97</v>
      </c>
      <c r="P51" s="305" t="s">
        <v>2221</v>
      </c>
      <c r="Q51" s="305" t="s">
        <v>2222</v>
      </c>
      <c r="R51" s="305" t="s">
        <v>2249</v>
      </c>
      <c r="S51" s="305" t="s">
        <v>2224</v>
      </c>
      <c r="T51" s="305" t="s">
        <v>2202</v>
      </c>
      <c r="U51" s="305" t="s">
        <v>2239</v>
      </c>
      <c r="V51" s="305" t="s">
        <v>2701</v>
      </c>
      <c r="W51" s="305"/>
      <c r="X51" s="309"/>
      <c r="Y51" s="295" t="s">
        <v>98</v>
      </c>
      <c r="Z51" s="295" t="s">
        <v>98</v>
      </c>
      <c r="AA51" s="295" t="s">
        <v>98</v>
      </c>
      <c r="AB51" s="295" t="s">
        <v>98</v>
      </c>
      <c r="AC51" s="302" t="s">
        <v>647</v>
      </c>
      <c r="AD51" s="302" t="s">
        <v>126</v>
      </c>
      <c r="AE51" s="310">
        <v>45942</v>
      </c>
      <c r="AF51" s="302" t="s">
        <v>2702</v>
      </c>
      <c r="AG51" s="302" t="s">
        <v>1891</v>
      </c>
      <c r="AH51" s="302" t="s">
        <v>647</v>
      </c>
      <c r="AI51" s="310">
        <v>45946</v>
      </c>
      <c r="AJ51" s="302" t="s">
        <v>2703</v>
      </c>
      <c r="AK51" s="302" t="s">
        <v>2704</v>
      </c>
      <c r="AL51" s="303">
        <v>458.17</v>
      </c>
      <c r="AM51" s="302" t="s">
        <v>2296</v>
      </c>
      <c r="AN51" s="304">
        <v>1</v>
      </c>
      <c r="AO51" s="304">
        <v>1</v>
      </c>
      <c r="AP51" s="304">
        <v>1</v>
      </c>
      <c r="AQ51" s="304">
        <v>1</v>
      </c>
      <c r="AR51" s="310">
        <v>45942</v>
      </c>
      <c r="AS51" s="310">
        <v>45946</v>
      </c>
      <c r="AT51" s="302">
        <v>4</v>
      </c>
      <c r="AU51" s="302"/>
      <c r="AV51" s="302"/>
      <c r="AW51" s="302"/>
    </row>
    <row r="52" spans="1:73" s="299" customFormat="1" ht="15" customHeight="1">
      <c r="A52" s="290">
        <v>50</v>
      </c>
      <c r="B52" s="319" t="s">
        <v>2705</v>
      </c>
      <c r="C52" s="319" t="s">
        <v>2706</v>
      </c>
      <c r="D52" s="320" t="s">
        <v>2707</v>
      </c>
      <c r="E52" s="319" t="s">
        <v>2708</v>
      </c>
      <c r="F52" s="319" t="s">
        <v>2709</v>
      </c>
      <c r="G52" s="319" t="s">
        <v>97</v>
      </c>
      <c r="H52" s="319" t="s">
        <v>121</v>
      </c>
      <c r="I52" s="319" t="s">
        <v>758</v>
      </c>
      <c r="J52" s="307">
        <v>45943</v>
      </c>
      <c r="K52" s="321" t="s">
        <v>444</v>
      </c>
      <c r="L52" s="319" t="s">
        <v>758</v>
      </c>
      <c r="M52" s="305" t="s">
        <v>2710</v>
      </c>
      <c r="N52" s="321" t="s">
        <v>444</v>
      </c>
      <c r="O52" s="319" t="s">
        <v>97</v>
      </c>
      <c r="P52" s="319"/>
      <c r="Q52" s="319"/>
      <c r="R52" s="319"/>
      <c r="S52" s="319"/>
      <c r="T52" s="319"/>
      <c r="U52" s="319"/>
      <c r="V52" s="319"/>
      <c r="W52" s="322" t="s">
        <v>2711</v>
      </c>
      <c r="X52" s="323"/>
      <c r="Y52" s="295" t="s">
        <v>98</v>
      </c>
      <c r="Z52" s="295" t="s">
        <v>98</v>
      </c>
      <c r="AA52" s="295" t="s">
        <v>98</v>
      </c>
      <c r="AB52" s="295" t="s">
        <v>98</v>
      </c>
      <c r="AC52" s="302" t="s">
        <v>2570</v>
      </c>
      <c r="AD52" s="302" t="s">
        <v>126</v>
      </c>
      <c r="AE52" s="310">
        <v>45943</v>
      </c>
      <c r="AF52" s="302" t="s">
        <v>2712</v>
      </c>
      <c r="AG52" s="302" t="s">
        <v>2713</v>
      </c>
      <c r="AH52" s="302" t="s">
        <v>2570</v>
      </c>
      <c r="AI52" s="310">
        <v>45946</v>
      </c>
      <c r="AJ52" s="302" t="s">
        <v>2573</v>
      </c>
      <c r="AK52" s="302" t="s">
        <v>2714</v>
      </c>
      <c r="AL52" s="303">
        <v>407.56</v>
      </c>
      <c r="AM52" s="302" t="s">
        <v>2210</v>
      </c>
      <c r="AN52" s="304">
        <v>0</v>
      </c>
      <c r="AO52" s="304">
        <v>1</v>
      </c>
      <c r="AP52" s="304">
        <v>1</v>
      </c>
      <c r="AQ52" s="304">
        <v>1</v>
      </c>
      <c r="AR52" s="310">
        <v>45943</v>
      </c>
      <c r="AS52" s="310">
        <v>45946</v>
      </c>
      <c r="AT52" s="302">
        <v>3</v>
      </c>
      <c r="AU52" s="302"/>
      <c r="AV52" s="302"/>
      <c r="AW52" s="302"/>
    </row>
    <row r="53" spans="1:73" s="299" customFormat="1" ht="15" customHeight="1">
      <c r="A53" s="290">
        <v>51</v>
      </c>
      <c r="B53" s="305" t="s">
        <v>2715</v>
      </c>
      <c r="C53" s="305" t="s">
        <v>2716</v>
      </c>
      <c r="D53" s="324" t="s">
        <v>2717</v>
      </c>
      <c r="E53" s="325" t="s">
        <v>2718</v>
      </c>
      <c r="F53" s="305">
        <v>207592040</v>
      </c>
      <c r="G53" s="305" t="s">
        <v>97</v>
      </c>
      <c r="H53" s="305" t="s">
        <v>121</v>
      </c>
      <c r="I53" s="305" t="s">
        <v>2719</v>
      </c>
      <c r="J53" s="307">
        <v>45943</v>
      </c>
      <c r="K53" s="305" t="s">
        <v>2720</v>
      </c>
      <c r="L53" s="305" t="s">
        <v>2719</v>
      </c>
      <c r="M53" s="307">
        <v>45945</v>
      </c>
      <c r="N53" s="305" t="s">
        <v>2721</v>
      </c>
      <c r="O53" s="305" t="s">
        <v>97</v>
      </c>
      <c r="P53" s="305" t="s">
        <v>2198</v>
      </c>
      <c r="Q53" s="305" t="s">
        <v>2199</v>
      </c>
      <c r="R53" s="305" t="s">
        <v>2249</v>
      </c>
      <c r="S53" s="305" t="s">
        <v>2201</v>
      </c>
      <c r="T53" s="305" t="s">
        <v>2225</v>
      </c>
      <c r="U53" s="305" t="s">
        <v>2239</v>
      </c>
      <c r="V53" s="326"/>
      <c r="W53" s="326"/>
      <c r="X53" s="309"/>
      <c r="Y53" s="295" t="s">
        <v>98</v>
      </c>
      <c r="Z53" s="295" t="s">
        <v>98</v>
      </c>
      <c r="AA53" s="295" t="s">
        <v>98</v>
      </c>
      <c r="AB53" s="295" t="s">
        <v>98</v>
      </c>
      <c r="AC53" s="302" t="s">
        <v>2719</v>
      </c>
      <c r="AD53" s="302" t="s">
        <v>126</v>
      </c>
      <c r="AE53" s="310">
        <v>45943</v>
      </c>
      <c r="AF53" s="302" t="s">
        <v>2722</v>
      </c>
      <c r="AG53" s="302" t="s">
        <v>2723</v>
      </c>
      <c r="AH53" s="302" t="s">
        <v>2719</v>
      </c>
      <c r="AI53" s="310">
        <v>45945</v>
      </c>
      <c r="AJ53" s="302" t="s">
        <v>2724</v>
      </c>
      <c r="AK53" s="302" t="s">
        <v>2725</v>
      </c>
      <c r="AL53" s="303">
        <v>534.36</v>
      </c>
      <c r="AM53" s="302" t="s">
        <v>2210</v>
      </c>
      <c r="AN53" s="304">
        <v>0</v>
      </c>
      <c r="AO53" s="304">
        <v>1</v>
      </c>
      <c r="AP53" s="304">
        <v>1</v>
      </c>
      <c r="AQ53" s="304">
        <v>0</v>
      </c>
      <c r="AR53" s="310">
        <v>45943</v>
      </c>
      <c r="AS53" s="310">
        <v>45945</v>
      </c>
      <c r="AT53" s="302">
        <v>2</v>
      </c>
      <c r="AU53" s="302"/>
      <c r="AV53" s="302"/>
      <c r="AW53" s="302"/>
    </row>
    <row r="54" spans="1:73" s="299" customFormat="1" ht="15" customHeight="1">
      <c r="A54" s="290">
        <v>52</v>
      </c>
      <c r="B54" s="293" t="s">
        <v>2726</v>
      </c>
      <c r="C54" s="293" t="s">
        <v>2727</v>
      </c>
      <c r="D54" s="293">
        <v>40753163229</v>
      </c>
      <c r="E54" s="293" t="s">
        <v>2728</v>
      </c>
      <c r="F54" s="293" t="s">
        <v>2729</v>
      </c>
      <c r="G54" s="293" t="s">
        <v>97</v>
      </c>
      <c r="H54" s="293" t="s">
        <v>121</v>
      </c>
      <c r="I54" s="293" t="s">
        <v>2660</v>
      </c>
      <c r="J54" s="293" t="s">
        <v>2259</v>
      </c>
      <c r="K54" s="293" t="s">
        <v>2730</v>
      </c>
      <c r="L54" s="293" t="s">
        <v>2660</v>
      </c>
      <c r="M54" s="293" t="s">
        <v>2710</v>
      </c>
      <c r="N54" s="293" t="s">
        <v>2731</v>
      </c>
      <c r="O54" s="293" t="s">
        <v>97</v>
      </c>
      <c r="P54" s="293" t="s">
        <v>2263</v>
      </c>
      <c r="Q54" s="293" t="s">
        <v>2199</v>
      </c>
      <c r="R54" s="293" t="s">
        <v>2569</v>
      </c>
      <c r="S54" s="293" t="s">
        <v>2224</v>
      </c>
      <c r="T54" s="293" t="s">
        <v>2238</v>
      </c>
      <c r="U54" s="293" t="s">
        <v>2203</v>
      </c>
      <c r="V54" s="327"/>
      <c r="W54" s="327"/>
      <c r="X54" s="301"/>
      <c r="Y54" s="295" t="s">
        <v>98</v>
      </c>
      <c r="Z54" s="295" t="s">
        <v>98</v>
      </c>
      <c r="AA54" s="295" t="s">
        <v>98</v>
      </c>
      <c r="AB54" s="295" t="s">
        <v>98</v>
      </c>
      <c r="AC54" s="328" t="s">
        <v>2660</v>
      </c>
      <c r="AD54" s="328" t="s">
        <v>2251</v>
      </c>
      <c r="AE54" s="329">
        <v>45942</v>
      </c>
      <c r="AF54" s="328" t="s">
        <v>2732</v>
      </c>
      <c r="AG54" s="328" t="s">
        <v>2733</v>
      </c>
      <c r="AH54" s="328" t="s">
        <v>2660</v>
      </c>
      <c r="AI54" s="329">
        <v>45946</v>
      </c>
      <c r="AJ54" s="328" t="s">
        <v>2734</v>
      </c>
      <c r="AK54" s="328" t="s">
        <v>1158</v>
      </c>
      <c r="AL54" s="330">
        <v>548.67999999999995</v>
      </c>
      <c r="AM54" s="328" t="s">
        <v>2296</v>
      </c>
      <c r="AN54" s="298">
        <v>1</v>
      </c>
      <c r="AO54" s="298">
        <v>1</v>
      </c>
      <c r="AP54" s="298">
        <v>1</v>
      </c>
      <c r="AQ54" s="298">
        <v>1</v>
      </c>
      <c r="AR54" s="329">
        <v>45942</v>
      </c>
      <c r="AS54" s="329">
        <v>45946</v>
      </c>
      <c r="AT54" s="328">
        <v>4</v>
      </c>
      <c r="AU54" s="328"/>
      <c r="AV54" s="328"/>
      <c r="AW54" s="328"/>
    </row>
    <row r="55" spans="1:73" s="212" customFormat="1" ht="15" customHeight="1">
      <c r="A55" s="290">
        <v>53</v>
      </c>
      <c r="B55" s="403" t="s">
        <v>2735</v>
      </c>
      <c r="C55" s="403" t="s">
        <v>2736</v>
      </c>
      <c r="D55" s="403" t="s">
        <v>2737</v>
      </c>
      <c r="E55" s="403" t="s">
        <v>2738</v>
      </c>
      <c r="F55" s="403" t="s">
        <v>2739</v>
      </c>
      <c r="G55" s="403" t="s">
        <v>97</v>
      </c>
      <c r="H55" s="403" t="s">
        <v>121</v>
      </c>
      <c r="I55" s="403" t="s">
        <v>2740</v>
      </c>
      <c r="J55" s="589">
        <v>45942</v>
      </c>
      <c r="K55" s="403" t="s">
        <v>1125</v>
      </c>
      <c r="L55" s="403" t="s">
        <v>2524</v>
      </c>
      <c r="M55" s="589">
        <v>45946</v>
      </c>
      <c r="N55" s="403" t="s">
        <v>2741</v>
      </c>
      <c r="O55" s="403" t="s">
        <v>97</v>
      </c>
      <c r="P55" s="403" t="s">
        <v>2263</v>
      </c>
      <c r="Q55" s="403" t="s">
        <v>2222</v>
      </c>
      <c r="R55" s="403" t="s">
        <v>2200</v>
      </c>
      <c r="S55" s="403" t="s">
        <v>2201</v>
      </c>
      <c r="T55" s="403" t="s">
        <v>2238</v>
      </c>
      <c r="U55" s="403" t="s">
        <v>2239</v>
      </c>
      <c r="V55" s="403"/>
      <c r="W55" s="403"/>
      <c r="X55" s="404"/>
      <c r="Y55" s="295" t="s">
        <v>98</v>
      </c>
      <c r="Z55" s="295" t="s">
        <v>1006</v>
      </c>
      <c r="AA55" s="295" t="s">
        <v>1006</v>
      </c>
      <c r="AB55" s="295" t="s">
        <v>1006</v>
      </c>
      <c r="AC55" s="405"/>
      <c r="AD55" s="405"/>
      <c r="AE55" s="405"/>
      <c r="AF55" s="405"/>
      <c r="AG55" s="405"/>
      <c r="AH55" s="405"/>
      <c r="AI55" s="405"/>
      <c r="AJ55" s="405"/>
      <c r="AK55" s="405"/>
      <c r="AL55" s="406"/>
      <c r="AM55" s="405" t="s">
        <v>2296</v>
      </c>
      <c r="AN55" s="407"/>
      <c r="AO55" s="407"/>
      <c r="AP55" s="407"/>
      <c r="AQ55" s="407"/>
      <c r="AR55" s="405"/>
      <c r="AS55" s="405"/>
      <c r="AT55" s="405"/>
      <c r="AU55" s="405"/>
      <c r="AV55" s="405"/>
      <c r="AW55" s="405"/>
      <c r="AX55" s="404"/>
      <c r="AY55" s="404"/>
      <c r="AZ55" s="299"/>
      <c r="BA55" s="299"/>
      <c r="BB55" s="299"/>
      <c r="BC55" s="299"/>
      <c r="BD55" s="299"/>
      <c r="BE55" s="299"/>
      <c r="BF55" s="299"/>
      <c r="BG55" s="299"/>
      <c r="BH55" s="299"/>
      <c r="BI55" s="299"/>
      <c r="BJ55" s="299"/>
      <c r="BK55" s="299"/>
      <c r="BL55" s="299"/>
      <c r="BM55" s="299"/>
      <c r="BN55" s="299"/>
      <c r="BO55" s="299"/>
      <c r="BP55" s="299"/>
      <c r="BQ55" s="299"/>
      <c r="BR55" s="299"/>
      <c r="BS55" s="299"/>
      <c r="BT55" s="299"/>
      <c r="BU55" s="299"/>
    </row>
    <row r="56" spans="1:73" s="400" customFormat="1" ht="15" customHeight="1">
      <c r="A56" s="290">
        <v>54</v>
      </c>
      <c r="B56" s="590" t="s">
        <v>2742</v>
      </c>
      <c r="C56" s="590" t="s">
        <v>2743</v>
      </c>
      <c r="D56" s="591" t="s">
        <v>2744</v>
      </c>
      <c r="E56" s="590" t="s">
        <v>2745</v>
      </c>
      <c r="F56" s="590">
        <v>15384089</v>
      </c>
      <c r="G56" s="590" t="s">
        <v>97</v>
      </c>
      <c r="H56" s="590" t="s">
        <v>121</v>
      </c>
      <c r="I56" s="590" t="s">
        <v>473</v>
      </c>
      <c r="J56" s="590">
        <v>13</v>
      </c>
      <c r="K56" s="590" t="s">
        <v>1125</v>
      </c>
      <c r="L56" s="590" t="s">
        <v>473</v>
      </c>
      <c r="M56" s="590">
        <v>16</v>
      </c>
      <c r="N56" s="590" t="s">
        <v>445</v>
      </c>
      <c r="O56" s="590" t="s">
        <v>97</v>
      </c>
      <c r="P56" s="590" t="s">
        <v>2263</v>
      </c>
      <c r="Q56" s="592" t="s">
        <v>2222</v>
      </c>
      <c r="R56" s="590" t="s">
        <v>2569</v>
      </c>
      <c r="S56" s="593"/>
      <c r="T56" s="432"/>
      <c r="U56" s="432"/>
      <c r="V56" s="432"/>
      <c r="W56" s="396"/>
      <c r="X56" s="397"/>
      <c r="Y56" s="295" t="s">
        <v>98</v>
      </c>
      <c r="Z56" s="295" t="s">
        <v>98</v>
      </c>
      <c r="AA56" s="295" t="s">
        <v>98</v>
      </c>
      <c r="AB56" s="295" t="s">
        <v>98</v>
      </c>
      <c r="AC56" s="399" t="s">
        <v>473</v>
      </c>
      <c r="AD56" s="399" t="s">
        <v>126</v>
      </c>
      <c r="AE56" s="828">
        <v>45943</v>
      </c>
      <c r="AF56" s="399" t="s">
        <v>2746</v>
      </c>
      <c r="AG56" s="399" t="s">
        <v>2747</v>
      </c>
      <c r="AH56" s="399" t="s">
        <v>473</v>
      </c>
      <c r="AI56" s="828">
        <v>45946</v>
      </c>
      <c r="AJ56" s="399" t="s">
        <v>2748</v>
      </c>
      <c r="AK56" s="399" t="s">
        <v>2749</v>
      </c>
      <c r="AL56" s="476">
        <v>472.32</v>
      </c>
      <c r="AM56" s="477" t="s">
        <v>2296</v>
      </c>
      <c r="AN56" s="478">
        <v>0</v>
      </c>
      <c r="AO56" s="478">
        <v>1</v>
      </c>
      <c r="AP56" s="478">
        <v>1</v>
      </c>
      <c r="AQ56" s="478">
        <v>1</v>
      </c>
      <c r="AR56" s="828">
        <v>45943</v>
      </c>
      <c r="AS56" s="828">
        <v>45946</v>
      </c>
      <c r="AT56" s="399">
        <v>3</v>
      </c>
      <c r="AU56" s="399"/>
      <c r="AV56" s="399"/>
      <c r="AW56" s="399"/>
      <c r="AX56" s="397"/>
      <c r="AY56" s="397"/>
      <c r="AZ56" s="397"/>
      <c r="BA56" s="397"/>
      <c r="BB56" s="397"/>
      <c r="BC56" s="397"/>
      <c r="BD56" s="397"/>
      <c r="BE56" s="397"/>
      <c r="BF56" s="397"/>
      <c r="BG56" s="397"/>
      <c r="BH56" s="299"/>
      <c r="BI56" s="299"/>
      <c r="BJ56" s="299"/>
      <c r="BK56" s="299"/>
      <c r="BL56" s="299"/>
      <c r="BM56" s="299"/>
      <c r="BN56" s="299"/>
      <c r="BO56" s="299"/>
      <c r="BP56" s="299"/>
      <c r="BQ56" s="299"/>
      <c r="BR56" s="299"/>
      <c r="BS56" s="299"/>
      <c r="BT56" s="299"/>
      <c r="BU56" s="299"/>
    </row>
    <row r="57" spans="1:73" s="400" customFormat="1" ht="12.75" customHeight="1">
      <c r="A57" s="290">
        <v>55</v>
      </c>
      <c r="B57" s="594" t="s">
        <v>2750</v>
      </c>
      <c r="C57" s="594" t="s">
        <v>2751</v>
      </c>
      <c r="D57" s="594" t="s">
        <v>2752</v>
      </c>
      <c r="E57" s="594" t="s">
        <v>2753</v>
      </c>
      <c r="F57" s="594" t="s">
        <v>2754</v>
      </c>
      <c r="G57" s="594" t="s">
        <v>97</v>
      </c>
      <c r="H57" s="594" t="s">
        <v>579</v>
      </c>
      <c r="I57" s="594" t="s">
        <v>2755</v>
      </c>
      <c r="J57" s="594" t="s">
        <v>2259</v>
      </c>
      <c r="K57" s="594" t="s">
        <v>2756</v>
      </c>
      <c r="L57" s="594" t="s">
        <v>2757</v>
      </c>
      <c r="M57" s="594" t="s">
        <v>2758</v>
      </c>
      <c r="N57" s="594" t="s">
        <v>2759</v>
      </c>
      <c r="O57" s="594" t="s">
        <v>97</v>
      </c>
      <c r="P57" s="594" t="s">
        <v>2221</v>
      </c>
      <c r="Q57" s="594" t="s">
        <v>2199</v>
      </c>
      <c r="R57" s="594" t="s">
        <v>2569</v>
      </c>
      <c r="S57" s="594"/>
      <c r="T57" s="397"/>
      <c r="U57" s="397"/>
      <c r="V57" s="595" t="s">
        <v>2760</v>
      </c>
      <c r="W57" s="430"/>
      <c r="X57" s="397"/>
      <c r="Y57" s="295" t="s">
        <v>98</v>
      </c>
      <c r="Z57" s="295" t="s">
        <v>1006</v>
      </c>
      <c r="AA57" s="295" t="s">
        <v>1006</v>
      </c>
      <c r="AB57" s="295" t="s">
        <v>1006</v>
      </c>
      <c r="AC57" s="408"/>
      <c r="AD57" s="408"/>
      <c r="AE57" s="408"/>
      <c r="AF57" s="408"/>
      <c r="AG57" s="408"/>
      <c r="AH57" s="408"/>
      <c r="AI57" s="408"/>
      <c r="AJ57" s="408"/>
      <c r="AK57" s="474"/>
      <c r="AL57" s="397"/>
      <c r="AM57" s="399" t="s">
        <v>2296</v>
      </c>
      <c r="AN57" s="397"/>
      <c r="AO57" s="397"/>
      <c r="AP57" s="397"/>
      <c r="AQ57" s="397"/>
      <c r="AR57" s="475"/>
      <c r="AS57" s="408"/>
      <c r="AT57" s="408"/>
      <c r="AU57" s="408"/>
      <c r="AV57" s="408"/>
      <c r="AW57" s="408"/>
      <c r="AX57" s="397"/>
      <c r="AY57" s="397"/>
      <c r="AZ57" s="397"/>
      <c r="BA57" s="397"/>
      <c r="BB57" s="397"/>
      <c r="BC57" s="397"/>
      <c r="BD57" s="397"/>
      <c r="BE57" s="397"/>
      <c r="BF57" s="397"/>
      <c r="BG57" s="397"/>
      <c r="BH57" s="299"/>
      <c r="BI57" s="299"/>
      <c r="BJ57" s="299"/>
      <c r="BK57" s="299"/>
      <c r="BL57" s="299"/>
      <c r="BM57" s="299"/>
      <c r="BN57" s="299"/>
      <c r="BO57" s="299"/>
      <c r="BP57" s="299"/>
      <c r="BQ57" s="299"/>
      <c r="BR57" s="299"/>
      <c r="BS57" s="299"/>
      <c r="BT57" s="299"/>
      <c r="BU57" s="299"/>
    </row>
    <row r="58" spans="1:73" s="402" customFormat="1" ht="15" customHeight="1">
      <c r="A58" s="290">
        <v>56</v>
      </c>
      <c r="B58" s="594" t="s">
        <v>2761</v>
      </c>
      <c r="C58" s="594" t="s">
        <v>2762</v>
      </c>
      <c r="D58" s="596" t="s">
        <v>2763</v>
      </c>
      <c r="E58" s="594" t="s">
        <v>2764</v>
      </c>
      <c r="F58" s="594" t="s">
        <v>2765</v>
      </c>
      <c r="G58" s="594" t="s">
        <v>97</v>
      </c>
      <c r="H58" s="594" t="s">
        <v>121</v>
      </c>
      <c r="I58" s="594" t="s">
        <v>1149</v>
      </c>
      <c r="J58" s="594" t="s">
        <v>2567</v>
      </c>
      <c r="K58" s="594" t="s">
        <v>2766</v>
      </c>
      <c r="L58" s="594" t="s">
        <v>1149</v>
      </c>
      <c r="M58" s="594" t="s">
        <v>2767</v>
      </c>
      <c r="N58" s="594" t="s">
        <v>2768</v>
      </c>
      <c r="O58" s="594" t="s">
        <v>97</v>
      </c>
      <c r="P58" s="594" t="s">
        <v>2221</v>
      </c>
      <c r="Q58" s="594" t="s">
        <v>2222</v>
      </c>
      <c r="R58" s="594" t="s">
        <v>2569</v>
      </c>
      <c r="S58" s="597"/>
      <c r="T58" s="32"/>
      <c r="U58" s="32"/>
      <c r="V58" s="32"/>
      <c r="W58" s="431"/>
      <c r="X58" s="32"/>
      <c r="Y58" s="295" t="s">
        <v>98</v>
      </c>
      <c r="Z58" s="295" t="s">
        <v>98</v>
      </c>
      <c r="AA58" s="295" t="s">
        <v>98</v>
      </c>
      <c r="AB58" s="295" t="s">
        <v>98</v>
      </c>
      <c r="AC58" s="398" t="s">
        <v>1149</v>
      </c>
      <c r="AD58" s="398" t="s">
        <v>126</v>
      </c>
      <c r="AE58" s="472">
        <v>45942</v>
      </c>
      <c r="AF58" s="398" t="s">
        <v>2769</v>
      </c>
      <c r="AG58" s="398" t="s">
        <v>2770</v>
      </c>
      <c r="AH58" s="398" t="s">
        <v>1149</v>
      </c>
      <c r="AI58" s="472">
        <v>45946</v>
      </c>
      <c r="AJ58" s="398" t="s">
        <v>2627</v>
      </c>
      <c r="AK58" s="398" t="s">
        <v>2771</v>
      </c>
      <c r="AL58" s="829">
        <v>539.22</v>
      </c>
      <c r="AM58" s="479" t="s">
        <v>2296</v>
      </c>
      <c r="AN58" s="479">
        <v>1</v>
      </c>
      <c r="AO58" s="479">
        <v>1</v>
      </c>
      <c r="AP58" s="479">
        <v>1</v>
      </c>
      <c r="AQ58" s="479">
        <v>1</v>
      </c>
      <c r="AR58" s="472">
        <v>45942</v>
      </c>
      <c r="AS58" s="472">
        <v>45946</v>
      </c>
      <c r="AT58" s="398">
        <v>4</v>
      </c>
      <c r="AU58" s="398"/>
      <c r="AV58" s="398"/>
      <c r="AW58" s="398"/>
      <c r="AX58" s="32"/>
      <c r="AY58" s="32"/>
      <c r="AZ58" s="32"/>
      <c r="BA58" s="32"/>
      <c r="BB58" s="32"/>
      <c r="BC58" s="32"/>
      <c r="BD58" s="32"/>
      <c r="BE58" s="32"/>
      <c r="BF58" s="32"/>
      <c r="BG58" s="32"/>
      <c r="BH58" s="411"/>
      <c r="BI58" s="411"/>
      <c r="BJ58" s="411"/>
      <c r="BK58" s="411"/>
      <c r="BL58" s="411"/>
      <c r="BM58" s="411"/>
      <c r="BN58" s="411"/>
      <c r="BO58" s="411"/>
      <c r="BP58" s="411"/>
      <c r="BQ58" s="411"/>
      <c r="BR58" s="411"/>
      <c r="BS58" s="411"/>
      <c r="BT58" s="411"/>
      <c r="BU58" s="411"/>
    </row>
    <row r="59" spans="1:73" s="402" customFormat="1" ht="15" customHeight="1">
      <c r="A59" s="290">
        <v>57</v>
      </c>
      <c r="B59" s="598" t="s">
        <v>2772</v>
      </c>
      <c r="C59" s="598" t="s">
        <v>2773</v>
      </c>
      <c r="D59" s="599" t="s">
        <v>2774</v>
      </c>
      <c r="E59" s="598" t="s">
        <v>2504</v>
      </c>
      <c r="F59" s="598" t="s">
        <v>2775</v>
      </c>
      <c r="G59" s="598" t="s">
        <v>97</v>
      </c>
      <c r="H59" s="598" t="s">
        <v>121</v>
      </c>
      <c r="I59" s="598" t="s">
        <v>2776</v>
      </c>
      <c r="J59" s="598" t="s">
        <v>2777</v>
      </c>
      <c r="K59" s="598" t="s">
        <v>499</v>
      </c>
      <c r="L59" s="598" t="s">
        <v>2776</v>
      </c>
      <c r="M59" s="598" t="s">
        <v>2778</v>
      </c>
      <c r="N59" s="598" t="s">
        <v>2779</v>
      </c>
      <c r="O59" s="598" t="s">
        <v>97</v>
      </c>
      <c r="P59" s="598" t="s">
        <v>2198</v>
      </c>
      <c r="Q59" s="598" t="s">
        <v>2199</v>
      </c>
      <c r="R59" s="598" t="s">
        <v>2569</v>
      </c>
      <c r="S59" s="593"/>
      <c r="T59" s="585"/>
      <c r="U59" s="585"/>
      <c r="V59" s="585"/>
      <c r="W59" s="431"/>
      <c r="X59" s="32"/>
      <c r="Y59" s="295" t="s">
        <v>98</v>
      </c>
      <c r="Z59" s="295" t="s">
        <v>98</v>
      </c>
      <c r="AA59" s="295" t="s">
        <v>98</v>
      </c>
      <c r="AB59" s="295" t="s">
        <v>98</v>
      </c>
      <c r="AC59" s="398" t="s">
        <v>2780</v>
      </c>
      <c r="AD59" s="398" t="s">
        <v>2251</v>
      </c>
      <c r="AE59" s="472">
        <v>45942</v>
      </c>
      <c r="AF59" s="398" t="s">
        <v>2781</v>
      </c>
      <c r="AG59" s="398" t="s">
        <v>2782</v>
      </c>
      <c r="AH59" s="398" t="s">
        <v>2506</v>
      </c>
      <c r="AI59" s="472">
        <v>45946</v>
      </c>
      <c r="AJ59" s="398" t="s">
        <v>2783</v>
      </c>
      <c r="AK59" s="398" t="s">
        <v>2784</v>
      </c>
      <c r="AL59" s="830">
        <v>452.87</v>
      </c>
      <c r="AM59" s="398" t="s">
        <v>2296</v>
      </c>
      <c r="AN59" s="398">
        <v>1</v>
      </c>
      <c r="AO59" s="398">
        <v>1</v>
      </c>
      <c r="AP59" s="398">
        <v>1</v>
      </c>
      <c r="AQ59" s="398">
        <v>1</v>
      </c>
      <c r="AR59" s="472">
        <v>45942</v>
      </c>
      <c r="AS59" s="472">
        <v>45946</v>
      </c>
      <c r="AT59" s="398">
        <v>4</v>
      </c>
      <c r="AU59" s="398"/>
      <c r="AV59" s="398"/>
      <c r="AW59" s="398"/>
      <c r="AX59" s="32"/>
      <c r="AY59" s="32"/>
      <c r="AZ59" s="32"/>
      <c r="BA59" s="32"/>
      <c r="BB59" s="32"/>
      <c r="BC59" s="32"/>
      <c r="BD59" s="32"/>
      <c r="BE59" s="32"/>
      <c r="BF59" s="32"/>
      <c r="BG59" s="32"/>
      <c r="BH59" s="411"/>
      <c r="BI59" s="411"/>
      <c r="BJ59" s="411"/>
      <c r="BK59" s="411"/>
      <c r="BL59" s="411"/>
      <c r="BM59" s="411"/>
      <c r="BN59" s="411"/>
      <c r="BO59" s="411"/>
      <c r="BP59" s="411"/>
      <c r="BQ59" s="411"/>
      <c r="BR59" s="411"/>
      <c r="BS59" s="411"/>
      <c r="BT59" s="411"/>
      <c r="BU59" s="411"/>
    </row>
    <row r="60" spans="1:73" s="411" customFormat="1" ht="15" customHeight="1">
      <c r="A60" s="290">
        <v>58</v>
      </c>
      <c r="B60" s="586" t="s">
        <v>2785</v>
      </c>
      <c r="C60" s="586" t="s">
        <v>2786</v>
      </c>
      <c r="D60" s="587">
        <v>306948754561</v>
      </c>
      <c r="E60" s="586" t="s">
        <v>2787</v>
      </c>
      <c r="F60" s="586" t="s">
        <v>2788</v>
      </c>
      <c r="G60" s="586" t="s">
        <v>97</v>
      </c>
      <c r="H60" s="586" t="s">
        <v>121</v>
      </c>
      <c r="I60" s="586" t="s">
        <v>2789</v>
      </c>
      <c r="J60" s="620">
        <v>45943</v>
      </c>
      <c r="K60" s="586" t="s">
        <v>515</v>
      </c>
      <c r="L60" s="586" t="s">
        <v>2789</v>
      </c>
      <c r="M60" s="620">
        <v>45945</v>
      </c>
      <c r="N60" s="586" t="s">
        <v>515</v>
      </c>
      <c r="O60" s="586" t="s">
        <v>97</v>
      </c>
      <c r="P60" s="586" t="s">
        <v>2198</v>
      </c>
      <c r="Q60" s="586" t="s">
        <v>2477</v>
      </c>
      <c r="R60" s="586" t="s">
        <v>2200</v>
      </c>
      <c r="S60" s="586"/>
      <c r="T60" s="586"/>
      <c r="U60" s="401"/>
      <c r="V60" s="401"/>
      <c r="W60" s="588"/>
      <c r="X60" s="32"/>
      <c r="Y60" s="295"/>
      <c r="Z60" s="398"/>
      <c r="AA60" s="398"/>
      <c r="AB60" s="398"/>
      <c r="AC60" s="398"/>
      <c r="AD60" s="398"/>
      <c r="AE60" s="398"/>
      <c r="AF60" s="398"/>
      <c r="AG60" s="398"/>
      <c r="AH60" s="398"/>
      <c r="AI60" s="398"/>
      <c r="AJ60" s="398"/>
      <c r="AK60" s="398"/>
      <c r="AL60" s="830"/>
      <c r="AM60" s="398"/>
      <c r="AN60" s="398"/>
      <c r="AO60" s="398"/>
      <c r="AP60" s="398"/>
      <c r="AQ60" s="398"/>
      <c r="AR60" s="398"/>
      <c r="AS60" s="398"/>
      <c r="AT60" s="398"/>
      <c r="AU60" s="398"/>
      <c r="AV60" s="398"/>
      <c r="AW60" s="398"/>
      <c r="AX60" s="32"/>
      <c r="AY60" s="32"/>
      <c r="AZ60" s="32"/>
      <c r="BA60" s="32"/>
      <c r="BB60" s="32"/>
      <c r="BC60" s="32"/>
      <c r="BD60" s="32"/>
      <c r="BE60" s="32"/>
      <c r="BF60" s="32"/>
      <c r="BG60" s="32"/>
    </row>
    <row r="61" spans="1:73" s="411" customFormat="1" ht="15" customHeight="1">
      <c r="A61" s="290">
        <v>59</v>
      </c>
      <c r="B61" s="586" t="s">
        <v>2790</v>
      </c>
      <c r="C61" s="586" t="s">
        <v>2791</v>
      </c>
      <c r="D61" s="586">
        <v>36203155829</v>
      </c>
      <c r="E61" s="586" t="s">
        <v>2792</v>
      </c>
      <c r="F61" s="586" t="s">
        <v>2793</v>
      </c>
      <c r="G61" s="586" t="s">
        <v>97</v>
      </c>
      <c r="H61" s="586" t="s">
        <v>121</v>
      </c>
      <c r="I61" s="586" t="s">
        <v>237</v>
      </c>
      <c r="J61" s="621" t="s">
        <v>2259</v>
      </c>
      <c r="K61" s="586" t="s">
        <v>499</v>
      </c>
      <c r="L61" s="586" t="s">
        <v>237</v>
      </c>
      <c r="M61" s="600">
        <v>45945</v>
      </c>
      <c r="N61" s="586" t="s">
        <v>183</v>
      </c>
      <c r="O61" s="586" t="s">
        <v>97</v>
      </c>
      <c r="P61" s="586" t="s">
        <v>2263</v>
      </c>
      <c r="Q61" s="586" t="s">
        <v>2222</v>
      </c>
      <c r="R61" s="586" t="s">
        <v>2569</v>
      </c>
      <c r="S61" s="586"/>
      <c r="T61" s="586"/>
      <c r="U61" s="401"/>
      <c r="V61" s="401"/>
      <c r="W61" s="588"/>
      <c r="X61" s="32"/>
      <c r="Y61" s="295"/>
      <c r="Z61" s="398"/>
      <c r="AA61" s="398"/>
      <c r="AB61" s="398"/>
      <c r="AC61" s="398"/>
      <c r="AD61" s="398"/>
      <c r="AE61" s="398"/>
      <c r="AF61" s="398"/>
      <c r="AG61" s="398"/>
      <c r="AH61" s="398"/>
      <c r="AI61" s="398"/>
      <c r="AJ61" s="398"/>
      <c r="AK61" s="398"/>
      <c r="AL61" s="830"/>
      <c r="AM61" s="398"/>
      <c r="AN61" s="398"/>
      <c r="AO61" s="398"/>
      <c r="AP61" s="398"/>
      <c r="AQ61" s="398"/>
      <c r="AR61" s="398"/>
      <c r="AS61" s="398"/>
      <c r="AT61" s="398"/>
      <c r="AU61" s="398"/>
      <c r="AV61" s="398"/>
      <c r="AW61" s="398"/>
      <c r="AX61" s="32"/>
      <c r="AY61" s="32"/>
      <c r="AZ61" s="32"/>
      <c r="BA61" s="32"/>
      <c r="BB61" s="32"/>
      <c r="BC61" s="32"/>
      <c r="BD61" s="32"/>
      <c r="BE61" s="32"/>
      <c r="BF61" s="32"/>
      <c r="BG61" s="32"/>
    </row>
    <row r="62" spans="1:73" s="411" customFormat="1" ht="15" customHeight="1">
      <c r="A62" s="290">
        <v>60</v>
      </c>
      <c r="B62" s="831" t="s">
        <v>2794</v>
      </c>
      <c r="C62" s="831" t="s">
        <v>2795</v>
      </c>
      <c r="D62" s="831">
        <v>33663800083</v>
      </c>
      <c r="E62" s="831" t="s">
        <v>2796</v>
      </c>
      <c r="F62" s="831" t="s">
        <v>2797</v>
      </c>
      <c r="G62" s="831" t="s">
        <v>97</v>
      </c>
      <c r="H62" s="831" t="s">
        <v>154</v>
      </c>
      <c r="I62" s="831" t="s">
        <v>1323</v>
      </c>
      <c r="J62" s="832" t="s">
        <v>2798</v>
      </c>
      <c r="K62" s="831" t="s">
        <v>2799</v>
      </c>
      <c r="L62" s="831" t="s">
        <v>1323</v>
      </c>
      <c r="M62" s="833">
        <v>45945</v>
      </c>
      <c r="N62" s="831" t="s">
        <v>2800</v>
      </c>
      <c r="O62" s="831" t="s">
        <v>97</v>
      </c>
      <c r="P62" s="831" t="s">
        <v>2263</v>
      </c>
      <c r="Q62" s="831" t="s">
        <v>2199</v>
      </c>
      <c r="R62" s="831" t="s">
        <v>2569</v>
      </c>
      <c r="S62" s="401"/>
      <c r="T62" s="586"/>
      <c r="U62" s="401"/>
      <c r="V62" s="586" t="s">
        <v>2801</v>
      </c>
      <c r="W62" s="588"/>
      <c r="X62" s="32"/>
      <c r="Y62" s="295"/>
      <c r="Z62" s="398"/>
      <c r="AA62" s="398"/>
      <c r="AB62" s="398"/>
      <c r="AC62" s="398"/>
      <c r="AD62" s="398"/>
      <c r="AE62" s="398"/>
      <c r="AF62" s="398"/>
      <c r="AG62" s="398"/>
      <c r="AH62" s="398"/>
      <c r="AI62" s="398"/>
      <c r="AJ62" s="398"/>
      <c r="AK62" s="398"/>
      <c r="AL62" s="398"/>
      <c r="AM62" s="398"/>
      <c r="AN62" s="398"/>
      <c r="AO62" s="398"/>
      <c r="AP62" s="398"/>
      <c r="AQ62" s="398"/>
      <c r="AR62" s="398"/>
      <c r="AS62" s="398"/>
      <c r="AT62" s="398"/>
      <c r="AU62" s="398"/>
      <c r="AV62" s="398"/>
      <c r="AW62" s="398"/>
      <c r="AX62" s="32"/>
      <c r="AY62" s="32"/>
      <c r="AZ62" s="32"/>
      <c r="BA62" s="32"/>
      <c r="BB62" s="32"/>
      <c r="BC62" s="32"/>
      <c r="BD62" s="32"/>
      <c r="BE62" s="32"/>
      <c r="BF62" s="32"/>
      <c r="BG62" s="32"/>
    </row>
    <row r="63" spans="1:73" s="853" customFormat="1" ht="15" customHeight="1">
      <c r="A63" s="841">
        <v>61</v>
      </c>
      <c r="B63" s="842" t="s">
        <v>2802</v>
      </c>
      <c r="C63" s="842" t="s">
        <v>2803</v>
      </c>
      <c r="D63" s="843" t="s">
        <v>2804</v>
      </c>
      <c r="E63" s="842" t="s">
        <v>2805</v>
      </c>
      <c r="F63" s="842" t="s">
        <v>2806</v>
      </c>
      <c r="G63" s="842" t="s">
        <v>97</v>
      </c>
      <c r="H63" s="842" t="s">
        <v>121</v>
      </c>
      <c r="I63" s="842" t="s">
        <v>1380</v>
      </c>
      <c r="J63" s="844">
        <v>45943</v>
      </c>
      <c r="K63" s="845">
        <v>0.37847222222222221</v>
      </c>
      <c r="L63" s="842" t="s">
        <v>1380</v>
      </c>
      <c r="M63" s="844">
        <v>45946</v>
      </c>
      <c r="N63" s="845">
        <v>0.64583333333333337</v>
      </c>
      <c r="O63" s="842" t="s">
        <v>97</v>
      </c>
      <c r="P63" s="842" t="s">
        <v>2221</v>
      </c>
      <c r="Q63" s="842" t="s">
        <v>2477</v>
      </c>
      <c r="R63" s="842" t="s">
        <v>2569</v>
      </c>
      <c r="S63" s="846"/>
      <c r="T63" s="847"/>
      <c r="U63" s="848"/>
      <c r="V63" s="847"/>
      <c r="W63" s="849"/>
      <c r="X63" s="850"/>
      <c r="Y63" s="851"/>
      <c r="Z63" s="852"/>
      <c r="AA63" s="852"/>
      <c r="AB63" s="852"/>
      <c r="AC63" s="852"/>
      <c r="AD63" s="852"/>
      <c r="AE63" s="852"/>
      <c r="AF63" s="852"/>
      <c r="AG63" s="852"/>
      <c r="AH63" s="852"/>
      <c r="AI63" s="852"/>
      <c r="AJ63" s="852"/>
      <c r="AK63" s="852"/>
      <c r="AL63" s="852"/>
      <c r="AM63" s="852"/>
      <c r="AN63" s="852"/>
      <c r="AO63" s="852"/>
      <c r="AP63" s="852"/>
      <c r="AQ63" s="852"/>
      <c r="AR63" s="852"/>
      <c r="AS63" s="852"/>
      <c r="AT63" s="852"/>
      <c r="AU63" s="852"/>
      <c r="AV63" s="852"/>
      <c r="AW63" s="852"/>
      <c r="AX63" s="850"/>
      <c r="AY63" s="850"/>
      <c r="AZ63" s="850"/>
      <c r="BA63" s="850"/>
      <c r="BB63" s="850"/>
      <c r="BC63" s="850"/>
      <c r="BD63" s="850"/>
      <c r="BE63" s="850"/>
      <c r="BF63" s="850"/>
      <c r="BG63" s="850"/>
    </row>
    <row r="64" spans="1:73" s="853" customFormat="1" ht="15" customHeight="1">
      <c r="A64" s="841">
        <v>62</v>
      </c>
      <c r="B64" s="834" t="s">
        <v>2807</v>
      </c>
      <c r="C64" s="834" t="s">
        <v>2808</v>
      </c>
      <c r="D64" s="834">
        <v>40721210598</v>
      </c>
      <c r="E64" s="834" t="s">
        <v>2809</v>
      </c>
      <c r="F64" s="834" t="s">
        <v>2810</v>
      </c>
      <c r="G64" s="834" t="s">
        <v>97</v>
      </c>
      <c r="H64" s="834" t="s">
        <v>121</v>
      </c>
      <c r="I64" s="834" t="s">
        <v>2811</v>
      </c>
      <c r="J64" s="854">
        <v>41183</v>
      </c>
      <c r="K64" s="834" t="s">
        <v>2812</v>
      </c>
      <c r="L64" s="834" t="s">
        <v>2811</v>
      </c>
      <c r="M64" s="854">
        <v>42644</v>
      </c>
      <c r="N64" s="834" t="s">
        <v>2813</v>
      </c>
      <c r="O64" s="834" t="s">
        <v>97</v>
      </c>
      <c r="P64" s="834" t="s">
        <v>2263</v>
      </c>
      <c r="Q64" s="834" t="s">
        <v>2222</v>
      </c>
      <c r="R64" s="834" t="s">
        <v>2569</v>
      </c>
      <c r="S64" s="846"/>
      <c r="T64" s="847"/>
      <c r="U64" s="848"/>
      <c r="V64" s="847"/>
      <c r="W64" s="849"/>
      <c r="X64" s="850"/>
      <c r="Y64" s="851"/>
      <c r="Z64" s="852"/>
      <c r="AA64" s="852"/>
      <c r="AB64" s="852"/>
      <c r="AC64" s="852"/>
      <c r="AD64" s="852"/>
      <c r="AE64" s="852"/>
      <c r="AF64" s="852"/>
      <c r="AG64" s="852"/>
      <c r="AH64" s="852"/>
      <c r="AI64" s="852"/>
      <c r="AJ64" s="852"/>
      <c r="AK64" s="852"/>
      <c r="AL64" s="852"/>
      <c r="AM64" s="852"/>
      <c r="AN64" s="852"/>
      <c r="AO64" s="852"/>
      <c r="AP64" s="852"/>
      <c r="AQ64" s="852"/>
      <c r="AR64" s="852"/>
      <c r="AS64" s="852"/>
      <c r="AT64" s="852"/>
      <c r="AU64" s="852"/>
      <c r="AV64" s="852"/>
      <c r="AW64" s="852"/>
      <c r="AX64" s="850"/>
      <c r="AY64" s="850"/>
      <c r="AZ64" s="850"/>
      <c r="BA64" s="850"/>
      <c r="BB64" s="850"/>
      <c r="BC64" s="850"/>
      <c r="BD64" s="850"/>
      <c r="BE64" s="850"/>
      <c r="BF64" s="850"/>
      <c r="BG64" s="850"/>
    </row>
    <row r="65" spans="1:59" ht="15" customHeight="1">
      <c r="A65" s="290"/>
      <c r="B65" s="837"/>
      <c r="C65" s="837"/>
      <c r="D65" s="838"/>
      <c r="E65" s="837"/>
      <c r="F65" s="837"/>
      <c r="G65" s="837"/>
      <c r="H65" s="837"/>
      <c r="I65" s="837"/>
      <c r="J65" s="839"/>
      <c r="K65" s="840"/>
      <c r="L65" s="837"/>
      <c r="M65" s="839"/>
      <c r="N65" s="840"/>
      <c r="O65" s="837"/>
      <c r="P65" s="837"/>
      <c r="Q65" s="837"/>
      <c r="R65" s="837"/>
      <c r="S65" s="835"/>
      <c r="T65" s="836"/>
      <c r="U65" s="836"/>
      <c r="V65" s="836"/>
      <c r="W65" s="32"/>
      <c r="X65" s="29"/>
      <c r="Y65" s="29"/>
      <c r="Z65" s="29"/>
      <c r="AA65" s="29"/>
      <c r="AB65" s="29"/>
      <c r="AC65" s="29"/>
      <c r="AD65" s="29"/>
      <c r="AE65" s="29"/>
      <c r="AF65" s="29"/>
      <c r="AG65" s="29"/>
      <c r="AH65" s="29"/>
      <c r="AI65" s="29"/>
      <c r="AJ65" s="29"/>
      <c r="AK65" s="29"/>
      <c r="AL65" s="409">
        <f>SUM(AL3:AL59)</f>
        <v>19575.61</v>
      </c>
      <c r="AM65" s="408" t="s">
        <v>1269</v>
      </c>
      <c r="AN65" s="410">
        <f>SUM(AN3:AN59)</f>
        <v>41</v>
      </c>
      <c r="AO65" s="410">
        <f>SUM(AO3:AO59)</f>
        <v>44</v>
      </c>
      <c r="AP65" s="410">
        <f>SUM(AP3:AP59)</f>
        <v>45</v>
      </c>
      <c r="AQ65" s="410">
        <f>SUM(AQ3:AQ59)</f>
        <v>39</v>
      </c>
      <c r="AR65" s="29"/>
      <c r="AS65" s="29"/>
      <c r="AT65" s="29"/>
      <c r="AU65" s="29"/>
      <c r="AV65" s="29"/>
      <c r="AW65" s="29"/>
      <c r="AX65" s="29"/>
      <c r="AY65" s="29"/>
      <c r="AZ65" s="29"/>
      <c r="BA65" s="29"/>
      <c r="BB65" s="29"/>
      <c r="BC65" s="29"/>
      <c r="BD65" s="29"/>
      <c r="BE65" s="29"/>
      <c r="BF65" s="29"/>
      <c r="BG65" s="29"/>
    </row>
    <row r="66" spans="1:59" ht="52" customHeight="1">
      <c r="A66" s="68"/>
      <c r="AM66" s="226" t="s">
        <v>2814</v>
      </c>
      <c r="AN66" s="1">
        <v>4</v>
      </c>
      <c r="AO66" s="1">
        <v>1</v>
      </c>
      <c r="AP66" s="1">
        <v>0</v>
      </c>
      <c r="AQ66" s="1">
        <v>6</v>
      </c>
    </row>
    <row r="67" spans="1:59" ht="52" customHeight="1">
      <c r="A67" s="68" t="s">
        <v>2815</v>
      </c>
    </row>
  </sheetData>
  <autoFilter ref="A2:BK58" xr:uid="{30A2BA9B-B3E9-4EC2-978C-954A2E0DE233}"/>
  <mergeCells count="13">
    <mergeCell ref="AU1:AW1"/>
    <mergeCell ref="AM1:AT1"/>
    <mergeCell ref="B1:F1"/>
    <mergeCell ref="G1:O1"/>
    <mergeCell ref="P1:U1"/>
    <mergeCell ref="V1:X1"/>
    <mergeCell ref="Y1:AB1"/>
    <mergeCell ref="AC1:AK1"/>
    <mergeCell ref="AU43:AU44"/>
    <mergeCell ref="AN43:AN44"/>
    <mergeCell ref="AO43:AO44"/>
    <mergeCell ref="AP43:AP44"/>
    <mergeCell ref="AQ43:AQ44"/>
  </mergeCells>
  <conditionalFormatting sqref="C66:C1048576 C1:C45">
    <cfRule type="duplicateValues" dxfId="9" priority="2"/>
  </conditionalFormatting>
  <conditionalFormatting sqref="C66:C1048576 C1:C49 C51:C54">
    <cfRule type="duplicateValues" dxfId="8" priority="1"/>
  </conditionalFormatting>
  <conditionalFormatting sqref="C66:C1048576 C2:C26">
    <cfRule type="duplicateValues" dxfId="7" priority="6" stopIfTrue="1"/>
  </conditionalFormatting>
  <conditionalFormatting sqref="C66:C1048576 C2:C36">
    <cfRule type="duplicateValues" dxfId="6" priority="5"/>
  </conditionalFormatting>
  <conditionalFormatting sqref="Y3:AB54 Z55:AB59 Y55:Y64">
    <cfRule type="cellIs" dxfId="5" priority="3" operator="equal">
      <formula>"NO"</formula>
    </cfRule>
    <cfRule type="cellIs" dxfId="4" priority="4" operator="equal">
      <formula>"YES"</formula>
    </cfRule>
  </conditionalFormatting>
  <hyperlinks>
    <hyperlink ref="C24" r:id="rId1" xr:uid="{D4D14DEF-81DB-43F1-9396-6F6B67CC7234}"/>
    <hyperlink ref="C27" r:id="rId2" xr:uid="{DA03C818-C2DA-4469-94AF-E92268639334}"/>
    <hyperlink ref="C30" r:id="rId3" xr:uid="{CAF9B9B8-E9F7-4FA6-AD4D-9508ED796780}"/>
    <hyperlink ref="C49" r:id="rId4" xr:uid="{A59A6F18-FB14-481F-9805-3865A7E87DC9}"/>
    <hyperlink ref="C7" r:id="rId5" xr:uid="{11A53203-BA0D-41B1-950A-650ABDEE412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923F54F-1276-419D-A344-F6B8746E29D5}">
          <x14:formula1>
            <xm:f>Hoja1!$A$1:$A$2</xm:f>
          </x14:formula1>
          <xm:sqref>Y37:Y64 Z37:AB59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60321-BBDA-4108-8162-2AA956C47C86}">
  <dimension ref="A1:AS44"/>
  <sheetViews>
    <sheetView workbookViewId="0">
      <pane xSplit="4" ySplit="2" topLeftCell="V29" activePane="bottomRight" state="frozen"/>
      <selection pane="topRight" activeCell="D1" sqref="D1"/>
      <selection pane="bottomLeft" activeCell="A3" sqref="A3"/>
      <selection pane="bottomRight" activeCell="X4" sqref="X4"/>
    </sheetView>
  </sheetViews>
  <sheetFormatPr baseColWidth="10" defaultColWidth="11.5" defaultRowHeight="15"/>
  <cols>
    <col min="1" max="1" width="11.1640625" customWidth="1"/>
    <col min="2" max="5" width="20.5" customWidth="1"/>
    <col min="6" max="6" width="34.5" style="1" customWidth="1"/>
    <col min="7" max="7" width="19.1640625" customWidth="1"/>
    <col min="8" max="8" width="13" customWidth="1"/>
    <col min="9" max="9" width="8" customWidth="1"/>
    <col min="10" max="10" width="7.5" customWidth="1"/>
    <col min="11" max="11" width="23.83203125" customWidth="1"/>
    <col min="12" max="13" width="41" customWidth="1"/>
    <col min="14" max="14" width="177.5" customWidth="1"/>
    <col min="15" max="15" width="44.6640625" customWidth="1"/>
    <col min="16" max="16" width="25.5" customWidth="1"/>
    <col min="17" max="17" width="45.5" customWidth="1"/>
    <col min="18" max="18" width="42.83203125" customWidth="1"/>
    <col min="19" max="19" width="44.5" customWidth="1"/>
    <col min="24" max="40" width="23" customWidth="1"/>
    <col min="41" max="42" width="23" hidden="1" customWidth="1"/>
    <col min="43" max="45" width="23" customWidth="1"/>
  </cols>
  <sheetData>
    <row r="1" spans="1:45" ht="19" customHeight="1">
      <c r="A1" s="1221" t="s">
        <v>2816</v>
      </c>
      <c r="B1" s="1221"/>
      <c r="C1" s="1221"/>
      <c r="D1" s="1221"/>
      <c r="E1" s="1221"/>
      <c r="F1" s="1221"/>
      <c r="G1" s="1221"/>
      <c r="H1" s="1221"/>
      <c r="I1" s="1221"/>
      <c r="J1" s="1221"/>
      <c r="K1" s="1221"/>
      <c r="L1" s="1221"/>
      <c r="M1" s="1221"/>
      <c r="N1" s="1221"/>
      <c r="O1" s="1221"/>
      <c r="P1" s="1221"/>
      <c r="Q1" s="1221"/>
      <c r="R1" s="1221"/>
      <c r="S1" s="1221"/>
      <c r="T1" s="1222" t="s">
        <v>2164</v>
      </c>
      <c r="U1" s="1222"/>
      <c r="V1" s="1222"/>
      <c r="W1" s="1222"/>
      <c r="X1" s="1093" t="s">
        <v>3</v>
      </c>
      <c r="Y1" s="1093"/>
      <c r="Z1" s="1093"/>
      <c r="AA1" s="1093"/>
      <c r="AB1" s="1093"/>
      <c r="AC1" s="1093"/>
      <c r="AD1" s="1093"/>
      <c r="AE1" s="1093"/>
      <c r="AF1" s="1093"/>
      <c r="AG1" s="1093"/>
      <c r="AH1" s="1094" t="s">
        <v>2817</v>
      </c>
      <c r="AI1" s="1094"/>
      <c r="AJ1" s="1094"/>
      <c r="AK1" s="1094"/>
      <c r="AL1" s="1094"/>
      <c r="AM1" s="1094"/>
      <c r="AN1" s="1094"/>
      <c r="AO1" s="1094"/>
      <c r="AP1" s="1094"/>
      <c r="AQ1" s="1217" t="s">
        <v>4</v>
      </c>
      <c r="AR1" s="1217"/>
      <c r="AS1" s="1217"/>
    </row>
    <row r="2" spans="1:45" s="31" customFormat="1" ht="92.25" customHeight="1">
      <c r="A2" s="136" t="s">
        <v>2818</v>
      </c>
      <c r="B2" s="136" t="s">
        <v>2819</v>
      </c>
      <c r="C2" s="136" t="s">
        <v>2820</v>
      </c>
      <c r="D2" s="136" t="s">
        <v>2821</v>
      </c>
      <c r="E2" s="136" t="s">
        <v>2822</v>
      </c>
      <c r="F2" s="136" t="s">
        <v>2823</v>
      </c>
      <c r="G2" s="136" t="s">
        <v>2824</v>
      </c>
      <c r="H2" s="136" t="s">
        <v>2825</v>
      </c>
      <c r="I2" s="136" t="s">
        <v>2826</v>
      </c>
      <c r="J2" s="136" t="s">
        <v>2827</v>
      </c>
      <c r="K2" s="136" t="s">
        <v>2828</v>
      </c>
      <c r="L2" s="136" t="s">
        <v>2829</v>
      </c>
      <c r="M2" s="136" t="s">
        <v>2830</v>
      </c>
      <c r="N2" s="136" t="s">
        <v>2831</v>
      </c>
      <c r="O2" s="136" t="s">
        <v>2832</v>
      </c>
      <c r="P2" s="136" t="s">
        <v>2833</v>
      </c>
      <c r="Q2" s="136" t="s">
        <v>2181</v>
      </c>
      <c r="R2" s="136" t="s">
        <v>2182</v>
      </c>
      <c r="S2" s="136" t="s">
        <v>2834</v>
      </c>
      <c r="T2" s="135" t="s">
        <v>64</v>
      </c>
      <c r="U2" s="135" t="s">
        <v>65</v>
      </c>
      <c r="V2" s="135" t="s">
        <v>66</v>
      </c>
      <c r="W2" s="135" t="s">
        <v>67</v>
      </c>
      <c r="X2" s="118" t="s">
        <v>68</v>
      </c>
      <c r="Y2" s="118" t="s">
        <v>69</v>
      </c>
      <c r="Z2" s="118" t="s">
        <v>57</v>
      </c>
      <c r="AA2" s="118" t="s">
        <v>70</v>
      </c>
      <c r="AB2" s="118" t="s">
        <v>71</v>
      </c>
      <c r="AC2" s="118" t="s">
        <v>72</v>
      </c>
      <c r="AD2" s="118" t="s">
        <v>73</v>
      </c>
      <c r="AE2" s="118" t="s">
        <v>70</v>
      </c>
      <c r="AF2" s="118" t="s">
        <v>71</v>
      </c>
      <c r="AG2" s="118" t="s">
        <v>74</v>
      </c>
      <c r="AH2" s="119" t="s">
        <v>2835</v>
      </c>
      <c r="AI2" s="120">
        <v>45943</v>
      </c>
      <c r="AJ2" s="120">
        <v>45944</v>
      </c>
      <c r="AK2" s="120">
        <v>45945</v>
      </c>
      <c r="AL2" s="119" t="s">
        <v>75</v>
      </c>
      <c r="AM2" s="119" t="s">
        <v>76</v>
      </c>
      <c r="AN2" s="119" t="s">
        <v>78</v>
      </c>
      <c r="AO2" s="119" t="s">
        <v>79</v>
      </c>
      <c r="AP2" s="119" t="s">
        <v>80</v>
      </c>
      <c r="AQ2" s="121" t="s">
        <v>81</v>
      </c>
      <c r="AR2" s="121" t="s">
        <v>82</v>
      </c>
      <c r="AS2" s="121" t="s">
        <v>83</v>
      </c>
    </row>
    <row r="3" spans="1:45" ht="37.5" customHeight="1">
      <c r="A3" s="71">
        <v>1</v>
      </c>
      <c r="B3" s="88" t="s">
        <v>2836</v>
      </c>
      <c r="C3" s="88" t="s">
        <v>2837</v>
      </c>
      <c r="D3" s="86" t="s">
        <v>2838</v>
      </c>
      <c r="E3" s="70" t="s">
        <v>2839</v>
      </c>
      <c r="F3" s="70" t="s">
        <v>2840</v>
      </c>
      <c r="G3" s="71"/>
      <c r="H3" s="73" t="s">
        <v>98</v>
      </c>
      <c r="I3" s="73" t="s">
        <v>98</v>
      </c>
      <c r="J3" s="73" t="s">
        <v>98</v>
      </c>
      <c r="K3" s="73" t="s">
        <v>2841</v>
      </c>
      <c r="L3" s="73" t="s">
        <v>2398</v>
      </c>
      <c r="M3" s="73" t="s">
        <v>2398</v>
      </c>
      <c r="N3" s="73" t="s">
        <v>2842</v>
      </c>
      <c r="O3" s="73"/>
      <c r="P3" s="73" t="s">
        <v>2843</v>
      </c>
      <c r="Q3" s="73" t="s">
        <v>2844</v>
      </c>
      <c r="R3" s="73" t="s">
        <v>2845</v>
      </c>
      <c r="S3" s="73"/>
      <c r="T3" s="48" t="s">
        <v>98</v>
      </c>
      <c r="U3" s="48" t="s">
        <v>98</v>
      </c>
      <c r="V3" s="48" t="s">
        <v>98</v>
      </c>
      <c r="W3" s="48" t="s">
        <v>98</v>
      </c>
      <c r="X3" s="780" t="s">
        <v>1410</v>
      </c>
      <c r="Y3" s="780" t="s">
        <v>2251</v>
      </c>
      <c r="Z3" s="782">
        <v>45943</v>
      </c>
      <c r="AA3" s="780" t="s">
        <v>2846</v>
      </c>
      <c r="AB3" s="780" t="s">
        <v>2847</v>
      </c>
      <c r="AC3" s="780" t="s">
        <v>1410</v>
      </c>
      <c r="AD3" s="782">
        <v>45946</v>
      </c>
      <c r="AE3" s="780" t="s">
        <v>2276</v>
      </c>
      <c r="AF3" s="780" t="s">
        <v>1417</v>
      </c>
      <c r="AG3" s="802">
        <v>492.34</v>
      </c>
      <c r="AH3" s="780" t="s">
        <v>98</v>
      </c>
      <c r="AI3" s="780">
        <v>1</v>
      </c>
      <c r="AJ3" s="780">
        <v>1</v>
      </c>
      <c r="AK3" s="780">
        <v>1</v>
      </c>
      <c r="AL3" s="782">
        <v>45943</v>
      </c>
      <c r="AM3" s="782">
        <v>45946</v>
      </c>
      <c r="AN3" s="780">
        <v>3</v>
      </c>
      <c r="AO3" s="780"/>
      <c r="AP3" s="780"/>
      <c r="AQ3" s="780"/>
      <c r="AR3" s="780"/>
      <c r="AS3" s="780"/>
    </row>
    <row r="4" spans="1:45" ht="37.5" customHeight="1">
      <c r="A4" s="74">
        <v>1</v>
      </c>
      <c r="B4" s="89" t="s">
        <v>2848</v>
      </c>
      <c r="C4" s="89" t="s">
        <v>2849</v>
      </c>
      <c r="D4" s="286" t="s">
        <v>2850</v>
      </c>
      <c r="E4" s="69" t="s">
        <v>2851</v>
      </c>
      <c r="F4" s="69" t="s">
        <v>91</v>
      </c>
      <c r="G4" s="74"/>
      <c r="H4" s="75" t="s">
        <v>98</v>
      </c>
      <c r="I4" s="75" t="s">
        <v>98</v>
      </c>
      <c r="J4" s="75" t="s">
        <v>98</v>
      </c>
      <c r="K4" s="75" t="s">
        <v>2852</v>
      </c>
      <c r="L4" s="75" t="s">
        <v>2853</v>
      </c>
      <c r="M4" s="75" t="s">
        <v>2853</v>
      </c>
      <c r="N4" s="75" t="s">
        <v>2854</v>
      </c>
      <c r="O4" s="75" t="s">
        <v>255</v>
      </c>
      <c r="P4" s="75" t="s">
        <v>2855</v>
      </c>
      <c r="Q4" s="75" t="s">
        <v>2856</v>
      </c>
      <c r="R4" s="75" t="s">
        <v>2857</v>
      </c>
      <c r="S4" s="75" t="s">
        <v>255</v>
      </c>
      <c r="T4" s="48" t="s">
        <v>98</v>
      </c>
      <c r="U4" s="48" t="s">
        <v>98</v>
      </c>
      <c r="V4" s="48" t="s">
        <v>98</v>
      </c>
      <c r="W4" s="777" t="s">
        <v>98</v>
      </c>
      <c r="X4" s="48" t="s">
        <v>2858</v>
      </c>
      <c r="Y4" s="48" t="s">
        <v>425</v>
      </c>
      <c r="Z4" s="50">
        <v>45943</v>
      </c>
      <c r="AA4" s="48" t="s">
        <v>2859</v>
      </c>
      <c r="AB4" s="776" t="s">
        <v>2860</v>
      </c>
      <c r="AC4" s="48" t="s">
        <v>2858</v>
      </c>
      <c r="AD4" s="50">
        <v>45946</v>
      </c>
      <c r="AE4" s="48" t="s">
        <v>2861</v>
      </c>
      <c r="AF4" s="776" t="s">
        <v>2862</v>
      </c>
      <c r="AG4" s="794">
        <v>346.1</v>
      </c>
      <c r="AH4" s="779" t="s">
        <v>98</v>
      </c>
      <c r="AI4" s="48">
        <v>1</v>
      </c>
      <c r="AJ4" s="48">
        <v>1</v>
      </c>
      <c r="AK4" s="48">
        <v>1</v>
      </c>
      <c r="AL4" s="150">
        <v>45943</v>
      </c>
      <c r="AM4" s="150">
        <v>45946</v>
      </c>
      <c r="AN4" s="48">
        <v>3</v>
      </c>
      <c r="AO4" s="48"/>
      <c r="AP4" s="48"/>
      <c r="AQ4" s="48"/>
      <c r="AR4" s="48"/>
      <c r="AS4" s="48"/>
    </row>
    <row r="5" spans="1:45" ht="37.5" customHeight="1">
      <c r="A5" s="71">
        <v>1</v>
      </c>
      <c r="B5" s="88" t="s">
        <v>2863</v>
      </c>
      <c r="C5" s="88" t="s">
        <v>2864</v>
      </c>
      <c r="D5" s="86" t="s">
        <v>2865</v>
      </c>
      <c r="E5" s="70" t="s">
        <v>2866</v>
      </c>
      <c r="F5" s="70" t="s">
        <v>2867</v>
      </c>
      <c r="G5" s="72"/>
      <c r="H5" s="73" t="s">
        <v>1006</v>
      </c>
      <c r="I5" s="73" t="s">
        <v>98</v>
      </c>
      <c r="J5" s="73" t="s">
        <v>98</v>
      </c>
      <c r="K5" s="73">
        <v>447501887064</v>
      </c>
      <c r="L5" s="73" t="s">
        <v>2868</v>
      </c>
      <c r="M5" s="73" t="s">
        <v>2868</v>
      </c>
      <c r="N5" s="73" t="s">
        <v>2842</v>
      </c>
      <c r="O5" s="73"/>
      <c r="P5" s="182" t="s">
        <v>2855</v>
      </c>
      <c r="Q5" s="73" t="s">
        <v>2869</v>
      </c>
      <c r="R5" s="73" t="s">
        <v>2845</v>
      </c>
      <c r="S5" s="73"/>
      <c r="T5" s="48" t="s">
        <v>98</v>
      </c>
      <c r="U5" s="183" t="s">
        <v>1006</v>
      </c>
      <c r="V5" s="183" t="s">
        <v>1006</v>
      </c>
      <c r="W5" s="778" t="s">
        <v>1006</v>
      </c>
      <c r="X5" s="780"/>
      <c r="Y5" s="780"/>
      <c r="Z5" s="780"/>
      <c r="AA5" s="780"/>
      <c r="AB5" s="780"/>
      <c r="AC5" s="780"/>
      <c r="AD5" s="780"/>
      <c r="AE5" s="780"/>
      <c r="AF5" s="780"/>
      <c r="AG5" s="793"/>
      <c r="AH5" s="780" t="s">
        <v>98</v>
      </c>
      <c r="AI5" s="791"/>
      <c r="AJ5" s="791"/>
      <c r="AK5" s="791"/>
      <c r="AL5" s="780"/>
      <c r="AM5" s="780"/>
      <c r="AN5" s="780"/>
      <c r="AO5" s="780"/>
      <c r="AP5" s="780"/>
      <c r="AQ5" s="780"/>
      <c r="AR5" s="780"/>
      <c r="AS5" s="780"/>
    </row>
    <row r="6" spans="1:45" ht="37.5" customHeight="1">
      <c r="A6" s="74">
        <v>2</v>
      </c>
      <c r="B6" s="89" t="s">
        <v>2870</v>
      </c>
      <c r="C6" s="89" t="s">
        <v>2871</v>
      </c>
      <c r="D6" s="87" t="s">
        <v>2872</v>
      </c>
      <c r="E6" s="69" t="s">
        <v>2873</v>
      </c>
      <c r="F6" s="69" t="s">
        <v>1944</v>
      </c>
      <c r="G6" s="76"/>
      <c r="H6" s="75" t="s">
        <v>98</v>
      </c>
      <c r="I6" s="75" t="s">
        <v>98</v>
      </c>
      <c r="J6" s="75" t="s">
        <v>98</v>
      </c>
      <c r="K6" s="75">
        <v>36209855672</v>
      </c>
      <c r="L6" s="75" t="s">
        <v>237</v>
      </c>
      <c r="M6" s="75" t="s">
        <v>237</v>
      </c>
      <c r="N6" s="75" t="s">
        <v>2874</v>
      </c>
      <c r="O6" s="75"/>
      <c r="P6" s="75" t="s">
        <v>2855</v>
      </c>
      <c r="Q6" s="75" t="s">
        <v>2875</v>
      </c>
      <c r="R6" s="75" t="s">
        <v>2857</v>
      </c>
      <c r="S6" s="75"/>
      <c r="T6" s="48" t="s">
        <v>98</v>
      </c>
      <c r="U6" s="48" t="s">
        <v>98</v>
      </c>
      <c r="V6" s="48" t="s">
        <v>98</v>
      </c>
      <c r="W6" s="777" t="s">
        <v>98</v>
      </c>
      <c r="X6" s="710" t="s">
        <v>237</v>
      </c>
      <c r="Y6" s="48" t="s">
        <v>126</v>
      </c>
      <c r="Z6" s="50">
        <v>45943</v>
      </c>
      <c r="AA6" s="48" t="s">
        <v>2876</v>
      </c>
      <c r="AB6" s="48" t="s">
        <v>240</v>
      </c>
      <c r="AC6" s="710" t="s">
        <v>237</v>
      </c>
      <c r="AD6" s="50">
        <v>45946</v>
      </c>
      <c r="AE6" s="48" t="s">
        <v>2877</v>
      </c>
      <c r="AF6" s="48" t="s">
        <v>2878</v>
      </c>
      <c r="AG6" s="795">
        <v>484.69</v>
      </c>
      <c r="AH6" s="779" t="s">
        <v>98</v>
      </c>
      <c r="AI6" s="48">
        <v>1</v>
      </c>
      <c r="AJ6" s="48">
        <v>1</v>
      </c>
      <c r="AK6" s="48">
        <v>1</v>
      </c>
      <c r="AL6" s="150">
        <v>45943</v>
      </c>
      <c r="AM6" s="150">
        <v>45946</v>
      </c>
      <c r="AN6" s="48">
        <v>3</v>
      </c>
      <c r="AO6" s="48"/>
      <c r="AP6" s="48"/>
      <c r="AQ6" s="48"/>
      <c r="AR6" s="48"/>
      <c r="AS6" s="48"/>
    </row>
    <row r="7" spans="1:45" s="185" customFormat="1" ht="37.5" customHeight="1">
      <c r="A7" s="179">
        <v>2</v>
      </c>
      <c r="B7" s="180" t="s">
        <v>2879</v>
      </c>
      <c r="C7" s="180" t="s">
        <v>2880</v>
      </c>
      <c r="D7" s="285" t="s">
        <v>2881</v>
      </c>
      <c r="E7" s="181" t="s">
        <v>2882</v>
      </c>
      <c r="F7" s="181" t="s">
        <v>519</v>
      </c>
      <c r="G7" s="179" t="s">
        <v>2883</v>
      </c>
      <c r="H7" s="182" t="s">
        <v>98</v>
      </c>
      <c r="I7" s="182" t="s">
        <v>98</v>
      </c>
      <c r="J7" s="182" t="s">
        <v>98</v>
      </c>
      <c r="K7" s="182" t="s">
        <v>2884</v>
      </c>
      <c r="L7" s="182" t="s">
        <v>2885</v>
      </c>
      <c r="M7" s="182" t="s">
        <v>2886</v>
      </c>
      <c r="N7" s="182" t="s">
        <v>2887</v>
      </c>
      <c r="O7" s="182"/>
      <c r="P7" s="182" t="s">
        <v>2855</v>
      </c>
      <c r="Q7" s="182" t="s">
        <v>2875</v>
      </c>
      <c r="R7" s="182" t="s">
        <v>2888</v>
      </c>
      <c r="S7" s="182"/>
      <c r="T7" s="183" t="s">
        <v>98</v>
      </c>
      <c r="U7" s="183" t="s">
        <v>1006</v>
      </c>
      <c r="V7" s="183" t="s">
        <v>1006</v>
      </c>
      <c r="W7" s="183" t="s">
        <v>1006</v>
      </c>
      <c r="X7" s="780"/>
      <c r="Y7" s="780"/>
      <c r="Z7" s="780"/>
      <c r="AA7" s="780"/>
      <c r="AB7" s="780"/>
      <c r="AC7" s="780"/>
      <c r="AD7" s="780"/>
      <c r="AE7" s="780"/>
      <c r="AF7" s="780"/>
      <c r="AG7" s="793"/>
      <c r="AH7" s="184" t="s">
        <v>98</v>
      </c>
      <c r="AI7" s="792"/>
      <c r="AJ7" s="792"/>
      <c r="AK7" s="792"/>
      <c r="AL7" s="183"/>
      <c r="AM7" s="183"/>
      <c r="AN7" s="183"/>
      <c r="AO7" s="183"/>
      <c r="AP7" s="183"/>
      <c r="AQ7" s="183"/>
      <c r="AR7" s="183"/>
      <c r="AS7" s="183"/>
    </row>
    <row r="8" spans="1:45" ht="37.5" customHeight="1">
      <c r="A8" s="74">
        <v>2</v>
      </c>
      <c r="B8" s="89" t="s">
        <v>2889</v>
      </c>
      <c r="C8" s="89" t="s">
        <v>2890</v>
      </c>
      <c r="D8" s="286" t="s">
        <v>2891</v>
      </c>
      <c r="E8" s="69" t="s">
        <v>2892</v>
      </c>
      <c r="F8" s="69" t="s">
        <v>318</v>
      </c>
      <c r="G8" s="74"/>
      <c r="H8" s="75" t="s">
        <v>1006</v>
      </c>
      <c r="I8" s="75" t="s">
        <v>98</v>
      </c>
      <c r="J8" s="75" t="s">
        <v>98</v>
      </c>
      <c r="K8" s="75">
        <v>33767148498</v>
      </c>
      <c r="L8" s="75" t="s">
        <v>422</v>
      </c>
      <c r="M8" s="75" t="s">
        <v>390</v>
      </c>
      <c r="N8" s="75" t="s">
        <v>2893</v>
      </c>
      <c r="O8" s="75"/>
      <c r="P8" s="75" t="s">
        <v>2855</v>
      </c>
      <c r="Q8" s="75" t="s">
        <v>2856</v>
      </c>
      <c r="R8" s="75" t="s">
        <v>2845</v>
      </c>
      <c r="S8" s="75" t="s">
        <v>2894</v>
      </c>
      <c r="T8" s="48" t="s">
        <v>98</v>
      </c>
      <c r="U8" s="48" t="s">
        <v>98</v>
      </c>
      <c r="V8" s="48" t="s">
        <v>98</v>
      </c>
      <c r="W8" s="48" t="s">
        <v>98</v>
      </c>
      <c r="X8" s="48" t="s">
        <v>422</v>
      </c>
      <c r="Y8" s="48" t="s">
        <v>2895</v>
      </c>
      <c r="Z8" s="50">
        <v>45943</v>
      </c>
      <c r="AA8" s="48" t="s">
        <v>2896</v>
      </c>
      <c r="AB8" s="48">
        <v>9351</v>
      </c>
      <c r="AC8" s="48" t="s">
        <v>390</v>
      </c>
      <c r="AD8" s="50">
        <v>45946</v>
      </c>
      <c r="AE8" s="48" t="s">
        <v>2897</v>
      </c>
      <c r="AF8" s="48" t="s">
        <v>1361</v>
      </c>
      <c r="AG8" s="796">
        <v>383.72</v>
      </c>
      <c r="AH8" s="151" t="s">
        <v>98</v>
      </c>
      <c r="AI8" s="48">
        <v>1</v>
      </c>
      <c r="AJ8" s="48">
        <v>1</v>
      </c>
      <c r="AK8" s="48">
        <v>1</v>
      </c>
      <c r="AL8" s="50">
        <v>45943</v>
      </c>
      <c r="AM8" s="50">
        <v>45946</v>
      </c>
      <c r="AN8" s="48">
        <v>3</v>
      </c>
      <c r="AO8" s="48"/>
      <c r="AP8" s="48"/>
      <c r="AQ8" s="48"/>
      <c r="AR8" s="48"/>
      <c r="AS8" s="48"/>
    </row>
    <row r="9" spans="1:45" ht="37.5" customHeight="1">
      <c r="A9" s="71">
        <v>3</v>
      </c>
      <c r="B9" s="88" t="s">
        <v>2898</v>
      </c>
      <c r="C9" s="88" t="s">
        <v>2899</v>
      </c>
      <c r="D9" s="86" t="s">
        <v>2900</v>
      </c>
      <c r="E9" s="70" t="s">
        <v>2901</v>
      </c>
      <c r="F9" s="70" t="s">
        <v>169</v>
      </c>
      <c r="G9" s="78"/>
      <c r="H9" s="73" t="s">
        <v>1006</v>
      </c>
      <c r="I9" s="73" t="s">
        <v>98</v>
      </c>
      <c r="J9" s="73" t="s">
        <v>98</v>
      </c>
      <c r="K9" s="73">
        <v>491703876773</v>
      </c>
      <c r="L9" s="73" t="s">
        <v>2902</v>
      </c>
      <c r="M9" s="73" t="s">
        <v>2903</v>
      </c>
      <c r="N9" s="622" t="s">
        <v>2904</v>
      </c>
      <c r="O9" s="73" t="s">
        <v>2905</v>
      </c>
      <c r="P9" s="182" t="s">
        <v>2843</v>
      </c>
      <c r="Q9" s="182" t="s">
        <v>2844</v>
      </c>
      <c r="R9" s="182" t="s">
        <v>2888</v>
      </c>
      <c r="S9" s="73"/>
      <c r="T9" s="48" t="s">
        <v>98</v>
      </c>
      <c r="U9" s="48" t="s">
        <v>1006</v>
      </c>
      <c r="V9" s="48" t="s">
        <v>1006</v>
      </c>
      <c r="W9" s="48" t="s">
        <v>1006</v>
      </c>
      <c r="X9" s="780"/>
      <c r="Y9" s="780"/>
      <c r="Z9" s="780"/>
      <c r="AA9" s="780"/>
      <c r="AB9" s="780"/>
      <c r="AC9" s="780"/>
      <c r="AD9" s="780"/>
      <c r="AE9" s="780"/>
      <c r="AF9" s="780"/>
      <c r="AG9" s="793"/>
      <c r="AH9" s="184" t="s">
        <v>98</v>
      </c>
      <c r="AI9" s="791"/>
      <c r="AJ9" s="791"/>
      <c r="AK9" s="780"/>
      <c r="AL9" s="780"/>
      <c r="AM9" s="780"/>
      <c r="AN9" s="780"/>
      <c r="AO9" s="780"/>
      <c r="AP9" s="780"/>
      <c r="AQ9" s="780"/>
      <c r="AR9" s="780"/>
      <c r="AS9" s="780"/>
    </row>
    <row r="10" spans="1:45" ht="37.5" customHeight="1">
      <c r="A10" s="74">
        <v>3</v>
      </c>
      <c r="B10" s="89" t="s">
        <v>2906</v>
      </c>
      <c r="C10" s="89" t="s">
        <v>2907</v>
      </c>
      <c r="D10" s="87" t="s">
        <v>2908</v>
      </c>
      <c r="E10" s="69" t="s">
        <v>2909</v>
      </c>
      <c r="F10" s="69" t="s">
        <v>1811</v>
      </c>
      <c r="G10" s="74"/>
      <c r="H10" s="75" t="s">
        <v>98</v>
      </c>
      <c r="I10" s="75" t="s">
        <v>98</v>
      </c>
      <c r="J10" s="75" t="s">
        <v>98</v>
      </c>
      <c r="K10" s="75" t="s">
        <v>2910</v>
      </c>
      <c r="L10" s="75" t="s">
        <v>2660</v>
      </c>
      <c r="M10" s="75" t="s">
        <v>2660</v>
      </c>
      <c r="N10" s="75" t="s">
        <v>2251</v>
      </c>
      <c r="O10" s="75" t="s">
        <v>2911</v>
      </c>
      <c r="P10" s="75" t="s">
        <v>2855</v>
      </c>
      <c r="Q10" s="75" t="s">
        <v>2856</v>
      </c>
      <c r="R10" s="75" t="s">
        <v>2888</v>
      </c>
      <c r="S10" s="75"/>
      <c r="T10" s="183" t="s">
        <v>98</v>
      </c>
      <c r="U10" s="183" t="s">
        <v>98</v>
      </c>
      <c r="V10" s="183" t="s">
        <v>98</v>
      </c>
      <c r="W10" s="183" t="s">
        <v>98</v>
      </c>
      <c r="X10" s="734" t="s">
        <v>2660</v>
      </c>
      <c r="Y10" s="48" t="s">
        <v>126</v>
      </c>
      <c r="Z10" s="50">
        <v>45943</v>
      </c>
      <c r="AA10" s="48" t="s">
        <v>2912</v>
      </c>
      <c r="AB10" s="48" t="s">
        <v>2913</v>
      </c>
      <c r="AC10" s="734" t="s">
        <v>2660</v>
      </c>
      <c r="AD10" s="50">
        <v>45949</v>
      </c>
      <c r="AE10" s="48" t="s">
        <v>2914</v>
      </c>
      <c r="AF10" s="781" t="s">
        <v>2915</v>
      </c>
      <c r="AG10" s="797">
        <v>549.82000000000005</v>
      </c>
      <c r="AH10" s="151" t="s">
        <v>98</v>
      </c>
      <c r="AI10" s="48">
        <v>1</v>
      </c>
      <c r="AJ10" s="48">
        <v>1</v>
      </c>
      <c r="AK10" s="48">
        <v>1</v>
      </c>
      <c r="AL10" s="50">
        <v>45943</v>
      </c>
      <c r="AM10" s="50">
        <v>45946</v>
      </c>
      <c r="AN10" s="48">
        <v>3</v>
      </c>
      <c r="AO10" s="48"/>
      <c r="AP10" s="48"/>
      <c r="AQ10" s="48"/>
      <c r="AR10" s="48"/>
      <c r="AS10" s="48"/>
    </row>
    <row r="11" spans="1:45" s="185" customFormat="1" ht="37.5" customHeight="1">
      <c r="A11" s="179">
        <v>3</v>
      </c>
      <c r="B11" s="180" t="s">
        <v>2916</v>
      </c>
      <c r="C11" s="180" t="s">
        <v>2917</v>
      </c>
      <c r="D11" s="285" t="s">
        <v>2918</v>
      </c>
      <c r="E11" s="181" t="s">
        <v>2919</v>
      </c>
      <c r="F11" s="181" t="s">
        <v>2920</v>
      </c>
      <c r="G11" s="186"/>
      <c r="H11" s="182" t="s">
        <v>98</v>
      </c>
      <c r="I11" s="182" t="s">
        <v>98</v>
      </c>
      <c r="J11" s="182" t="s">
        <v>98</v>
      </c>
      <c r="K11" s="182" t="s">
        <v>2921</v>
      </c>
      <c r="L11" s="182" t="s">
        <v>2922</v>
      </c>
      <c r="M11" s="182" t="s">
        <v>2922</v>
      </c>
      <c r="N11" s="182" t="s">
        <v>126</v>
      </c>
      <c r="O11" s="182"/>
      <c r="P11" s="182" t="s">
        <v>2843</v>
      </c>
      <c r="Q11" s="182" t="s">
        <v>2844</v>
      </c>
      <c r="R11" s="182" t="s">
        <v>2857</v>
      </c>
      <c r="S11" s="182"/>
      <c r="T11" s="183" t="s">
        <v>98</v>
      </c>
      <c r="U11" s="183" t="s">
        <v>98</v>
      </c>
      <c r="V11" s="183" t="s">
        <v>98</v>
      </c>
      <c r="W11" s="183" t="s">
        <v>98</v>
      </c>
      <c r="X11" s="183" t="s">
        <v>2922</v>
      </c>
      <c r="Y11" s="183" t="s">
        <v>126</v>
      </c>
      <c r="Z11" s="782">
        <v>45943</v>
      </c>
      <c r="AA11" s="183" t="s">
        <v>2923</v>
      </c>
      <c r="AB11" s="183" t="s">
        <v>2924</v>
      </c>
      <c r="AC11" s="183" t="s">
        <v>2922</v>
      </c>
      <c r="AD11" s="782">
        <v>45946</v>
      </c>
      <c r="AE11" s="183" t="s">
        <v>2925</v>
      </c>
      <c r="AF11" s="783" t="s">
        <v>2926</v>
      </c>
      <c r="AG11" s="798">
        <v>426.96</v>
      </c>
      <c r="AH11" s="184" t="s">
        <v>98</v>
      </c>
      <c r="AI11" s="780">
        <v>1</v>
      </c>
      <c r="AJ11" s="780">
        <v>1</v>
      </c>
      <c r="AK11" s="780">
        <v>1</v>
      </c>
      <c r="AL11" s="782">
        <v>45943</v>
      </c>
      <c r="AM11" s="782">
        <v>45946</v>
      </c>
      <c r="AN11" s="780">
        <v>3</v>
      </c>
      <c r="AO11" s="183"/>
      <c r="AP11" s="183"/>
      <c r="AQ11" s="183"/>
      <c r="AR11" s="183"/>
      <c r="AS11" s="183"/>
    </row>
    <row r="12" spans="1:45" ht="37.5" customHeight="1">
      <c r="A12" s="74">
        <v>4</v>
      </c>
      <c r="B12" s="89" t="s">
        <v>2927</v>
      </c>
      <c r="C12" s="89" t="s">
        <v>2928</v>
      </c>
      <c r="D12" s="87" t="s">
        <v>2929</v>
      </c>
      <c r="E12" s="69" t="s">
        <v>2930</v>
      </c>
      <c r="F12" s="69" t="s">
        <v>169</v>
      </c>
      <c r="G12" s="79"/>
      <c r="H12" s="75" t="s">
        <v>1006</v>
      </c>
      <c r="I12" s="75" t="s">
        <v>98</v>
      </c>
      <c r="J12" s="75" t="s">
        <v>98</v>
      </c>
      <c r="K12" s="75" t="s">
        <v>2931</v>
      </c>
      <c r="L12" s="75" t="s">
        <v>2932</v>
      </c>
      <c r="M12" s="75" t="s">
        <v>2932</v>
      </c>
      <c r="N12" s="75" t="s">
        <v>2933</v>
      </c>
      <c r="O12" s="75"/>
      <c r="P12" s="75" t="s">
        <v>2855</v>
      </c>
      <c r="Q12" s="75" t="s">
        <v>2856</v>
      </c>
      <c r="R12" s="75" t="s">
        <v>2934</v>
      </c>
      <c r="S12" s="75"/>
      <c r="T12" s="183" t="s">
        <v>98</v>
      </c>
      <c r="U12" s="183" t="s">
        <v>98</v>
      </c>
      <c r="V12" s="183" t="s">
        <v>98</v>
      </c>
      <c r="W12" s="183" t="s">
        <v>98</v>
      </c>
      <c r="X12" s="785" t="s">
        <v>2932</v>
      </c>
      <c r="Y12" s="48" t="s">
        <v>126</v>
      </c>
      <c r="Z12" s="705">
        <v>45943</v>
      </c>
      <c r="AA12" s="706" t="s">
        <v>2935</v>
      </c>
      <c r="AB12" s="697" t="s">
        <v>2936</v>
      </c>
      <c r="AC12" s="785" t="s">
        <v>2932</v>
      </c>
      <c r="AD12" s="50">
        <v>45946</v>
      </c>
      <c r="AE12" s="48" t="s">
        <v>2937</v>
      </c>
      <c r="AF12" s="697" t="s">
        <v>2938</v>
      </c>
      <c r="AG12" s="796">
        <v>273.98</v>
      </c>
      <c r="AH12" s="151" t="s">
        <v>98</v>
      </c>
      <c r="AI12" s="48">
        <v>1</v>
      </c>
      <c r="AJ12" s="48">
        <v>1</v>
      </c>
      <c r="AK12" s="48">
        <v>1</v>
      </c>
      <c r="AL12" s="50">
        <v>45943</v>
      </c>
      <c r="AM12" s="50">
        <v>45946</v>
      </c>
      <c r="AN12" s="48">
        <v>3</v>
      </c>
      <c r="AO12" s="48"/>
      <c r="AP12" s="48"/>
      <c r="AQ12" s="48"/>
      <c r="AR12" s="48"/>
      <c r="AS12" s="48"/>
    </row>
    <row r="13" spans="1:45" s="185" customFormat="1" ht="37.5" customHeight="1">
      <c r="A13" s="179">
        <v>4</v>
      </c>
      <c r="B13" s="180" t="s">
        <v>2939</v>
      </c>
      <c r="C13" s="180" t="s">
        <v>2940</v>
      </c>
      <c r="D13" s="784" t="s">
        <v>2941</v>
      </c>
      <c r="E13" s="181" t="s">
        <v>2942</v>
      </c>
      <c r="F13" s="181" t="s">
        <v>1503</v>
      </c>
      <c r="G13" s="179"/>
      <c r="H13" s="182" t="s">
        <v>98</v>
      </c>
      <c r="I13" s="182" t="s">
        <v>98</v>
      </c>
      <c r="J13" s="182" t="s">
        <v>98</v>
      </c>
      <c r="K13" s="182" t="s">
        <v>2943</v>
      </c>
      <c r="L13" s="182" t="s">
        <v>2944</v>
      </c>
      <c r="M13" s="182" t="s">
        <v>2944</v>
      </c>
      <c r="N13" s="182" t="s">
        <v>2945</v>
      </c>
      <c r="O13" s="182" t="s">
        <v>2946</v>
      </c>
      <c r="P13" s="182" t="s">
        <v>2855</v>
      </c>
      <c r="Q13" s="182" t="s">
        <v>2856</v>
      </c>
      <c r="R13" s="182" t="s">
        <v>2845</v>
      </c>
      <c r="S13" s="182"/>
      <c r="T13" s="183" t="s">
        <v>98</v>
      </c>
      <c r="U13" s="183" t="s">
        <v>98</v>
      </c>
      <c r="V13" s="183" t="s">
        <v>98</v>
      </c>
      <c r="W13" s="183" t="s">
        <v>98</v>
      </c>
      <c r="X13" s="786" t="s">
        <v>2944</v>
      </c>
      <c r="Y13" s="183" t="s">
        <v>126</v>
      </c>
      <c r="Z13" s="782">
        <v>45942</v>
      </c>
      <c r="AA13" s="183" t="s">
        <v>2947</v>
      </c>
      <c r="AB13" s="783" t="s">
        <v>2948</v>
      </c>
      <c r="AC13" s="786" t="s">
        <v>2944</v>
      </c>
      <c r="AD13" s="782">
        <v>45946</v>
      </c>
      <c r="AE13" s="183" t="s">
        <v>2949</v>
      </c>
      <c r="AF13" s="783" t="s">
        <v>2950</v>
      </c>
      <c r="AG13" s="798">
        <v>534.05999999999995</v>
      </c>
      <c r="AH13" s="184" t="s">
        <v>98</v>
      </c>
      <c r="AI13" s="780">
        <v>1</v>
      </c>
      <c r="AJ13" s="780">
        <v>1</v>
      </c>
      <c r="AK13" s="780">
        <v>1</v>
      </c>
      <c r="AL13" s="782">
        <v>45943</v>
      </c>
      <c r="AM13" s="782">
        <v>45946</v>
      </c>
      <c r="AN13" s="183"/>
      <c r="AO13" s="183"/>
      <c r="AP13" s="183"/>
      <c r="AQ13" s="183"/>
      <c r="AR13" s="183"/>
      <c r="AS13" s="183"/>
    </row>
    <row r="14" spans="1:45" ht="37.5" customHeight="1">
      <c r="A14" s="74">
        <v>4</v>
      </c>
      <c r="B14" s="89" t="s">
        <v>2951</v>
      </c>
      <c r="C14" s="89" t="s">
        <v>2952</v>
      </c>
      <c r="D14" s="87" t="s">
        <v>2953</v>
      </c>
      <c r="E14" s="69" t="s">
        <v>2954</v>
      </c>
      <c r="F14" s="69" t="s">
        <v>555</v>
      </c>
      <c r="G14" s="74"/>
      <c r="H14" s="75" t="s">
        <v>1006</v>
      </c>
      <c r="I14" s="75" t="s">
        <v>98</v>
      </c>
      <c r="J14" s="75" t="s">
        <v>98</v>
      </c>
      <c r="K14" s="75" t="s">
        <v>2955</v>
      </c>
      <c r="L14" s="75" t="s">
        <v>1149</v>
      </c>
      <c r="M14" s="75" t="s">
        <v>1149</v>
      </c>
      <c r="N14" s="75" t="s">
        <v>2956</v>
      </c>
      <c r="O14" s="48"/>
      <c r="P14" s="75"/>
      <c r="Q14" s="75"/>
      <c r="R14" s="75"/>
      <c r="S14" s="75"/>
      <c r="T14" s="183" t="s">
        <v>98</v>
      </c>
      <c r="U14" s="183" t="s">
        <v>98</v>
      </c>
      <c r="V14" s="183" t="s">
        <v>98</v>
      </c>
      <c r="W14" s="183" t="s">
        <v>98</v>
      </c>
      <c r="X14" s="48" t="s">
        <v>2957</v>
      </c>
      <c r="Y14" s="48" t="s">
        <v>126</v>
      </c>
      <c r="Z14" s="50">
        <v>45943</v>
      </c>
      <c r="AA14" s="48" t="s">
        <v>2958</v>
      </c>
      <c r="AB14" s="48" t="s">
        <v>2959</v>
      </c>
      <c r="AC14" s="48" t="s">
        <v>1149</v>
      </c>
      <c r="AD14" s="50">
        <v>45945</v>
      </c>
      <c r="AE14" s="48" t="s">
        <v>2960</v>
      </c>
      <c r="AF14" s="48" t="s">
        <v>2961</v>
      </c>
      <c r="AG14" s="796">
        <v>540.22</v>
      </c>
      <c r="AH14" s="151" t="s">
        <v>98</v>
      </c>
      <c r="AI14" s="48">
        <v>1</v>
      </c>
      <c r="AJ14" s="48">
        <v>1</v>
      </c>
      <c r="AK14" s="48">
        <v>0</v>
      </c>
      <c r="AL14" s="150">
        <v>45943</v>
      </c>
      <c r="AM14" s="150">
        <v>45945</v>
      </c>
      <c r="AN14" s="48">
        <v>2</v>
      </c>
      <c r="AO14" s="48"/>
      <c r="AP14" s="48"/>
      <c r="AQ14" s="48"/>
      <c r="AR14" s="48"/>
      <c r="AS14" s="48"/>
    </row>
    <row r="15" spans="1:45" s="185" customFormat="1" ht="37.5" customHeight="1">
      <c r="A15" s="179">
        <v>5</v>
      </c>
      <c r="B15" s="180" t="s">
        <v>2962</v>
      </c>
      <c r="C15" s="180" t="s">
        <v>2963</v>
      </c>
      <c r="D15" s="784" t="s">
        <v>2964</v>
      </c>
      <c r="E15" s="181" t="s">
        <v>2965</v>
      </c>
      <c r="F15" s="181" t="s">
        <v>360</v>
      </c>
      <c r="G15" s="179" t="s">
        <v>2966</v>
      </c>
      <c r="H15" s="182" t="s">
        <v>98</v>
      </c>
      <c r="I15" s="182" t="s">
        <v>98</v>
      </c>
      <c r="J15" s="182" t="s">
        <v>98</v>
      </c>
      <c r="K15" s="182">
        <v>34680201809</v>
      </c>
      <c r="L15" s="182" t="s">
        <v>498</v>
      </c>
      <c r="M15" s="182" t="s">
        <v>498</v>
      </c>
      <c r="N15" s="182" t="s">
        <v>2251</v>
      </c>
      <c r="O15" s="182"/>
      <c r="P15" s="182" t="s">
        <v>2855</v>
      </c>
      <c r="Q15" s="182" t="s">
        <v>2844</v>
      </c>
      <c r="R15" s="182" t="s">
        <v>2845</v>
      </c>
      <c r="S15" s="182"/>
      <c r="T15" s="183" t="s">
        <v>98</v>
      </c>
      <c r="U15" s="183" t="s">
        <v>98</v>
      </c>
      <c r="V15" s="183" t="s">
        <v>98</v>
      </c>
      <c r="W15" s="183" t="s">
        <v>98</v>
      </c>
      <c r="X15" s="183" t="s">
        <v>2967</v>
      </c>
      <c r="Y15" s="183" t="s">
        <v>2251</v>
      </c>
      <c r="Z15" s="782">
        <v>45943</v>
      </c>
      <c r="AA15" s="183" t="s">
        <v>2968</v>
      </c>
      <c r="AB15" s="183" t="s">
        <v>903</v>
      </c>
      <c r="AC15" s="183" t="s">
        <v>498</v>
      </c>
      <c r="AD15" s="782">
        <v>45946</v>
      </c>
      <c r="AE15" s="183" t="s">
        <v>2969</v>
      </c>
      <c r="AF15" s="183" t="s">
        <v>2970</v>
      </c>
      <c r="AG15" s="799">
        <v>331.1</v>
      </c>
      <c r="AH15" s="184" t="s">
        <v>98</v>
      </c>
      <c r="AI15" s="183">
        <v>1</v>
      </c>
      <c r="AJ15" s="183">
        <v>1</v>
      </c>
      <c r="AK15" s="183">
        <v>1</v>
      </c>
      <c r="AL15" s="787">
        <v>45943</v>
      </c>
      <c r="AM15" s="787">
        <v>45946</v>
      </c>
      <c r="AN15" s="183">
        <v>3</v>
      </c>
      <c r="AO15" s="183"/>
      <c r="AP15" s="183"/>
      <c r="AQ15" s="183"/>
      <c r="AR15" s="183"/>
      <c r="AS15" s="183"/>
    </row>
    <row r="16" spans="1:45" ht="37.5" customHeight="1">
      <c r="A16" s="74">
        <v>5</v>
      </c>
      <c r="B16" s="89" t="s">
        <v>2971</v>
      </c>
      <c r="C16" s="89" t="s">
        <v>2972</v>
      </c>
      <c r="D16" s="87" t="s">
        <v>2973</v>
      </c>
      <c r="E16" s="69" t="s">
        <v>2974</v>
      </c>
      <c r="F16" s="69" t="s">
        <v>245</v>
      </c>
      <c r="G16" s="74" t="s">
        <v>2975</v>
      </c>
      <c r="H16" s="75" t="s">
        <v>98</v>
      </c>
      <c r="I16" s="75" t="s">
        <v>98</v>
      </c>
      <c r="J16" s="75" t="s">
        <v>98</v>
      </c>
      <c r="K16" s="75" t="s">
        <v>2976</v>
      </c>
      <c r="L16" s="75" t="s">
        <v>2977</v>
      </c>
      <c r="M16" s="75" t="s">
        <v>2977</v>
      </c>
      <c r="N16" s="75" t="s">
        <v>2978</v>
      </c>
      <c r="O16" s="75" t="s">
        <v>2979</v>
      </c>
      <c r="P16" s="75" t="s">
        <v>2843</v>
      </c>
      <c r="Q16" s="75" t="s">
        <v>2856</v>
      </c>
      <c r="R16" s="75" t="s">
        <v>2845</v>
      </c>
      <c r="S16" s="48"/>
      <c r="T16" s="48" t="s">
        <v>98</v>
      </c>
      <c r="U16" s="48" t="s">
        <v>98</v>
      </c>
      <c r="V16" s="48" t="s">
        <v>98</v>
      </c>
      <c r="W16" s="48" t="s">
        <v>98</v>
      </c>
      <c r="X16" s="734" t="s">
        <v>2977</v>
      </c>
      <c r="Y16" s="48" t="s">
        <v>126</v>
      </c>
      <c r="Z16" s="705">
        <v>45943</v>
      </c>
      <c r="AA16" s="706" t="s">
        <v>2980</v>
      </c>
      <c r="AB16" s="697" t="s">
        <v>2981</v>
      </c>
      <c r="AC16" s="734" t="s">
        <v>2977</v>
      </c>
      <c r="AD16" s="50">
        <v>45946</v>
      </c>
      <c r="AE16" s="708" t="s">
        <v>2982</v>
      </c>
      <c r="AF16" s="697" t="s">
        <v>2983</v>
      </c>
      <c r="AG16" s="796">
        <v>341.74</v>
      </c>
      <c r="AH16" s="151" t="s">
        <v>98</v>
      </c>
      <c r="AI16" s="48">
        <v>1</v>
      </c>
      <c r="AJ16" s="48">
        <v>1</v>
      </c>
      <c r="AK16" s="48">
        <v>1</v>
      </c>
      <c r="AL16" s="50">
        <v>45943</v>
      </c>
      <c r="AM16" s="50">
        <v>45946</v>
      </c>
      <c r="AN16" s="48">
        <v>3</v>
      </c>
      <c r="AO16" s="48"/>
      <c r="AP16" s="48"/>
      <c r="AQ16" s="48"/>
      <c r="AR16" s="48"/>
      <c r="AS16" s="48"/>
    </row>
    <row r="17" spans="1:45" s="185" customFormat="1" ht="37.5" customHeight="1">
      <c r="A17" s="179">
        <v>5</v>
      </c>
      <c r="B17" s="180" t="s">
        <v>2984</v>
      </c>
      <c r="C17" s="180" t="s">
        <v>2985</v>
      </c>
      <c r="D17" s="784" t="s">
        <v>2986</v>
      </c>
      <c r="E17" s="181" t="s">
        <v>2987</v>
      </c>
      <c r="F17" s="181" t="s">
        <v>428</v>
      </c>
      <c r="G17" s="179"/>
      <c r="H17" s="182" t="s">
        <v>98</v>
      </c>
      <c r="I17" s="182" t="s">
        <v>98</v>
      </c>
      <c r="J17" s="182" t="s">
        <v>98</v>
      </c>
      <c r="K17" s="182" t="s">
        <v>2988</v>
      </c>
      <c r="L17" s="182" t="s">
        <v>2989</v>
      </c>
      <c r="M17" s="182" t="s">
        <v>2989</v>
      </c>
      <c r="N17" s="182" t="s">
        <v>2990</v>
      </c>
      <c r="O17" s="182"/>
      <c r="P17" s="182" t="s">
        <v>2843</v>
      </c>
      <c r="Q17" s="182" t="s">
        <v>2869</v>
      </c>
      <c r="R17" s="182" t="s">
        <v>2857</v>
      </c>
      <c r="S17" s="182"/>
      <c r="T17" s="183" t="s">
        <v>98</v>
      </c>
      <c r="U17" s="183" t="s">
        <v>98</v>
      </c>
      <c r="V17" s="183" t="s">
        <v>98</v>
      </c>
      <c r="W17" s="183" t="s">
        <v>98</v>
      </c>
      <c r="X17" s="735" t="s">
        <v>2989</v>
      </c>
      <c r="Y17" s="183" t="s">
        <v>2251</v>
      </c>
      <c r="Z17" s="782">
        <v>45941</v>
      </c>
      <c r="AA17" s="788" t="s">
        <v>2991</v>
      </c>
      <c r="AB17" s="789" t="s">
        <v>2992</v>
      </c>
      <c r="AC17" s="735" t="s">
        <v>2989</v>
      </c>
      <c r="AD17" s="782">
        <v>45946</v>
      </c>
      <c r="AE17" s="790" t="s">
        <v>2993</v>
      </c>
      <c r="AF17" s="789" t="s">
        <v>2574</v>
      </c>
      <c r="AG17" s="800">
        <v>487.62</v>
      </c>
      <c r="AH17" s="184" t="s">
        <v>98</v>
      </c>
      <c r="AI17" s="780">
        <v>1</v>
      </c>
      <c r="AJ17" s="780">
        <v>1</v>
      </c>
      <c r="AK17" s="780">
        <v>1</v>
      </c>
      <c r="AL17" s="782">
        <v>45943</v>
      </c>
      <c r="AM17" s="782">
        <v>45946</v>
      </c>
      <c r="AN17" s="780">
        <v>3</v>
      </c>
      <c r="AO17" s="183"/>
      <c r="AP17" s="183"/>
      <c r="AQ17" s="183"/>
      <c r="AR17" s="183"/>
      <c r="AS17" s="183"/>
    </row>
    <row r="18" spans="1:45" s="23" customFormat="1">
      <c r="A18" s="187"/>
      <c r="B18" s="188"/>
      <c r="C18" s="189"/>
      <c r="D18" s="189"/>
      <c r="E18" s="189"/>
      <c r="F18" s="189"/>
      <c r="G18" s="190"/>
      <c r="H18" s="189">
        <v>10</v>
      </c>
      <c r="I18" s="189"/>
      <c r="J18" s="191">
        <v>15</v>
      </c>
      <c r="K18" s="191"/>
      <c r="L18" s="191"/>
      <c r="M18" s="191"/>
      <c r="N18" s="191"/>
      <c r="O18" s="191"/>
      <c r="P18" s="191"/>
      <c r="Q18" s="191"/>
      <c r="R18" s="191"/>
      <c r="S18" s="192"/>
      <c r="AI18" s="23">
        <f>SUM(AI3:AI17)</f>
        <v>12</v>
      </c>
      <c r="AJ18" s="23">
        <f>SUM(AJ3:AJ17)</f>
        <v>12</v>
      </c>
      <c r="AK18" s="23">
        <f>SUM(AK3:AK17)</f>
        <v>11</v>
      </c>
    </row>
    <row r="19" spans="1:45">
      <c r="A19" s="1"/>
      <c r="B19" s="1"/>
      <c r="C19" s="1"/>
      <c r="D19" s="1"/>
      <c r="E19" s="1"/>
      <c r="G19" s="1"/>
      <c r="H19" s="1"/>
      <c r="I19" s="1"/>
      <c r="AG19" s="801">
        <f>SUM(AG3:AG17)</f>
        <v>5192.3500000000004</v>
      </c>
      <c r="AH19" s="23" t="s">
        <v>1272</v>
      </c>
      <c r="AK19" s="23">
        <v>1</v>
      </c>
    </row>
    <row r="20" spans="1:45" ht="21" customHeight="1">
      <c r="A20" s="1"/>
      <c r="B20" s="1218" t="s">
        <v>2994</v>
      </c>
      <c r="C20" s="1219"/>
      <c r="D20" s="1219"/>
      <c r="E20" s="1220"/>
      <c r="G20" s="1"/>
      <c r="H20" s="1"/>
      <c r="I20" s="1"/>
    </row>
    <row r="21" spans="1:45" ht="17">
      <c r="A21" s="1"/>
      <c r="B21" s="80" t="s">
        <v>2819</v>
      </c>
      <c r="C21" s="80" t="s">
        <v>2820</v>
      </c>
      <c r="D21" s="80" t="s">
        <v>2821</v>
      </c>
      <c r="E21" s="80" t="s">
        <v>2995</v>
      </c>
      <c r="G21" s="1"/>
      <c r="H21" s="1"/>
      <c r="I21" s="1"/>
    </row>
    <row r="22" spans="1:45" ht="19" customHeight="1">
      <c r="A22" s="1">
        <v>1</v>
      </c>
      <c r="B22" s="70" t="s">
        <v>2836</v>
      </c>
      <c r="C22" s="70" t="s">
        <v>2837</v>
      </c>
      <c r="D22" s="72" t="s">
        <v>2838</v>
      </c>
      <c r="E22" s="71" t="s">
        <v>2996</v>
      </c>
      <c r="G22" s="1"/>
      <c r="H22" s="1"/>
      <c r="I22" s="1"/>
    </row>
    <row r="23" spans="1:45" ht="30">
      <c r="A23" s="1">
        <v>2</v>
      </c>
      <c r="B23" s="69" t="s">
        <v>2863</v>
      </c>
      <c r="C23" s="69" t="s">
        <v>2864</v>
      </c>
      <c r="D23" s="76" t="s">
        <v>2865</v>
      </c>
      <c r="E23" s="74" t="s">
        <v>2996</v>
      </c>
      <c r="G23" s="1"/>
      <c r="H23" s="1"/>
      <c r="I23" s="1"/>
    </row>
    <row r="24" spans="1:45" ht="16">
      <c r="A24" s="1">
        <v>3</v>
      </c>
      <c r="B24" s="70" t="s">
        <v>2848</v>
      </c>
      <c r="C24" s="70" t="s">
        <v>2849</v>
      </c>
      <c r="D24" s="77" t="s">
        <v>2850</v>
      </c>
      <c r="E24" s="71" t="s">
        <v>2996</v>
      </c>
      <c r="G24" s="1"/>
      <c r="H24" s="1"/>
      <c r="I24" s="1"/>
    </row>
    <row r="25" spans="1:45" ht="32">
      <c r="A25" s="1">
        <v>4</v>
      </c>
      <c r="B25" s="69" t="s">
        <v>2889</v>
      </c>
      <c r="C25" s="69" t="s">
        <v>2890</v>
      </c>
      <c r="D25" s="286" t="s">
        <v>2891</v>
      </c>
      <c r="E25" s="74" t="s">
        <v>2996</v>
      </c>
      <c r="G25" s="1"/>
      <c r="H25" s="1"/>
      <c r="I25" s="1"/>
    </row>
    <row r="26" spans="1:45" ht="30">
      <c r="A26" s="1">
        <v>5</v>
      </c>
      <c r="B26" s="70" t="s">
        <v>2870</v>
      </c>
      <c r="C26" s="70" t="s">
        <v>2871</v>
      </c>
      <c r="D26" s="72" t="s">
        <v>2872</v>
      </c>
      <c r="E26" s="71" t="s">
        <v>2996</v>
      </c>
      <c r="G26" s="1"/>
      <c r="H26" s="1"/>
      <c r="I26" s="1"/>
    </row>
    <row r="27" spans="1:45" ht="16">
      <c r="A27" s="1">
        <v>6</v>
      </c>
      <c r="B27" s="69" t="s">
        <v>2879</v>
      </c>
      <c r="C27" s="69" t="s">
        <v>2880</v>
      </c>
      <c r="D27" s="286" t="s">
        <v>2881</v>
      </c>
      <c r="E27" s="74" t="s">
        <v>2996</v>
      </c>
      <c r="G27" s="1"/>
      <c r="H27" s="1"/>
      <c r="I27" s="1"/>
    </row>
    <row r="28" spans="1:45" ht="16">
      <c r="A28" s="1">
        <v>7</v>
      </c>
      <c r="B28" s="70" t="s">
        <v>2916</v>
      </c>
      <c r="C28" s="70" t="s">
        <v>2917</v>
      </c>
      <c r="D28" s="77" t="s">
        <v>2918</v>
      </c>
      <c r="E28" s="71" t="s">
        <v>2996</v>
      </c>
      <c r="G28" s="1"/>
      <c r="H28" s="1"/>
      <c r="I28" s="1"/>
    </row>
    <row r="29" spans="1:45" ht="30">
      <c r="A29" s="1">
        <v>8</v>
      </c>
      <c r="B29" s="69" t="s">
        <v>2997</v>
      </c>
      <c r="C29" s="69" t="s">
        <v>2907</v>
      </c>
      <c r="D29" s="76" t="s">
        <v>2908</v>
      </c>
      <c r="E29" s="74" t="s">
        <v>2996</v>
      </c>
      <c r="G29" s="1"/>
      <c r="H29" s="1"/>
      <c r="I29" s="1"/>
    </row>
    <row r="30" spans="1:45">
      <c r="A30" s="1">
        <v>9</v>
      </c>
      <c r="B30" s="70" t="s">
        <v>2898</v>
      </c>
      <c r="C30" s="70" t="s">
        <v>2899</v>
      </c>
      <c r="D30" s="72" t="s">
        <v>2900</v>
      </c>
      <c r="E30" s="71" t="s">
        <v>2996</v>
      </c>
      <c r="G30" s="1"/>
      <c r="H30" s="1"/>
      <c r="I30" s="1"/>
    </row>
    <row r="31" spans="1:45">
      <c r="A31" s="1">
        <v>10</v>
      </c>
      <c r="B31" s="69" t="s">
        <v>2939</v>
      </c>
      <c r="C31" s="69" t="s">
        <v>2940</v>
      </c>
      <c r="D31" s="76" t="s">
        <v>2941</v>
      </c>
      <c r="E31" s="74" t="s">
        <v>2996</v>
      </c>
      <c r="G31" s="1"/>
      <c r="H31" s="1"/>
      <c r="I31" s="1"/>
    </row>
    <row r="32" spans="1:45">
      <c r="A32" s="1">
        <v>11</v>
      </c>
      <c r="B32" s="70" t="s">
        <v>2951</v>
      </c>
      <c r="C32" s="70" t="s">
        <v>2952</v>
      </c>
      <c r="D32" s="72" t="s">
        <v>2953</v>
      </c>
      <c r="E32" s="71" t="s">
        <v>2996</v>
      </c>
      <c r="G32" s="1"/>
      <c r="H32" s="1"/>
      <c r="I32" s="1"/>
    </row>
    <row r="33" spans="1:9" ht="30">
      <c r="A33" s="1">
        <v>12</v>
      </c>
      <c r="B33" s="69" t="s">
        <v>2927</v>
      </c>
      <c r="C33" s="69" t="s">
        <v>2928</v>
      </c>
      <c r="D33" s="76" t="s">
        <v>2929</v>
      </c>
      <c r="E33" s="74" t="s">
        <v>2996</v>
      </c>
      <c r="G33" s="1"/>
      <c r="H33" s="1"/>
      <c r="I33" s="1"/>
    </row>
    <row r="34" spans="1:9">
      <c r="A34" s="1">
        <v>13</v>
      </c>
      <c r="B34" s="70" t="s">
        <v>2971</v>
      </c>
      <c r="C34" s="70" t="s">
        <v>2972</v>
      </c>
      <c r="D34" s="72" t="s">
        <v>2973</v>
      </c>
      <c r="E34" s="71" t="s">
        <v>2996</v>
      </c>
      <c r="G34" s="1"/>
      <c r="H34" s="1"/>
      <c r="I34" s="1"/>
    </row>
    <row r="35" spans="1:9">
      <c r="A35" s="1">
        <v>14</v>
      </c>
      <c r="B35" s="69" t="s">
        <v>2984</v>
      </c>
      <c r="C35" s="69" t="s">
        <v>2985</v>
      </c>
      <c r="D35" s="76" t="s">
        <v>2986</v>
      </c>
      <c r="E35" s="81" t="s">
        <v>2996</v>
      </c>
      <c r="G35" s="1"/>
      <c r="H35" s="1"/>
      <c r="I35" s="1"/>
    </row>
    <row r="36" spans="1:9">
      <c r="A36" s="1">
        <v>15</v>
      </c>
      <c r="B36" s="70" t="s">
        <v>2962</v>
      </c>
      <c r="C36" s="70" t="s">
        <v>2963</v>
      </c>
      <c r="D36" s="72" t="s">
        <v>2964</v>
      </c>
      <c r="E36" s="82" t="s">
        <v>2996</v>
      </c>
      <c r="G36" s="1"/>
      <c r="H36" s="1"/>
      <c r="I36" s="1"/>
    </row>
    <row r="37" spans="1:9" ht="48">
      <c r="A37" s="1">
        <v>16</v>
      </c>
      <c r="B37" s="81" t="s">
        <v>2998</v>
      </c>
      <c r="C37" s="81" t="s">
        <v>2999</v>
      </c>
      <c r="D37" s="76" t="s">
        <v>3000</v>
      </c>
      <c r="E37" s="81" t="s">
        <v>3001</v>
      </c>
      <c r="F37" s="1" t="s">
        <v>3002</v>
      </c>
      <c r="G37" s="1"/>
      <c r="H37" s="1"/>
      <c r="I37" s="1"/>
    </row>
    <row r="38" spans="1:9" ht="48">
      <c r="A38" s="1">
        <v>17</v>
      </c>
      <c r="B38" s="83" t="s">
        <v>3003</v>
      </c>
      <c r="C38" s="83" t="s">
        <v>3004</v>
      </c>
      <c r="D38" s="84" t="s">
        <v>3005</v>
      </c>
      <c r="E38" s="83" t="s">
        <v>3001</v>
      </c>
      <c r="F38" s="1" t="s">
        <v>3006</v>
      </c>
      <c r="G38" s="1"/>
      <c r="H38" s="1"/>
      <c r="I38" s="1"/>
    </row>
    <row r="39" spans="1:9" ht="32">
      <c r="A39" s="1">
        <v>18</v>
      </c>
      <c r="B39" s="85" t="s">
        <v>3007</v>
      </c>
      <c r="C39" s="85" t="s">
        <v>3008</v>
      </c>
      <c r="D39" s="286" t="s">
        <v>3009</v>
      </c>
      <c r="E39" s="85" t="s">
        <v>3010</v>
      </c>
      <c r="G39" s="1"/>
      <c r="H39" s="1"/>
      <c r="I39" s="1"/>
    </row>
    <row r="40" spans="1:9" ht="32">
      <c r="A40" s="1">
        <v>19</v>
      </c>
      <c r="B40" s="83" t="s">
        <v>3011</v>
      </c>
      <c r="C40" s="83" t="s">
        <v>3012</v>
      </c>
      <c r="D40" s="77" t="s">
        <v>3013</v>
      </c>
      <c r="E40" s="83" t="s">
        <v>3010</v>
      </c>
      <c r="G40" s="1"/>
      <c r="H40" s="1"/>
      <c r="I40" s="1"/>
    </row>
    <row r="41" spans="1:9" ht="32">
      <c r="A41" s="1">
        <v>20</v>
      </c>
      <c r="B41" s="85" t="s">
        <v>832</v>
      </c>
      <c r="C41" s="85" t="s">
        <v>3014</v>
      </c>
      <c r="D41" s="286" t="s">
        <v>3015</v>
      </c>
      <c r="E41" s="85" t="s">
        <v>3010</v>
      </c>
      <c r="G41" s="1"/>
      <c r="H41" s="1"/>
      <c r="I41" s="1"/>
    </row>
    <row r="42" spans="1:9">
      <c r="A42" s="1"/>
      <c r="B42" s="1"/>
      <c r="C42" s="1"/>
      <c r="D42" s="1"/>
      <c r="E42" s="1"/>
      <c r="G42" s="1"/>
      <c r="H42" s="1"/>
      <c r="I42" s="1"/>
    </row>
    <row r="43" spans="1:9">
      <c r="A43" s="1"/>
      <c r="B43" s="1"/>
      <c r="C43" s="1"/>
      <c r="D43" s="1"/>
      <c r="E43" s="1"/>
      <c r="G43" s="1"/>
      <c r="H43" s="1"/>
      <c r="I43" s="1"/>
    </row>
    <row r="44" spans="1:9">
      <c r="A44" s="1"/>
      <c r="B44" s="1"/>
      <c r="C44" s="1"/>
      <c r="D44" s="1"/>
      <c r="E44" s="1"/>
      <c r="G44" s="1"/>
      <c r="H44" s="1"/>
      <c r="I44" s="1"/>
    </row>
  </sheetData>
  <mergeCells count="6">
    <mergeCell ref="AH1:AP1"/>
    <mergeCell ref="AQ1:AS1"/>
    <mergeCell ref="B20:E20"/>
    <mergeCell ref="A1:S1"/>
    <mergeCell ref="T1:W1"/>
    <mergeCell ref="X1:AG1"/>
  </mergeCells>
  <conditionalFormatting sqref="T1:W1048576">
    <cfRule type="cellIs" dxfId="3" priority="1" operator="equal">
      <formula>"NO"</formula>
    </cfRule>
    <cfRule type="cellIs" dxfId="2" priority="2" operator="equal">
      <formula>"YES"</formula>
    </cfRule>
  </conditionalFormatting>
  <hyperlinks>
    <hyperlink ref="D24" r:id="rId1" xr:uid="{4249DCD7-3193-4BED-84DC-A79C6A8847AE}"/>
    <hyperlink ref="D25" r:id="rId2" xr:uid="{6B62E7A4-567E-4C81-A458-A8B8C4DD326B}"/>
    <hyperlink ref="D27" r:id="rId3" xr:uid="{18A7C9DD-83E8-4D26-8E46-28A9B50EB653}"/>
    <hyperlink ref="D28" r:id="rId4" xr:uid="{AD90C75E-E926-42A8-9E05-B323BE5AAF6E}"/>
    <hyperlink ref="D39" r:id="rId5" xr:uid="{459198EE-4749-448C-96CA-62EC746B9265}"/>
    <hyperlink ref="D40" r:id="rId6" xr:uid="{403DA2E8-4591-46D1-8C04-76F1A1F51DE7}"/>
    <hyperlink ref="D41" r:id="rId7" xr:uid="{D877D27E-08F8-4C0F-A6EA-978AC8404EEC}"/>
    <hyperlink ref="D4" r:id="rId8" display="mailto:b.los@rug.nl" xr:uid="{715B4252-E927-4B15-985A-5DA333976056}"/>
    <hyperlink ref="D7" r:id="rId9" display="mailto:tom.brokel@uis.no" xr:uid="{2725E84A-9A33-4617-B5CD-34DF1B7C2515}"/>
    <hyperlink ref="D8" r:id="rId10" display="mailto:Chloe.LE-COQ@assas-universite.fr" xr:uid="{D95D3E43-1662-4582-9326-4209F8A22EA8}"/>
    <hyperlink ref="D11" r:id="rId11" display="mailto:Rafal.Weron@pwr.edu.pl" xr:uid="{BB41C11C-8108-4195-955C-810820FF3BCD}"/>
  </hyperlinks>
  <pageMargins left="0.7" right="0.7" top="0.75" bottom="0.75" header="0.3" footer="0.3"/>
  <tableParts count="1">
    <tablePart r:id="rId12"/>
  </tableParts>
  <extLst>
    <ext xmlns:x14="http://schemas.microsoft.com/office/spreadsheetml/2009/9/main" uri="{CCE6A557-97BC-4b89-ADB6-D9C93CAAB3DF}">
      <x14:dataValidations xmlns:xm="http://schemas.microsoft.com/office/excel/2006/main" count="1">
        <x14:dataValidation type="list" allowBlank="1" showInputMessage="1" showErrorMessage="1" xr:uid="{870C37A9-CA52-4E06-A325-D93B8221D7FB}">
          <x14:formula1>
            <xm:f>Hoja1!$A$1:$A$2</xm:f>
          </x14:formula1>
          <xm:sqref>T3:W17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3D9DC-71CA-4D61-9734-A2D20AAA998C}">
  <dimension ref="A1:FO60"/>
  <sheetViews>
    <sheetView workbookViewId="0">
      <pane xSplit="3" ySplit="3" topLeftCell="D4" activePane="bottomRight" state="frozen"/>
      <selection pane="topRight"/>
      <selection pane="bottomLeft"/>
      <selection pane="bottomRight" activeCell="O5" sqref="O5"/>
    </sheetView>
  </sheetViews>
  <sheetFormatPr baseColWidth="10" defaultColWidth="8.83203125" defaultRowHeight="15"/>
  <cols>
    <col min="1" max="1" width="6.33203125" customWidth="1"/>
    <col min="2" max="4" width="30.6640625" customWidth="1"/>
    <col min="5" max="5" width="20" customWidth="1"/>
    <col min="6" max="6" width="19.6640625" customWidth="1"/>
    <col min="7" max="7" width="19.33203125" customWidth="1"/>
    <col min="8" max="8" width="22.83203125" customWidth="1"/>
    <col min="9" max="9" width="30.6640625" customWidth="1"/>
    <col min="10" max="10" width="14.33203125" customWidth="1"/>
    <col min="11" max="11" width="9.1640625" bestFit="1" customWidth="1"/>
    <col min="12" max="15" width="21.5" style="1" customWidth="1"/>
    <col min="16" max="16" width="44.5" style="1" customWidth="1"/>
    <col min="17" max="17" width="20.5" style="1" customWidth="1"/>
    <col min="18" max="22" width="21.5" style="1" customWidth="1"/>
    <col min="23" max="26" width="11.33203125" customWidth="1"/>
  </cols>
  <sheetData>
    <row r="1" spans="1:171" ht="14.5" customHeight="1">
      <c r="A1" s="1227" t="s">
        <v>3016</v>
      </c>
      <c r="B1" s="1228"/>
      <c r="C1" s="1228"/>
      <c r="D1" s="1228"/>
      <c r="E1" s="1228"/>
      <c r="F1" s="1228"/>
      <c r="G1" s="1229"/>
      <c r="H1" s="520"/>
      <c r="I1" s="520"/>
      <c r="J1" s="520"/>
      <c r="K1" s="520"/>
      <c r="L1" s="1225" t="s">
        <v>3017</v>
      </c>
      <c r="M1" s="1225"/>
      <c r="N1" s="1225"/>
      <c r="O1" s="1225"/>
      <c r="P1" s="1225"/>
      <c r="Q1" s="1225"/>
      <c r="R1" s="1225"/>
      <c r="S1" s="1225"/>
      <c r="T1" s="1225"/>
      <c r="U1" s="1225"/>
      <c r="V1" s="1225"/>
      <c r="W1" s="1226" t="s">
        <v>2164</v>
      </c>
      <c r="X1" s="1226"/>
      <c r="Y1" s="1226"/>
      <c r="Z1" s="1226"/>
      <c r="AA1" s="1230" t="s">
        <v>3</v>
      </c>
      <c r="AB1" s="1230"/>
      <c r="AC1" s="1230"/>
      <c r="AD1" s="1230"/>
      <c r="AE1" s="1230"/>
      <c r="AF1" s="1230"/>
      <c r="AG1" s="1230"/>
      <c r="AH1" s="1230"/>
      <c r="AI1" s="1230"/>
      <c r="AJ1" s="1230"/>
      <c r="AK1" s="1223" t="s">
        <v>2165</v>
      </c>
      <c r="AL1" s="1223"/>
      <c r="AM1" s="1223"/>
      <c r="AN1" s="1223"/>
      <c r="AO1" s="1223"/>
      <c r="AP1" s="1223"/>
      <c r="AQ1" s="1223"/>
      <c r="AR1" s="1223"/>
      <c r="AS1" s="1224" t="s">
        <v>2166</v>
      </c>
      <c r="AT1" s="1224"/>
      <c r="AU1" s="1224"/>
      <c r="AV1" s="520"/>
      <c r="AW1" s="520"/>
      <c r="AX1" s="520"/>
      <c r="AY1" s="520"/>
      <c r="AZ1" s="520"/>
      <c r="BA1" s="520"/>
      <c r="BB1" s="520"/>
      <c r="BC1" s="520"/>
      <c r="BD1" s="520"/>
      <c r="BE1" s="520"/>
      <c r="BF1" s="520"/>
      <c r="BG1" s="520"/>
      <c r="BH1" s="520"/>
      <c r="BI1" s="520"/>
      <c r="BJ1" s="520"/>
      <c r="BK1" s="520"/>
      <c r="BL1" s="520"/>
      <c r="BM1" s="520"/>
      <c r="BN1" s="520"/>
      <c r="BO1" s="520"/>
      <c r="BP1" s="520"/>
      <c r="BQ1" s="520"/>
      <c r="BR1" s="520"/>
      <c r="BS1" s="520"/>
      <c r="BT1" s="520"/>
      <c r="BU1" s="520"/>
      <c r="BV1" s="520"/>
      <c r="BW1" s="520"/>
      <c r="BX1" s="520"/>
      <c r="BY1" s="520"/>
      <c r="BZ1" s="520"/>
      <c r="CA1" s="520"/>
      <c r="CB1" s="520"/>
      <c r="CC1" s="520"/>
      <c r="CD1" s="520"/>
      <c r="CE1" s="520"/>
      <c r="CF1" s="520"/>
      <c r="CG1" s="520"/>
      <c r="CH1" s="520"/>
      <c r="CI1" s="520"/>
      <c r="CJ1" s="520"/>
      <c r="CK1" s="520"/>
      <c r="CL1" s="520"/>
      <c r="CM1" s="520"/>
      <c r="CN1" s="520"/>
      <c r="CO1" s="520"/>
      <c r="CP1" s="520"/>
      <c r="CQ1" s="520"/>
      <c r="CR1" s="520"/>
      <c r="CS1" s="520"/>
      <c r="CT1" s="520"/>
      <c r="CU1" s="520"/>
      <c r="CV1" s="520"/>
      <c r="CW1" s="520"/>
      <c r="CX1" s="520"/>
      <c r="CY1" s="520"/>
      <c r="CZ1" s="520"/>
      <c r="DA1" s="520"/>
      <c r="DB1" s="520"/>
      <c r="DC1" s="520"/>
      <c r="DD1" s="520"/>
      <c r="DE1" s="520"/>
      <c r="DF1" s="520"/>
      <c r="DG1" s="520"/>
      <c r="DH1" s="520"/>
      <c r="DI1" s="520"/>
      <c r="DJ1" s="520"/>
      <c r="DK1" s="520"/>
      <c r="DL1" s="520"/>
      <c r="DM1" s="520"/>
      <c r="DN1" s="520"/>
      <c r="DO1" s="520"/>
      <c r="DP1" s="520"/>
      <c r="DQ1" s="520"/>
      <c r="DR1" s="520"/>
      <c r="DS1" s="520"/>
      <c r="DT1" s="520"/>
      <c r="DU1" s="520"/>
      <c r="DV1" s="520"/>
      <c r="DW1" s="520"/>
      <c r="DX1" s="520"/>
      <c r="DY1" s="520"/>
      <c r="DZ1" s="520"/>
      <c r="EA1" s="520"/>
      <c r="EB1" s="520"/>
      <c r="EC1" s="520"/>
      <c r="ED1" s="520"/>
      <c r="EE1" s="520"/>
      <c r="EF1" s="520"/>
      <c r="EG1" s="520"/>
      <c r="EH1" s="520"/>
      <c r="EI1" s="520"/>
      <c r="EJ1" s="520"/>
      <c r="EK1" s="520"/>
      <c r="EL1" s="520"/>
      <c r="EM1" s="520"/>
      <c r="EN1" s="520"/>
      <c r="EO1" s="520"/>
      <c r="EP1" s="520"/>
      <c r="EQ1" s="520"/>
      <c r="ER1" s="520"/>
      <c r="ES1" s="520"/>
      <c r="ET1" s="520"/>
      <c r="EU1" s="520"/>
      <c r="EV1" s="520"/>
      <c r="EW1" s="520"/>
      <c r="EX1" s="520"/>
      <c r="EY1" s="520"/>
      <c r="EZ1" s="520"/>
      <c r="FA1" s="520"/>
      <c r="FB1" s="520"/>
      <c r="FC1" s="520"/>
      <c r="FD1" s="520"/>
      <c r="FE1" s="520"/>
      <c r="FF1" s="520"/>
      <c r="FG1" s="520"/>
      <c r="FH1" s="520"/>
      <c r="FI1" s="520"/>
      <c r="FJ1" s="520"/>
      <c r="FK1" s="520"/>
      <c r="FL1" s="520"/>
      <c r="FM1" s="520"/>
      <c r="FN1" s="520"/>
      <c r="FO1" s="520"/>
    </row>
    <row r="2" spans="1:171" ht="65.25" customHeight="1">
      <c r="A2" s="521" t="s">
        <v>3018</v>
      </c>
      <c r="B2" s="522" t="s">
        <v>3019</v>
      </c>
      <c r="C2" s="523" t="s">
        <v>3020</v>
      </c>
      <c r="D2" s="523" t="s">
        <v>3021</v>
      </c>
      <c r="E2" s="523" t="s">
        <v>3022</v>
      </c>
      <c r="F2" s="523" t="s">
        <v>3023</v>
      </c>
      <c r="G2" s="523" t="s">
        <v>3024</v>
      </c>
      <c r="H2" s="584" t="s">
        <v>3025</v>
      </c>
      <c r="I2" s="524" t="s">
        <v>2163</v>
      </c>
      <c r="J2" s="584" t="s">
        <v>3026</v>
      </c>
      <c r="K2" s="857" t="s">
        <v>1975</v>
      </c>
      <c r="L2" s="878" t="s">
        <v>2167</v>
      </c>
      <c r="M2" s="878" t="s">
        <v>2829</v>
      </c>
      <c r="N2" s="878" t="s">
        <v>2830</v>
      </c>
      <c r="O2" s="878" t="s">
        <v>3027</v>
      </c>
      <c r="P2" s="878" t="s">
        <v>3028</v>
      </c>
      <c r="Q2" s="878" t="s">
        <v>3029</v>
      </c>
      <c r="R2" s="878" t="s">
        <v>3030</v>
      </c>
      <c r="S2" s="878" t="s">
        <v>2181</v>
      </c>
      <c r="T2" s="878" t="s">
        <v>2182</v>
      </c>
      <c r="U2" s="878" t="s">
        <v>2183</v>
      </c>
      <c r="V2" s="879" t="s">
        <v>2163</v>
      </c>
      <c r="W2" s="859" t="s">
        <v>64</v>
      </c>
      <c r="X2" s="859" t="s">
        <v>65</v>
      </c>
      <c r="Y2" s="859" t="s">
        <v>66</v>
      </c>
      <c r="Z2" s="859" t="s">
        <v>3031</v>
      </c>
      <c r="AA2" s="41" t="s">
        <v>68</v>
      </c>
      <c r="AB2" s="41" t="s">
        <v>69</v>
      </c>
      <c r="AC2" s="41" t="s">
        <v>57</v>
      </c>
      <c r="AD2" s="41" t="s">
        <v>70</v>
      </c>
      <c r="AE2" s="41" t="s">
        <v>71</v>
      </c>
      <c r="AF2" s="41" t="s">
        <v>72</v>
      </c>
      <c r="AG2" s="41" t="s">
        <v>73</v>
      </c>
      <c r="AH2" s="41" t="s">
        <v>70</v>
      </c>
      <c r="AI2" s="41" t="s">
        <v>71</v>
      </c>
      <c r="AJ2" s="41" t="s">
        <v>74</v>
      </c>
      <c r="AK2" s="42" t="s">
        <v>2187</v>
      </c>
      <c r="AL2" s="43">
        <v>45942</v>
      </c>
      <c r="AM2" s="43">
        <v>45943</v>
      </c>
      <c r="AN2" s="43">
        <v>45944</v>
      </c>
      <c r="AO2" s="43">
        <v>45945</v>
      </c>
      <c r="AP2" s="42" t="s">
        <v>75</v>
      </c>
      <c r="AQ2" s="42" t="s">
        <v>76</v>
      </c>
      <c r="AR2" s="42" t="s">
        <v>2188</v>
      </c>
      <c r="AS2" s="40" t="s">
        <v>2185</v>
      </c>
      <c r="AT2" s="40" t="s">
        <v>81</v>
      </c>
      <c r="AU2" s="40" t="s">
        <v>82</v>
      </c>
      <c r="AV2" s="520"/>
      <c r="AW2" s="520"/>
      <c r="AX2" s="520"/>
      <c r="AY2" s="520"/>
      <c r="AZ2" s="520"/>
      <c r="BA2" s="520"/>
      <c r="BB2" s="520"/>
      <c r="BC2" s="520"/>
      <c r="BD2" s="520"/>
      <c r="BE2" s="520"/>
      <c r="BF2" s="520"/>
      <c r="BG2" s="520"/>
      <c r="BH2" s="520"/>
      <c r="BI2" s="520"/>
      <c r="BJ2" s="520"/>
      <c r="BK2" s="520"/>
      <c r="BL2" s="520"/>
      <c r="BM2" s="520"/>
      <c r="BN2" s="520"/>
      <c r="BO2" s="520"/>
      <c r="BP2" s="520"/>
      <c r="BQ2" s="520"/>
      <c r="BR2" s="520"/>
      <c r="BS2" s="520"/>
      <c r="BT2" s="520"/>
      <c r="BU2" s="520"/>
      <c r="BV2" s="520"/>
      <c r="BW2" s="520"/>
      <c r="BX2" s="520"/>
      <c r="BY2" s="520"/>
      <c r="BZ2" s="520"/>
      <c r="CA2" s="520"/>
      <c r="CB2" s="520"/>
      <c r="CC2" s="520"/>
      <c r="CD2" s="520"/>
      <c r="CE2" s="520"/>
      <c r="CF2" s="520"/>
      <c r="CG2" s="520"/>
      <c r="CH2" s="520"/>
      <c r="CI2" s="520"/>
      <c r="CJ2" s="520"/>
      <c r="CK2" s="520"/>
      <c r="CL2" s="520"/>
      <c r="CM2" s="520"/>
      <c r="CN2" s="520"/>
      <c r="CO2" s="520"/>
      <c r="CP2" s="520"/>
      <c r="CQ2" s="520"/>
      <c r="CR2" s="520"/>
      <c r="CS2" s="520"/>
      <c r="CT2" s="520"/>
      <c r="CU2" s="520"/>
      <c r="CV2" s="520"/>
      <c r="CW2" s="520"/>
      <c r="CX2" s="520"/>
      <c r="CY2" s="520"/>
      <c r="CZ2" s="520"/>
      <c r="DA2" s="520"/>
      <c r="DB2" s="520"/>
      <c r="DC2" s="520"/>
      <c r="DD2" s="520"/>
      <c r="DE2" s="520"/>
      <c r="DF2" s="520"/>
      <c r="DG2" s="520"/>
      <c r="DH2" s="520"/>
      <c r="DI2" s="520"/>
      <c r="DJ2" s="520"/>
      <c r="DK2" s="520"/>
      <c r="DL2" s="520"/>
      <c r="DM2" s="520"/>
      <c r="DN2" s="520"/>
      <c r="DO2" s="520"/>
      <c r="DP2" s="520"/>
      <c r="DQ2" s="520"/>
      <c r="DR2" s="520"/>
      <c r="DS2" s="520"/>
      <c r="DT2" s="520"/>
      <c r="DU2" s="520"/>
      <c r="DV2" s="520"/>
      <c r="DW2" s="520"/>
      <c r="DX2" s="520"/>
      <c r="DY2" s="520"/>
      <c r="DZ2" s="520"/>
      <c r="EA2" s="520"/>
      <c r="EB2" s="520"/>
      <c r="EC2" s="520"/>
      <c r="ED2" s="520"/>
      <c r="EE2" s="520"/>
      <c r="EF2" s="520"/>
      <c r="EG2" s="520"/>
      <c r="EH2" s="520"/>
      <c r="EI2" s="520"/>
      <c r="EJ2" s="520"/>
      <c r="EK2" s="520"/>
      <c r="EL2" s="520"/>
      <c r="EM2" s="520"/>
      <c r="EN2" s="520"/>
      <c r="EO2" s="520"/>
      <c r="EP2" s="520"/>
      <c r="EQ2" s="520"/>
      <c r="ER2" s="520"/>
      <c r="ES2" s="520"/>
      <c r="ET2" s="520"/>
      <c r="EU2" s="520"/>
      <c r="EV2" s="520"/>
      <c r="EW2" s="520"/>
      <c r="EX2" s="520"/>
      <c r="EY2" s="520"/>
      <c r="EZ2" s="520"/>
      <c r="FA2" s="520"/>
      <c r="FB2" s="520"/>
      <c r="FC2" s="520"/>
      <c r="FD2" s="520"/>
      <c r="FE2" s="520"/>
      <c r="FF2" s="520"/>
      <c r="FG2" s="520"/>
      <c r="FH2" s="520"/>
      <c r="FI2" s="520"/>
      <c r="FJ2" s="520"/>
      <c r="FK2" s="520"/>
      <c r="FL2" s="520"/>
      <c r="FM2" s="520"/>
      <c r="FN2" s="520"/>
      <c r="FO2" s="520"/>
    </row>
    <row r="3" spans="1:171" ht="26.25" customHeight="1">
      <c r="A3" s="525">
        <v>1</v>
      </c>
      <c r="B3" s="526" t="s">
        <v>3032</v>
      </c>
      <c r="C3" s="527" t="s">
        <v>3033</v>
      </c>
      <c r="D3" s="528" t="s">
        <v>3034</v>
      </c>
      <c r="E3" s="529"/>
      <c r="F3" s="529"/>
      <c r="G3" s="571" t="s">
        <v>3035</v>
      </c>
      <c r="H3" s="623" t="b">
        <v>1</v>
      </c>
      <c r="I3" s="570"/>
      <c r="J3" s="569" t="s">
        <v>98</v>
      </c>
      <c r="K3" s="855" t="s">
        <v>98</v>
      </c>
      <c r="L3" s="889" t="s">
        <v>3033</v>
      </c>
      <c r="M3" s="889" t="s">
        <v>3036</v>
      </c>
      <c r="N3" s="889" t="s">
        <v>3036</v>
      </c>
      <c r="O3" s="889"/>
      <c r="P3" s="889"/>
      <c r="Q3" s="889"/>
      <c r="R3" s="880" t="s">
        <v>97</v>
      </c>
      <c r="S3" s="880" t="s">
        <v>3037</v>
      </c>
      <c r="T3" s="880" t="s">
        <v>3038</v>
      </c>
      <c r="U3" s="880" t="s">
        <v>2203</v>
      </c>
      <c r="V3" s="880"/>
      <c r="W3" s="48" t="s">
        <v>1006</v>
      </c>
      <c r="X3" s="48" t="s">
        <v>1006</v>
      </c>
      <c r="Y3" s="48" t="s">
        <v>1006</v>
      </c>
      <c r="Z3" s="48" t="s">
        <v>1006</v>
      </c>
      <c r="AA3" s="569"/>
      <c r="AB3" s="569"/>
      <c r="AC3" s="569"/>
      <c r="AD3" s="569"/>
      <c r="AE3" s="569"/>
      <c r="AF3" s="569"/>
      <c r="AG3" s="569"/>
      <c r="AH3" s="569"/>
      <c r="AI3" s="569"/>
      <c r="AJ3" s="569"/>
      <c r="AK3" s="569"/>
      <c r="AL3" s="569"/>
      <c r="AM3" s="569"/>
      <c r="AN3" s="569"/>
      <c r="AO3" s="569"/>
      <c r="AP3" s="569"/>
      <c r="AQ3" s="569"/>
      <c r="AR3" s="569"/>
      <c r="AS3" s="569"/>
      <c r="AT3" s="569"/>
      <c r="AU3" s="569"/>
      <c r="AV3" s="520"/>
      <c r="AW3" s="520"/>
      <c r="AX3" s="520"/>
      <c r="AY3" s="520"/>
      <c r="AZ3" s="520"/>
      <c r="BA3" s="520"/>
      <c r="BB3" s="520"/>
      <c r="BC3" s="520"/>
      <c r="BD3" s="520"/>
      <c r="BE3" s="520"/>
      <c r="BF3" s="520"/>
      <c r="BG3" s="520"/>
      <c r="BH3" s="520"/>
      <c r="BI3" s="520"/>
      <c r="BJ3" s="520"/>
      <c r="BK3" s="520"/>
      <c r="BL3" s="520"/>
      <c r="BM3" s="520"/>
      <c r="BN3" s="520"/>
      <c r="BO3" s="520"/>
      <c r="BP3" s="520"/>
      <c r="BQ3" s="520"/>
      <c r="BR3" s="520"/>
      <c r="BS3" s="520"/>
      <c r="BT3" s="520"/>
      <c r="BU3" s="520"/>
      <c r="BV3" s="520"/>
      <c r="BW3" s="520"/>
      <c r="BX3" s="520"/>
      <c r="BY3" s="520"/>
      <c r="BZ3" s="520"/>
      <c r="CA3" s="520"/>
      <c r="CB3" s="520"/>
      <c r="CC3" s="520"/>
      <c r="CD3" s="520"/>
      <c r="CE3" s="520"/>
      <c r="CF3" s="520"/>
      <c r="CG3" s="520"/>
      <c r="CH3" s="520"/>
      <c r="CI3" s="520"/>
      <c r="CJ3" s="520"/>
      <c r="CK3" s="520"/>
      <c r="CL3" s="520"/>
      <c r="CM3" s="520"/>
      <c r="CN3" s="520"/>
      <c r="CO3" s="520"/>
      <c r="CP3" s="520"/>
      <c r="CQ3" s="520"/>
      <c r="CR3" s="520"/>
      <c r="CS3" s="520"/>
      <c r="CT3" s="520"/>
      <c r="CU3" s="520"/>
      <c r="CV3" s="520"/>
      <c r="CW3" s="520"/>
      <c r="CX3" s="520"/>
      <c r="CY3" s="520"/>
      <c r="CZ3" s="520"/>
      <c r="DA3" s="520"/>
      <c r="DB3" s="520"/>
      <c r="DC3" s="520"/>
      <c r="DD3" s="520"/>
      <c r="DE3" s="520"/>
      <c r="DF3" s="520"/>
      <c r="DG3" s="520"/>
      <c r="DH3" s="520"/>
      <c r="DI3" s="520"/>
      <c r="DJ3" s="520"/>
      <c r="DK3" s="520"/>
      <c r="DL3" s="520"/>
      <c r="DM3" s="520"/>
      <c r="DN3" s="520"/>
      <c r="DO3" s="520"/>
      <c r="DP3" s="520"/>
      <c r="DQ3" s="520"/>
      <c r="DR3" s="520"/>
      <c r="DS3" s="520"/>
      <c r="DT3" s="520"/>
      <c r="DU3" s="520"/>
      <c r="DV3" s="520"/>
      <c r="DW3" s="520"/>
      <c r="DX3" s="520"/>
      <c r="DY3" s="520"/>
      <c r="DZ3" s="520"/>
      <c r="EA3" s="520"/>
      <c r="EB3" s="520"/>
      <c r="EC3" s="520"/>
      <c r="ED3" s="520"/>
      <c r="EE3" s="520"/>
      <c r="EF3" s="520"/>
      <c r="EG3" s="520"/>
      <c r="EH3" s="520"/>
      <c r="EI3" s="520"/>
      <c r="EJ3" s="520"/>
      <c r="EK3" s="520"/>
      <c r="EL3" s="520"/>
      <c r="EM3" s="520"/>
      <c r="EN3" s="520"/>
      <c r="EO3" s="520"/>
      <c r="EP3" s="520"/>
      <c r="EQ3" s="520"/>
      <c r="ER3" s="520"/>
      <c r="ES3" s="520"/>
      <c r="ET3" s="520"/>
      <c r="EU3" s="520"/>
      <c r="EV3" s="520"/>
      <c r="EW3" s="520"/>
      <c r="EX3" s="520"/>
      <c r="EY3" s="520"/>
      <c r="EZ3" s="520"/>
      <c r="FA3" s="520"/>
      <c r="FB3" s="520"/>
      <c r="FC3" s="520"/>
      <c r="FD3" s="520"/>
      <c r="FE3" s="520"/>
      <c r="FF3" s="520"/>
      <c r="FG3" s="520"/>
      <c r="FH3" s="520"/>
      <c r="FI3" s="520"/>
      <c r="FJ3" s="520"/>
      <c r="FK3" s="520"/>
      <c r="FL3" s="520"/>
      <c r="FM3" s="520"/>
      <c r="FN3" s="520"/>
      <c r="FO3" s="520"/>
    </row>
    <row r="4" spans="1:171" ht="26.25" customHeight="1">
      <c r="A4" s="525">
        <v>1</v>
      </c>
      <c r="B4" s="526" t="s">
        <v>3032</v>
      </c>
      <c r="C4" s="527" t="s">
        <v>3039</v>
      </c>
      <c r="D4" s="528" t="s">
        <v>3040</v>
      </c>
      <c r="E4" s="529"/>
      <c r="F4" s="529"/>
      <c r="G4" s="531" t="s">
        <v>3035</v>
      </c>
      <c r="H4" s="623" t="b">
        <v>1</v>
      </c>
      <c r="I4" s="570"/>
      <c r="J4" s="569" t="s">
        <v>98</v>
      </c>
      <c r="K4" s="855" t="s">
        <v>98</v>
      </c>
      <c r="L4" s="890" t="s">
        <v>3039</v>
      </c>
      <c r="M4" s="890" t="s">
        <v>3036</v>
      </c>
      <c r="N4" s="890" t="s">
        <v>3036</v>
      </c>
      <c r="O4" s="890"/>
      <c r="P4" s="890"/>
      <c r="Q4" s="890"/>
      <c r="R4" s="873" t="s">
        <v>97</v>
      </c>
      <c r="S4" s="873" t="s">
        <v>3037</v>
      </c>
      <c r="T4" s="873" t="s">
        <v>3038</v>
      </c>
      <c r="U4" s="873" t="s">
        <v>2203</v>
      </c>
      <c r="V4" s="873"/>
      <c r="W4" s="48" t="s">
        <v>1006</v>
      </c>
      <c r="X4" s="48" t="s">
        <v>1006</v>
      </c>
      <c r="Y4" s="48" t="s">
        <v>1006</v>
      </c>
      <c r="Z4" s="48" t="s">
        <v>1006</v>
      </c>
      <c r="AA4" s="569"/>
      <c r="AB4" s="569"/>
      <c r="AC4" s="569"/>
      <c r="AD4" s="569"/>
      <c r="AE4" s="569"/>
      <c r="AF4" s="569"/>
      <c r="AG4" s="569"/>
      <c r="AH4" s="569"/>
      <c r="AI4" s="569"/>
      <c r="AJ4" s="569"/>
      <c r="AK4" s="569"/>
      <c r="AL4" s="569"/>
      <c r="AM4" s="569"/>
      <c r="AN4" s="569"/>
      <c r="AO4" s="569"/>
      <c r="AP4" s="569"/>
      <c r="AQ4" s="569"/>
      <c r="AR4" s="569"/>
      <c r="AS4" s="569"/>
      <c r="AT4" s="569"/>
      <c r="AU4" s="569"/>
      <c r="AV4" s="520"/>
      <c r="AW4" s="520"/>
      <c r="AX4" s="520"/>
      <c r="AY4" s="520"/>
      <c r="AZ4" s="520"/>
      <c r="BA4" s="520"/>
      <c r="BB4" s="520"/>
      <c r="BC4" s="520"/>
      <c r="BD4" s="520"/>
      <c r="BE4" s="520"/>
      <c r="BF4" s="520"/>
      <c r="BG4" s="520"/>
      <c r="BH4" s="520"/>
      <c r="BI4" s="520"/>
      <c r="BJ4" s="520"/>
      <c r="BK4" s="520"/>
      <c r="BL4" s="520"/>
      <c r="BM4" s="520"/>
      <c r="BN4" s="520"/>
      <c r="BO4" s="520"/>
      <c r="BP4" s="520"/>
      <c r="BQ4" s="520"/>
      <c r="BR4" s="520"/>
      <c r="BS4" s="520"/>
      <c r="BT4" s="520"/>
      <c r="BU4" s="520"/>
      <c r="BV4" s="520"/>
      <c r="BW4" s="520"/>
      <c r="BX4" s="520"/>
      <c r="BY4" s="520"/>
      <c r="BZ4" s="520"/>
      <c r="CA4" s="520"/>
      <c r="CB4" s="520"/>
      <c r="CC4" s="520"/>
      <c r="CD4" s="520"/>
      <c r="CE4" s="520"/>
      <c r="CF4" s="520"/>
      <c r="CG4" s="520"/>
      <c r="CH4" s="520"/>
      <c r="CI4" s="520"/>
      <c r="CJ4" s="520"/>
      <c r="CK4" s="520"/>
      <c r="CL4" s="520"/>
      <c r="CM4" s="520"/>
      <c r="CN4" s="520"/>
      <c r="CO4" s="520"/>
      <c r="CP4" s="520"/>
      <c r="CQ4" s="520"/>
      <c r="CR4" s="520"/>
      <c r="CS4" s="520"/>
      <c r="CT4" s="520"/>
      <c r="CU4" s="520"/>
      <c r="CV4" s="520"/>
      <c r="CW4" s="520"/>
      <c r="CX4" s="520"/>
      <c r="CY4" s="520"/>
      <c r="CZ4" s="520"/>
      <c r="DA4" s="520"/>
      <c r="DB4" s="520"/>
      <c r="DC4" s="520"/>
      <c r="DD4" s="520"/>
      <c r="DE4" s="520"/>
      <c r="DF4" s="520"/>
      <c r="DG4" s="520"/>
      <c r="DH4" s="520"/>
      <c r="DI4" s="520"/>
      <c r="DJ4" s="520"/>
      <c r="DK4" s="520"/>
      <c r="DL4" s="520"/>
      <c r="DM4" s="520"/>
      <c r="DN4" s="520"/>
      <c r="DO4" s="520"/>
      <c r="DP4" s="520"/>
      <c r="DQ4" s="520"/>
      <c r="DR4" s="520"/>
      <c r="DS4" s="520"/>
      <c r="DT4" s="520"/>
      <c r="DU4" s="520"/>
      <c r="DV4" s="520"/>
      <c r="DW4" s="520"/>
      <c r="DX4" s="520"/>
      <c r="DY4" s="520"/>
      <c r="DZ4" s="520"/>
      <c r="EA4" s="520"/>
      <c r="EB4" s="520"/>
      <c r="EC4" s="520"/>
      <c r="ED4" s="520"/>
      <c r="EE4" s="520"/>
      <c r="EF4" s="520"/>
      <c r="EG4" s="520"/>
      <c r="EH4" s="520"/>
      <c r="EI4" s="520"/>
      <c r="EJ4" s="520"/>
      <c r="EK4" s="520"/>
      <c r="EL4" s="520"/>
      <c r="EM4" s="520"/>
      <c r="EN4" s="520"/>
      <c r="EO4" s="520"/>
      <c r="EP4" s="520"/>
      <c r="EQ4" s="520"/>
      <c r="ER4" s="520"/>
      <c r="ES4" s="520"/>
      <c r="ET4" s="520"/>
      <c r="EU4" s="520"/>
      <c r="EV4" s="520"/>
      <c r="EW4" s="520"/>
      <c r="EX4" s="520"/>
      <c r="EY4" s="520"/>
      <c r="EZ4" s="520"/>
      <c r="FA4" s="520"/>
      <c r="FB4" s="520"/>
      <c r="FC4" s="520"/>
      <c r="FD4" s="520"/>
      <c r="FE4" s="520"/>
      <c r="FF4" s="520"/>
      <c r="FG4" s="520"/>
      <c r="FH4" s="520"/>
      <c r="FI4" s="520"/>
      <c r="FJ4" s="520"/>
      <c r="FK4" s="520"/>
      <c r="FL4" s="520"/>
      <c r="FM4" s="520"/>
      <c r="FN4" s="520"/>
      <c r="FO4" s="520"/>
    </row>
    <row r="5" spans="1:171" ht="26.25" customHeight="1">
      <c r="A5" s="525">
        <v>1</v>
      </c>
      <c r="B5" s="526" t="s">
        <v>3041</v>
      </c>
      <c r="C5" s="527" t="s">
        <v>3042</v>
      </c>
      <c r="D5" s="528" t="s">
        <v>3043</v>
      </c>
      <c r="E5" s="530" t="s">
        <v>3044</v>
      </c>
      <c r="F5" s="530" t="s">
        <v>88</v>
      </c>
      <c r="G5" s="627" t="s">
        <v>3035</v>
      </c>
      <c r="H5" s="623" t="b">
        <v>0</v>
      </c>
      <c r="I5" s="571" t="s">
        <v>88</v>
      </c>
      <c r="J5" s="569" t="s">
        <v>98</v>
      </c>
      <c r="K5" s="855" t="s">
        <v>98</v>
      </c>
      <c r="L5" s="881"/>
      <c r="M5" s="881"/>
      <c r="N5" s="881"/>
      <c r="O5" s="881"/>
      <c r="P5" s="881"/>
      <c r="Q5" s="881"/>
      <c r="R5" s="881"/>
      <c r="S5" s="881"/>
      <c r="T5" s="881"/>
      <c r="U5" s="881"/>
      <c r="V5" s="882"/>
      <c r="W5" s="48" t="s">
        <v>1006</v>
      </c>
      <c r="X5" s="48" t="s">
        <v>1006</v>
      </c>
      <c r="Y5" s="48" t="s">
        <v>1006</v>
      </c>
      <c r="Z5" s="48" t="s">
        <v>1006</v>
      </c>
      <c r="AA5" s="569"/>
      <c r="AB5" s="569"/>
      <c r="AC5" s="569"/>
      <c r="AD5" s="569"/>
      <c r="AE5" s="569"/>
      <c r="AF5" s="569"/>
      <c r="AG5" s="569"/>
      <c r="AH5" s="569"/>
      <c r="AI5" s="569"/>
      <c r="AJ5" s="569"/>
      <c r="AK5" s="569"/>
      <c r="AL5" s="569"/>
      <c r="AM5" s="569"/>
      <c r="AN5" s="569"/>
      <c r="AO5" s="569"/>
      <c r="AP5" s="569"/>
      <c r="AQ5" s="569"/>
      <c r="AR5" s="569"/>
      <c r="AS5" s="569"/>
      <c r="AT5" s="569"/>
      <c r="AU5" s="569"/>
      <c r="AV5" s="520"/>
      <c r="AW5" s="520"/>
      <c r="AX5" s="520"/>
      <c r="AY5" s="520"/>
      <c r="AZ5" s="520"/>
      <c r="BA5" s="520"/>
      <c r="BB5" s="520"/>
      <c r="BC5" s="520"/>
      <c r="BD5" s="520"/>
      <c r="BE5" s="520"/>
      <c r="BF5" s="520"/>
      <c r="BG5" s="520"/>
      <c r="BH5" s="520"/>
      <c r="BI5" s="520"/>
      <c r="BJ5" s="520"/>
      <c r="BK5" s="520"/>
      <c r="BL5" s="520"/>
      <c r="BM5" s="520"/>
      <c r="BN5" s="520"/>
      <c r="BO5" s="520"/>
      <c r="BP5" s="520"/>
      <c r="BQ5" s="520"/>
      <c r="BR5" s="520"/>
      <c r="BS5" s="520"/>
      <c r="BT5" s="520"/>
      <c r="BU5" s="520"/>
      <c r="BV5" s="520"/>
      <c r="BW5" s="520"/>
      <c r="BX5" s="520"/>
      <c r="BY5" s="520"/>
      <c r="BZ5" s="520"/>
      <c r="CA5" s="520"/>
      <c r="CB5" s="520"/>
      <c r="CC5" s="520"/>
      <c r="CD5" s="520"/>
      <c r="CE5" s="520"/>
      <c r="CF5" s="520"/>
      <c r="CG5" s="520"/>
      <c r="CH5" s="520"/>
      <c r="CI5" s="520"/>
      <c r="CJ5" s="520"/>
      <c r="CK5" s="520"/>
      <c r="CL5" s="520"/>
      <c r="CM5" s="520"/>
      <c r="CN5" s="520"/>
      <c r="CO5" s="520"/>
      <c r="CP5" s="520"/>
      <c r="CQ5" s="520"/>
      <c r="CR5" s="520"/>
      <c r="CS5" s="520"/>
      <c r="CT5" s="520"/>
      <c r="CU5" s="520"/>
      <c r="CV5" s="520"/>
      <c r="CW5" s="520"/>
      <c r="CX5" s="520"/>
      <c r="CY5" s="520"/>
      <c r="CZ5" s="520"/>
      <c r="DA5" s="520"/>
      <c r="DB5" s="520"/>
      <c r="DC5" s="520"/>
      <c r="DD5" s="520"/>
      <c r="DE5" s="520"/>
      <c r="DF5" s="520"/>
      <c r="DG5" s="520"/>
      <c r="DH5" s="520"/>
      <c r="DI5" s="520"/>
      <c r="DJ5" s="520"/>
      <c r="DK5" s="520"/>
      <c r="DL5" s="520"/>
      <c r="DM5" s="520"/>
      <c r="DN5" s="520"/>
      <c r="DO5" s="520"/>
      <c r="DP5" s="520"/>
      <c r="DQ5" s="520"/>
      <c r="DR5" s="520"/>
      <c r="DS5" s="520"/>
      <c r="DT5" s="520"/>
      <c r="DU5" s="520"/>
      <c r="DV5" s="520"/>
      <c r="DW5" s="520"/>
      <c r="DX5" s="520"/>
      <c r="DY5" s="520"/>
      <c r="DZ5" s="520"/>
      <c r="EA5" s="520"/>
      <c r="EB5" s="520"/>
      <c r="EC5" s="520"/>
      <c r="ED5" s="520"/>
      <c r="EE5" s="520"/>
      <c r="EF5" s="520"/>
      <c r="EG5" s="520"/>
      <c r="EH5" s="520"/>
      <c r="EI5" s="520"/>
      <c r="EJ5" s="520"/>
      <c r="EK5" s="520"/>
      <c r="EL5" s="520"/>
      <c r="EM5" s="520"/>
      <c r="EN5" s="520"/>
      <c r="EO5" s="520"/>
      <c r="EP5" s="520"/>
      <c r="EQ5" s="520"/>
      <c r="ER5" s="520"/>
      <c r="ES5" s="520"/>
      <c r="ET5" s="520"/>
      <c r="EU5" s="520"/>
      <c r="EV5" s="520"/>
      <c r="EW5" s="520"/>
      <c r="EX5" s="520"/>
      <c r="EY5" s="520"/>
      <c r="EZ5" s="520"/>
      <c r="FA5" s="520"/>
      <c r="FB5" s="520"/>
      <c r="FC5" s="520"/>
      <c r="FD5" s="520"/>
      <c r="FE5" s="520"/>
      <c r="FF5" s="520"/>
      <c r="FG5" s="520"/>
      <c r="FH5" s="520"/>
      <c r="FI5" s="520"/>
      <c r="FJ5" s="520"/>
      <c r="FK5" s="520"/>
      <c r="FL5" s="520"/>
      <c r="FM5" s="520"/>
      <c r="FN5" s="520"/>
      <c r="FO5" s="520"/>
    </row>
    <row r="6" spans="1:171" ht="26.25" customHeight="1">
      <c r="A6" s="525">
        <v>1</v>
      </c>
      <c r="B6" s="526" t="s">
        <v>3041</v>
      </c>
      <c r="C6" s="527" t="s">
        <v>3045</v>
      </c>
      <c r="D6" s="528" t="s">
        <v>3046</v>
      </c>
      <c r="E6" s="530" t="s">
        <v>3047</v>
      </c>
      <c r="F6" s="530" t="s">
        <v>88</v>
      </c>
      <c r="G6" s="571" t="s">
        <v>3035</v>
      </c>
      <c r="H6" s="623" t="b">
        <v>0</v>
      </c>
      <c r="I6" s="571" t="s">
        <v>88</v>
      </c>
      <c r="J6" s="569" t="s">
        <v>98</v>
      </c>
      <c r="K6" s="855" t="s">
        <v>98</v>
      </c>
      <c r="L6" s="883"/>
      <c r="M6" s="883"/>
      <c r="N6" s="883"/>
      <c r="O6" s="883"/>
      <c r="P6" s="883"/>
      <c r="Q6" s="883"/>
      <c r="R6" s="883"/>
      <c r="S6" s="883"/>
      <c r="T6" s="883"/>
      <c r="U6" s="883"/>
      <c r="V6" s="884"/>
      <c r="W6" s="48" t="s">
        <v>1006</v>
      </c>
      <c r="X6" s="48" t="s">
        <v>1006</v>
      </c>
      <c r="Y6" s="48" t="s">
        <v>1006</v>
      </c>
      <c r="Z6" s="48" t="s">
        <v>1006</v>
      </c>
      <c r="AA6" s="569"/>
      <c r="AB6" s="569"/>
      <c r="AC6" s="569"/>
      <c r="AD6" s="569"/>
      <c r="AE6" s="569"/>
      <c r="AF6" s="569"/>
      <c r="AG6" s="569"/>
      <c r="AH6" s="569"/>
      <c r="AI6" s="569"/>
      <c r="AJ6" s="569"/>
      <c r="AK6" s="569"/>
      <c r="AL6" s="569"/>
      <c r="AM6" s="569"/>
      <c r="AN6" s="569"/>
      <c r="AO6" s="569"/>
      <c r="AP6" s="569"/>
      <c r="AQ6" s="569"/>
      <c r="AR6" s="569"/>
      <c r="AS6" s="569"/>
      <c r="AT6" s="569"/>
      <c r="AU6" s="569"/>
      <c r="AV6" s="520"/>
      <c r="AW6" s="520"/>
      <c r="AX6" s="520"/>
      <c r="AY6" s="520"/>
      <c r="AZ6" s="520"/>
      <c r="BA6" s="520"/>
      <c r="BB6" s="520"/>
      <c r="BC6" s="520"/>
      <c r="BD6" s="520"/>
      <c r="BE6" s="520"/>
      <c r="BF6" s="520"/>
      <c r="BG6" s="520"/>
      <c r="BH6" s="520"/>
      <c r="BI6" s="520"/>
      <c r="BJ6" s="520"/>
      <c r="BK6" s="520"/>
      <c r="BL6" s="520"/>
      <c r="BM6" s="520"/>
      <c r="BN6" s="520"/>
      <c r="BO6" s="520"/>
      <c r="BP6" s="520"/>
      <c r="BQ6" s="520"/>
      <c r="BR6" s="520"/>
      <c r="BS6" s="520"/>
      <c r="BT6" s="520"/>
      <c r="BU6" s="520"/>
      <c r="BV6" s="520"/>
      <c r="BW6" s="520"/>
      <c r="BX6" s="520"/>
      <c r="BY6" s="520"/>
      <c r="BZ6" s="520"/>
      <c r="CA6" s="520"/>
      <c r="CB6" s="520"/>
      <c r="CC6" s="520"/>
      <c r="CD6" s="520"/>
      <c r="CE6" s="520"/>
      <c r="CF6" s="520"/>
      <c r="CG6" s="520"/>
      <c r="CH6" s="520"/>
      <c r="CI6" s="520"/>
      <c r="CJ6" s="520"/>
      <c r="CK6" s="520"/>
      <c r="CL6" s="520"/>
      <c r="CM6" s="520"/>
      <c r="CN6" s="520"/>
      <c r="CO6" s="520"/>
      <c r="CP6" s="520"/>
      <c r="CQ6" s="520"/>
      <c r="CR6" s="520"/>
      <c r="CS6" s="520"/>
      <c r="CT6" s="520"/>
      <c r="CU6" s="520"/>
      <c r="CV6" s="520"/>
      <c r="CW6" s="520"/>
      <c r="CX6" s="520"/>
      <c r="CY6" s="520"/>
      <c r="CZ6" s="520"/>
      <c r="DA6" s="520"/>
      <c r="DB6" s="520"/>
      <c r="DC6" s="520"/>
      <c r="DD6" s="520"/>
      <c r="DE6" s="520"/>
      <c r="DF6" s="520"/>
      <c r="DG6" s="520"/>
      <c r="DH6" s="520"/>
      <c r="DI6" s="520"/>
      <c r="DJ6" s="520"/>
      <c r="DK6" s="520"/>
      <c r="DL6" s="520"/>
      <c r="DM6" s="520"/>
      <c r="DN6" s="520"/>
      <c r="DO6" s="520"/>
      <c r="DP6" s="520"/>
      <c r="DQ6" s="520"/>
      <c r="DR6" s="520"/>
      <c r="DS6" s="520"/>
      <c r="DT6" s="520"/>
      <c r="DU6" s="520"/>
      <c r="DV6" s="520"/>
      <c r="DW6" s="520"/>
      <c r="DX6" s="520"/>
      <c r="DY6" s="520"/>
      <c r="DZ6" s="520"/>
      <c r="EA6" s="520"/>
      <c r="EB6" s="520"/>
      <c r="EC6" s="520"/>
      <c r="ED6" s="520"/>
      <c r="EE6" s="520"/>
      <c r="EF6" s="520"/>
      <c r="EG6" s="520"/>
      <c r="EH6" s="520"/>
      <c r="EI6" s="520"/>
      <c r="EJ6" s="520"/>
      <c r="EK6" s="520"/>
      <c r="EL6" s="520"/>
      <c r="EM6" s="520"/>
      <c r="EN6" s="520"/>
      <c r="EO6" s="520"/>
      <c r="EP6" s="520"/>
      <c r="EQ6" s="520"/>
      <c r="ER6" s="520"/>
      <c r="ES6" s="520"/>
      <c r="ET6" s="520"/>
      <c r="EU6" s="520"/>
      <c r="EV6" s="520"/>
      <c r="EW6" s="520"/>
      <c r="EX6" s="520"/>
      <c r="EY6" s="520"/>
      <c r="EZ6" s="520"/>
      <c r="FA6" s="520"/>
      <c r="FB6" s="520"/>
      <c r="FC6" s="520"/>
      <c r="FD6" s="520"/>
      <c r="FE6" s="520"/>
      <c r="FF6" s="520"/>
      <c r="FG6" s="520"/>
      <c r="FH6" s="520"/>
      <c r="FI6" s="520"/>
      <c r="FJ6" s="520"/>
      <c r="FK6" s="520"/>
      <c r="FL6" s="520"/>
      <c r="FM6" s="520"/>
      <c r="FN6" s="520"/>
      <c r="FO6" s="520"/>
    </row>
    <row r="7" spans="1:171" ht="26.25" customHeight="1">
      <c r="A7" s="525">
        <v>1</v>
      </c>
      <c r="B7" s="526" t="s">
        <v>3048</v>
      </c>
      <c r="C7" s="527" t="s">
        <v>3049</v>
      </c>
      <c r="D7" s="528" t="s">
        <v>3050</v>
      </c>
      <c r="E7" s="530" t="s">
        <v>3051</v>
      </c>
      <c r="F7" s="529"/>
      <c r="G7" s="571" t="s">
        <v>3052</v>
      </c>
      <c r="H7" s="623" t="b">
        <v>0</v>
      </c>
      <c r="I7" s="572"/>
      <c r="J7" s="569" t="s">
        <v>98</v>
      </c>
      <c r="K7" s="855" t="s">
        <v>98</v>
      </c>
      <c r="L7" s="883"/>
      <c r="M7" s="883"/>
      <c r="N7" s="883"/>
      <c r="O7" s="883"/>
      <c r="P7" s="883"/>
      <c r="Q7" s="883"/>
      <c r="R7" s="883"/>
      <c r="S7" s="883"/>
      <c r="T7" s="883"/>
      <c r="U7" s="883"/>
      <c r="V7" s="884"/>
      <c r="W7" s="48" t="s">
        <v>1006</v>
      </c>
      <c r="X7" s="48" t="s">
        <v>1006</v>
      </c>
      <c r="Y7" s="48" t="s">
        <v>1006</v>
      </c>
      <c r="Z7" s="48" t="s">
        <v>1006</v>
      </c>
      <c r="AA7" s="569"/>
      <c r="AB7" s="569"/>
      <c r="AC7" s="569"/>
      <c r="AD7" s="569"/>
      <c r="AE7" s="569"/>
      <c r="AF7" s="569"/>
      <c r="AG7" s="569"/>
      <c r="AH7" s="569"/>
      <c r="AI7" s="569"/>
      <c r="AJ7" s="569"/>
      <c r="AK7" s="569"/>
      <c r="AL7" s="569"/>
      <c r="AM7" s="569"/>
      <c r="AN7" s="569"/>
      <c r="AO7" s="569"/>
      <c r="AP7" s="569"/>
      <c r="AQ7" s="569"/>
      <c r="AR7" s="569"/>
      <c r="AS7" s="569"/>
      <c r="AT7" s="569"/>
      <c r="AU7" s="569"/>
      <c r="AV7" s="520"/>
      <c r="AW7" s="520"/>
      <c r="AX7" s="520"/>
      <c r="AY7" s="520"/>
      <c r="AZ7" s="520"/>
      <c r="BA7" s="520"/>
      <c r="BB7" s="520"/>
      <c r="BC7" s="520"/>
      <c r="BD7" s="520"/>
      <c r="BE7" s="520"/>
      <c r="BF7" s="520"/>
      <c r="BG7" s="520"/>
      <c r="BH7" s="520"/>
      <c r="BI7" s="520"/>
      <c r="BJ7" s="520"/>
      <c r="BK7" s="520"/>
      <c r="BL7" s="520"/>
      <c r="BM7" s="520"/>
      <c r="BN7" s="520"/>
      <c r="BO7" s="520"/>
      <c r="BP7" s="520"/>
      <c r="BQ7" s="520"/>
      <c r="BR7" s="520"/>
      <c r="BS7" s="520"/>
      <c r="BT7" s="520"/>
      <c r="BU7" s="520"/>
      <c r="BV7" s="520"/>
      <c r="BW7" s="520"/>
      <c r="BX7" s="520"/>
      <c r="BY7" s="520"/>
      <c r="BZ7" s="520"/>
      <c r="CA7" s="520"/>
      <c r="CB7" s="520"/>
      <c r="CC7" s="520"/>
      <c r="CD7" s="520"/>
      <c r="CE7" s="520"/>
      <c r="CF7" s="520"/>
      <c r="CG7" s="520"/>
      <c r="CH7" s="520"/>
      <c r="CI7" s="520"/>
      <c r="CJ7" s="520"/>
      <c r="CK7" s="520"/>
      <c r="CL7" s="520"/>
      <c r="CM7" s="520"/>
      <c r="CN7" s="520"/>
      <c r="CO7" s="520"/>
      <c r="CP7" s="520"/>
      <c r="CQ7" s="520"/>
      <c r="CR7" s="520"/>
      <c r="CS7" s="520"/>
      <c r="CT7" s="520"/>
      <c r="CU7" s="520"/>
      <c r="CV7" s="520"/>
      <c r="CW7" s="520"/>
      <c r="CX7" s="520"/>
      <c r="CY7" s="520"/>
      <c r="CZ7" s="520"/>
      <c r="DA7" s="520"/>
      <c r="DB7" s="520"/>
      <c r="DC7" s="520"/>
      <c r="DD7" s="520"/>
      <c r="DE7" s="520"/>
      <c r="DF7" s="520"/>
      <c r="DG7" s="520"/>
      <c r="DH7" s="520"/>
      <c r="DI7" s="520"/>
      <c r="DJ7" s="520"/>
      <c r="DK7" s="520"/>
      <c r="DL7" s="520"/>
      <c r="DM7" s="520"/>
      <c r="DN7" s="520"/>
      <c r="DO7" s="520"/>
      <c r="DP7" s="520"/>
      <c r="DQ7" s="520"/>
      <c r="DR7" s="520"/>
      <c r="DS7" s="520"/>
      <c r="DT7" s="520"/>
      <c r="DU7" s="520"/>
      <c r="DV7" s="520"/>
      <c r="DW7" s="520"/>
      <c r="DX7" s="520"/>
      <c r="DY7" s="520"/>
      <c r="DZ7" s="520"/>
      <c r="EA7" s="520"/>
      <c r="EB7" s="520"/>
      <c r="EC7" s="520"/>
      <c r="ED7" s="520"/>
      <c r="EE7" s="520"/>
      <c r="EF7" s="520"/>
      <c r="EG7" s="520"/>
      <c r="EH7" s="520"/>
      <c r="EI7" s="520"/>
      <c r="EJ7" s="520"/>
      <c r="EK7" s="520"/>
      <c r="EL7" s="520"/>
      <c r="EM7" s="520"/>
      <c r="EN7" s="520"/>
      <c r="EO7" s="520"/>
      <c r="EP7" s="520"/>
      <c r="EQ7" s="520"/>
      <c r="ER7" s="520"/>
      <c r="ES7" s="520"/>
      <c r="ET7" s="520"/>
      <c r="EU7" s="520"/>
      <c r="EV7" s="520"/>
      <c r="EW7" s="520"/>
      <c r="EX7" s="520"/>
      <c r="EY7" s="520"/>
      <c r="EZ7" s="520"/>
      <c r="FA7" s="520"/>
      <c r="FB7" s="520"/>
      <c r="FC7" s="520"/>
      <c r="FD7" s="520"/>
      <c r="FE7" s="520"/>
      <c r="FF7" s="520"/>
      <c r="FG7" s="520"/>
      <c r="FH7" s="520"/>
      <c r="FI7" s="520"/>
      <c r="FJ7" s="520"/>
      <c r="FK7" s="520"/>
      <c r="FL7" s="520"/>
      <c r="FM7" s="520"/>
      <c r="FN7" s="520"/>
      <c r="FO7" s="520"/>
    </row>
    <row r="8" spans="1:171" ht="26.25" customHeight="1">
      <c r="A8" s="525">
        <v>1</v>
      </c>
      <c r="B8" s="526" t="s">
        <v>3048</v>
      </c>
      <c r="C8" s="527" t="s">
        <v>3053</v>
      </c>
      <c r="D8" s="528" t="s">
        <v>3054</v>
      </c>
      <c r="E8" s="530" t="s">
        <v>3055</v>
      </c>
      <c r="F8" s="529"/>
      <c r="G8" s="571" t="s">
        <v>3052</v>
      </c>
      <c r="H8" s="623" t="b">
        <v>0</v>
      </c>
      <c r="I8" s="572"/>
      <c r="J8" s="569" t="s">
        <v>98</v>
      </c>
      <c r="K8" s="855" t="s">
        <v>98</v>
      </c>
      <c r="L8" s="883"/>
      <c r="M8" s="883"/>
      <c r="N8" s="883"/>
      <c r="O8" s="883"/>
      <c r="P8" s="883"/>
      <c r="Q8" s="883"/>
      <c r="R8" s="883"/>
      <c r="S8" s="883"/>
      <c r="T8" s="883"/>
      <c r="U8" s="883"/>
      <c r="V8" s="884"/>
      <c r="W8" s="48" t="s">
        <v>1006</v>
      </c>
      <c r="X8" s="48" t="s">
        <v>1006</v>
      </c>
      <c r="Y8" s="48" t="s">
        <v>1006</v>
      </c>
      <c r="Z8" s="48" t="s">
        <v>1006</v>
      </c>
      <c r="AA8" s="569"/>
      <c r="AB8" s="569"/>
      <c r="AC8" s="569"/>
      <c r="AD8" s="569"/>
      <c r="AE8" s="569"/>
      <c r="AF8" s="569"/>
      <c r="AG8" s="569"/>
      <c r="AH8" s="569"/>
      <c r="AI8" s="569"/>
      <c r="AJ8" s="569"/>
      <c r="AK8" s="569"/>
      <c r="AL8" s="569"/>
      <c r="AM8" s="569"/>
      <c r="AN8" s="569"/>
      <c r="AO8" s="569"/>
      <c r="AP8" s="569"/>
      <c r="AQ8" s="569"/>
      <c r="AR8" s="569"/>
      <c r="AS8" s="569"/>
      <c r="AT8" s="569"/>
      <c r="AU8" s="569"/>
      <c r="AV8" s="520"/>
      <c r="AW8" s="520"/>
      <c r="AX8" s="520"/>
      <c r="AY8" s="520"/>
      <c r="AZ8" s="520"/>
      <c r="BA8" s="520"/>
      <c r="BB8" s="520"/>
      <c r="BC8" s="520"/>
      <c r="BD8" s="520"/>
      <c r="BE8" s="520"/>
      <c r="BF8" s="520"/>
      <c r="BG8" s="520"/>
      <c r="BH8" s="520"/>
      <c r="BI8" s="520"/>
      <c r="BJ8" s="520"/>
      <c r="BK8" s="520"/>
      <c r="BL8" s="520"/>
      <c r="BM8" s="520"/>
      <c r="BN8" s="520"/>
      <c r="BO8" s="520"/>
      <c r="BP8" s="520"/>
      <c r="BQ8" s="520"/>
      <c r="BR8" s="520"/>
      <c r="BS8" s="520"/>
      <c r="BT8" s="520"/>
      <c r="BU8" s="520"/>
      <c r="BV8" s="520"/>
      <c r="BW8" s="520"/>
      <c r="BX8" s="520"/>
      <c r="BY8" s="520"/>
      <c r="BZ8" s="520"/>
      <c r="CA8" s="520"/>
      <c r="CB8" s="520"/>
      <c r="CC8" s="520"/>
      <c r="CD8" s="520"/>
      <c r="CE8" s="520"/>
      <c r="CF8" s="520"/>
      <c r="CG8" s="520"/>
      <c r="CH8" s="520"/>
      <c r="CI8" s="520"/>
      <c r="CJ8" s="520"/>
      <c r="CK8" s="520"/>
      <c r="CL8" s="520"/>
      <c r="CM8" s="520"/>
      <c r="CN8" s="520"/>
      <c r="CO8" s="520"/>
      <c r="CP8" s="520"/>
      <c r="CQ8" s="520"/>
      <c r="CR8" s="520"/>
      <c r="CS8" s="520"/>
      <c r="CT8" s="520"/>
      <c r="CU8" s="520"/>
      <c r="CV8" s="520"/>
      <c r="CW8" s="520"/>
      <c r="CX8" s="520"/>
      <c r="CY8" s="520"/>
      <c r="CZ8" s="520"/>
      <c r="DA8" s="520"/>
      <c r="DB8" s="520"/>
      <c r="DC8" s="520"/>
      <c r="DD8" s="520"/>
      <c r="DE8" s="520"/>
      <c r="DF8" s="520"/>
      <c r="DG8" s="520"/>
      <c r="DH8" s="520"/>
      <c r="DI8" s="520"/>
      <c r="DJ8" s="520"/>
      <c r="DK8" s="520"/>
      <c r="DL8" s="520"/>
      <c r="DM8" s="520"/>
      <c r="DN8" s="520"/>
      <c r="DO8" s="520"/>
      <c r="DP8" s="520"/>
      <c r="DQ8" s="520"/>
      <c r="DR8" s="520"/>
      <c r="DS8" s="520"/>
      <c r="DT8" s="520"/>
      <c r="DU8" s="520"/>
      <c r="DV8" s="520"/>
      <c r="DW8" s="520"/>
      <c r="DX8" s="520"/>
      <c r="DY8" s="520"/>
      <c r="DZ8" s="520"/>
      <c r="EA8" s="520"/>
      <c r="EB8" s="520"/>
      <c r="EC8" s="520"/>
      <c r="ED8" s="520"/>
      <c r="EE8" s="520"/>
      <c r="EF8" s="520"/>
      <c r="EG8" s="520"/>
      <c r="EH8" s="520"/>
      <c r="EI8" s="520"/>
      <c r="EJ8" s="520"/>
      <c r="EK8" s="520"/>
      <c r="EL8" s="520"/>
      <c r="EM8" s="520"/>
      <c r="EN8" s="520"/>
      <c r="EO8" s="520"/>
      <c r="EP8" s="520"/>
      <c r="EQ8" s="520"/>
      <c r="ER8" s="520"/>
      <c r="ES8" s="520"/>
      <c r="ET8" s="520"/>
      <c r="EU8" s="520"/>
      <c r="EV8" s="520"/>
      <c r="EW8" s="520"/>
      <c r="EX8" s="520"/>
      <c r="EY8" s="520"/>
      <c r="EZ8" s="520"/>
      <c r="FA8" s="520"/>
      <c r="FB8" s="520"/>
      <c r="FC8" s="520"/>
      <c r="FD8" s="520"/>
      <c r="FE8" s="520"/>
      <c r="FF8" s="520"/>
      <c r="FG8" s="520"/>
      <c r="FH8" s="520"/>
      <c r="FI8" s="520"/>
      <c r="FJ8" s="520"/>
      <c r="FK8" s="520"/>
      <c r="FL8" s="520"/>
      <c r="FM8" s="520"/>
      <c r="FN8" s="520"/>
      <c r="FO8" s="520"/>
    </row>
    <row r="9" spans="1:171" ht="26.25" customHeight="1">
      <c r="A9" s="532">
        <v>1</v>
      </c>
      <c r="B9" s="533" t="s">
        <v>3048</v>
      </c>
      <c r="C9" s="534" t="s">
        <v>3056</v>
      </c>
      <c r="D9" s="535" t="s">
        <v>3057</v>
      </c>
      <c r="E9" s="536" t="s">
        <v>3058</v>
      </c>
      <c r="F9" s="537"/>
      <c r="G9" s="573" t="s">
        <v>3052</v>
      </c>
      <c r="H9" s="807" t="b">
        <v>0</v>
      </c>
      <c r="I9" s="573" t="s">
        <v>3059</v>
      </c>
      <c r="J9" s="569" t="s">
        <v>1006</v>
      </c>
      <c r="K9" s="855" t="s">
        <v>1006</v>
      </c>
      <c r="L9" s="885"/>
      <c r="M9" s="885"/>
      <c r="N9" s="885"/>
      <c r="O9" s="885"/>
      <c r="P9" s="885"/>
      <c r="Q9" s="885"/>
      <c r="R9" s="885"/>
      <c r="S9" s="885"/>
      <c r="T9" s="885"/>
      <c r="U9" s="883"/>
      <c r="V9" s="884"/>
      <c r="W9" s="48" t="s">
        <v>1006</v>
      </c>
      <c r="X9" s="48" t="s">
        <v>1006</v>
      </c>
      <c r="Y9" s="48" t="s">
        <v>1006</v>
      </c>
      <c r="Z9" s="48" t="s">
        <v>1006</v>
      </c>
      <c r="AA9" s="569"/>
      <c r="AB9" s="569"/>
      <c r="AC9" s="569"/>
      <c r="AD9" s="569"/>
      <c r="AE9" s="569"/>
      <c r="AF9" s="569"/>
      <c r="AG9" s="569"/>
      <c r="AH9" s="569"/>
      <c r="AI9" s="569"/>
      <c r="AJ9" s="569"/>
      <c r="AK9" s="569"/>
      <c r="AL9" s="569"/>
      <c r="AM9" s="569"/>
      <c r="AN9" s="569"/>
      <c r="AO9" s="569"/>
      <c r="AP9" s="569"/>
      <c r="AQ9" s="569"/>
      <c r="AR9" s="569"/>
      <c r="AS9" s="569"/>
      <c r="AT9" s="569"/>
      <c r="AU9" s="569"/>
      <c r="AV9" s="520"/>
      <c r="AW9" s="520"/>
      <c r="AX9" s="520"/>
      <c r="AY9" s="520"/>
      <c r="AZ9" s="520"/>
      <c r="BA9" s="520"/>
      <c r="BB9" s="520"/>
      <c r="BC9" s="520"/>
      <c r="BD9" s="520"/>
      <c r="BE9" s="520"/>
      <c r="BF9" s="520"/>
      <c r="BG9" s="520"/>
      <c r="BH9" s="520"/>
      <c r="BI9" s="520"/>
      <c r="BJ9" s="520"/>
      <c r="BK9" s="520"/>
      <c r="BL9" s="520"/>
      <c r="BM9" s="520"/>
      <c r="BN9" s="520"/>
      <c r="BO9" s="520"/>
      <c r="BP9" s="520"/>
      <c r="BQ9" s="520"/>
      <c r="BR9" s="520"/>
      <c r="BS9" s="520"/>
      <c r="BT9" s="520"/>
      <c r="BU9" s="520"/>
      <c r="BV9" s="520"/>
      <c r="BW9" s="520"/>
      <c r="BX9" s="520"/>
      <c r="BY9" s="520"/>
      <c r="BZ9" s="520"/>
      <c r="CA9" s="520"/>
      <c r="CB9" s="520"/>
      <c r="CC9" s="520"/>
      <c r="CD9" s="520"/>
      <c r="CE9" s="520"/>
      <c r="CF9" s="520"/>
      <c r="CG9" s="520"/>
      <c r="CH9" s="520"/>
      <c r="CI9" s="520"/>
      <c r="CJ9" s="520"/>
      <c r="CK9" s="520"/>
      <c r="CL9" s="520"/>
      <c r="CM9" s="520"/>
      <c r="CN9" s="520"/>
      <c r="CO9" s="520"/>
      <c r="CP9" s="520"/>
      <c r="CQ9" s="520"/>
      <c r="CR9" s="520"/>
      <c r="CS9" s="520"/>
      <c r="CT9" s="520"/>
      <c r="CU9" s="520"/>
      <c r="CV9" s="520"/>
      <c r="CW9" s="520"/>
      <c r="CX9" s="520"/>
      <c r="CY9" s="520"/>
      <c r="CZ9" s="520"/>
      <c r="DA9" s="520"/>
      <c r="DB9" s="520"/>
      <c r="DC9" s="520"/>
      <c r="DD9" s="520"/>
      <c r="DE9" s="520"/>
      <c r="DF9" s="520"/>
      <c r="DG9" s="520"/>
      <c r="DH9" s="520"/>
      <c r="DI9" s="520"/>
      <c r="DJ9" s="520"/>
      <c r="DK9" s="520"/>
      <c r="DL9" s="520"/>
      <c r="DM9" s="520"/>
      <c r="DN9" s="520"/>
      <c r="DO9" s="520"/>
      <c r="DP9" s="520"/>
      <c r="DQ9" s="520"/>
      <c r="DR9" s="520"/>
      <c r="DS9" s="520"/>
      <c r="DT9" s="520"/>
      <c r="DU9" s="520"/>
      <c r="DV9" s="520"/>
      <c r="DW9" s="520"/>
      <c r="DX9" s="520"/>
      <c r="DY9" s="520"/>
      <c r="DZ9" s="520"/>
      <c r="EA9" s="520"/>
      <c r="EB9" s="520"/>
      <c r="EC9" s="520"/>
      <c r="ED9" s="520"/>
      <c r="EE9" s="520"/>
      <c r="EF9" s="520"/>
      <c r="EG9" s="520"/>
      <c r="EH9" s="520"/>
      <c r="EI9" s="520"/>
      <c r="EJ9" s="520"/>
      <c r="EK9" s="520"/>
      <c r="EL9" s="520"/>
      <c r="EM9" s="520"/>
      <c r="EN9" s="520"/>
      <c r="EO9" s="520"/>
      <c r="EP9" s="520"/>
      <c r="EQ9" s="520"/>
      <c r="ER9" s="520"/>
      <c r="ES9" s="520"/>
      <c r="ET9" s="520"/>
      <c r="EU9" s="520"/>
      <c r="EV9" s="520"/>
      <c r="EW9" s="520"/>
      <c r="EX9" s="520"/>
      <c r="EY9" s="520"/>
      <c r="EZ9" s="520"/>
      <c r="FA9" s="520"/>
      <c r="FB9" s="520"/>
      <c r="FC9" s="520"/>
      <c r="FD9" s="520"/>
      <c r="FE9" s="520"/>
      <c r="FF9" s="520"/>
      <c r="FG9" s="520"/>
      <c r="FH9" s="520"/>
      <c r="FI9" s="520"/>
      <c r="FJ9" s="520"/>
      <c r="FK9" s="520"/>
      <c r="FL9" s="520"/>
      <c r="FM9" s="520"/>
      <c r="FN9" s="520"/>
      <c r="FO9" s="520"/>
    </row>
    <row r="10" spans="1:171" ht="26.25" customHeight="1">
      <c r="A10" s="525">
        <v>1</v>
      </c>
      <c r="B10" s="526" t="s">
        <v>3060</v>
      </c>
      <c r="C10" s="527" t="s">
        <v>3061</v>
      </c>
      <c r="D10" s="528" t="s">
        <v>3062</v>
      </c>
      <c r="E10" s="527" t="s">
        <v>3063</v>
      </c>
      <c r="F10" s="529"/>
      <c r="G10" s="571" t="s">
        <v>3052</v>
      </c>
      <c r="H10" s="623" t="b">
        <v>0</v>
      </c>
      <c r="I10" s="572"/>
      <c r="J10" s="569" t="s">
        <v>98</v>
      </c>
      <c r="K10" s="855" t="s">
        <v>98</v>
      </c>
      <c r="L10" s="485" t="s">
        <v>3061</v>
      </c>
      <c r="M10" s="485" t="s">
        <v>130</v>
      </c>
      <c r="N10" s="485" t="s">
        <v>130</v>
      </c>
      <c r="O10" s="485" t="s">
        <v>3064</v>
      </c>
      <c r="P10" s="485"/>
      <c r="Q10" s="485"/>
      <c r="R10" s="485" t="s">
        <v>97</v>
      </c>
      <c r="S10" s="485" t="s">
        <v>3065</v>
      </c>
      <c r="T10" s="485" t="s">
        <v>3038</v>
      </c>
      <c r="U10" s="485" t="s">
        <v>2203</v>
      </c>
      <c r="V10" s="886"/>
      <c r="W10" s="48" t="s">
        <v>1006</v>
      </c>
      <c r="X10" s="48" t="s">
        <v>1006</v>
      </c>
      <c r="Y10" s="48" t="s">
        <v>1006</v>
      </c>
      <c r="Z10" s="48" t="s">
        <v>1006</v>
      </c>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20"/>
      <c r="AW10" s="520"/>
      <c r="AX10" s="520"/>
      <c r="AY10" s="520"/>
      <c r="AZ10" s="520"/>
      <c r="BA10" s="520"/>
      <c r="BB10" s="520"/>
      <c r="BC10" s="520"/>
      <c r="BD10" s="520"/>
      <c r="BE10" s="520"/>
      <c r="BF10" s="520"/>
      <c r="BG10" s="520"/>
      <c r="BH10" s="520"/>
      <c r="BI10" s="520"/>
      <c r="BJ10" s="520"/>
      <c r="BK10" s="520"/>
      <c r="BL10" s="520"/>
      <c r="BM10" s="520"/>
      <c r="BN10" s="520"/>
      <c r="BO10" s="520"/>
      <c r="BP10" s="520"/>
      <c r="BQ10" s="520"/>
      <c r="BR10" s="520"/>
      <c r="BS10" s="520"/>
      <c r="BT10" s="520"/>
      <c r="BU10" s="520"/>
      <c r="BV10" s="520"/>
      <c r="BW10" s="520"/>
      <c r="BX10" s="520"/>
      <c r="BY10" s="520"/>
      <c r="BZ10" s="520"/>
      <c r="CA10" s="520"/>
      <c r="CB10" s="520"/>
      <c r="CC10" s="520"/>
      <c r="CD10" s="520"/>
      <c r="CE10" s="520"/>
      <c r="CF10" s="520"/>
      <c r="CG10" s="520"/>
      <c r="CH10" s="520"/>
      <c r="CI10" s="520"/>
      <c r="CJ10" s="520"/>
      <c r="CK10" s="520"/>
      <c r="CL10" s="520"/>
      <c r="CM10" s="520"/>
      <c r="CN10" s="520"/>
      <c r="CO10" s="520"/>
      <c r="CP10" s="520"/>
      <c r="CQ10" s="520"/>
      <c r="CR10" s="520"/>
      <c r="CS10" s="520"/>
      <c r="CT10" s="520"/>
      <c r="CU10" s="520"/>
      <c r="CV10" s="520"/>
      <c r="CW10" s="520"/>
      <c r="CX10" s="520"/>
      <c r="CY10" s="520"/>
      <c r="CZ10" s="520"/>
      <c r="DA10" s="520"/>
      <c r="DB10" s="520"/>
      <c r="DC10" s="520"/>
      <c r="DD10" s="520"/>
      <c r="DE10" s="520"/>
      <c r="DF10" s="520"/>
      <c r="DG10" s="520"/>
      <c r="DH10" s="520"/>
      <c r="DI10" s="520"/>
      <c r="DJ10" s="520"/>
      <c r="DK10" s="538"/>
      <c r="DL10" s="520"/>
      <c r="DM10" s="520"/>
      <c r="DN10" s="520"/>
      <c r="DO10" s="520"/>
      <c r="DP10" s="520"/>
      <c r="DQ10" s="520"/>
      <c r="DR10" s="520"/>
      <c r="DS10" s="520"/>
      <c r="DT10" s="520"/>
      <c r="DU10" s="520"/>
      <c r="DV10" s="520"/>
      <c r="DW10" s="520"/>
      <c r="DX10" s="520"/>
      <c r="DY10" s="520"/>
      <c r="DZ10" s="520"/>
      <c r="EA10" s="520"/>
      <c r="EB10" s="520"/>
      <c r="EC10" s="520"/>
      <c r="ED10" s="520"/>
      <c r="EE10" s="520"/>
      <c r="EF10" s="520"/>
      <c r="EG10" s="520"/>
      <c r="EH10" s="520"/>
      <c r="EI10" s="520"/>
      <c r="EJ10" s="520"/>
      <c r="EK10" s="520"/>
      <c r="EL10" s="520"/>
      <c r="EM10" s="520"/>
      <c r="EN10" s="520"/>
      <c r="EO10" s="520"/>
      <c r="EP10" s="520"/>
      <c r="EQ10" s="520"/>
      <c r="ER10" s="520"/>
      <c r="ES10" s="520"/>
      <c r="ET10" s="520"/>
      <c r="EU10" s="520"/>
      <c r="EV10" s="520"/>
      <c r="EW10" s="520"/>
      <c r="EX10" s="520"/>
      <c r="EY10" s="520"/>
      <c r="EZ10" s="520"/>
      <c r="FA10" s="520"/>
      <c r="FB10" s="520"/>
      <c r="FC10" s="520"/>
      <c r="FD10" s="520"/>
      <c r="FE10" s="520"/>
      <c r="FF10" s="520"/>
      <c r="FG10" s="520"/>
      <c r="FH10" s="520"/>
      <c r="FI10" s="520"/>
      <c r="FJ10" s="520"/>
      <c r="FK10" s="520"/>
      <c r="FL10" s="520"/>
      <c r="FM10" s="520"/>
      <c r="FN10" s="520"/>
      <c r="FO10" s="520"/>
    </row>
    <row r="11" spans="1:171" ht="26.25" customHeight="1">
      <c r="A11" s="525">
        <v>1</v>
      </c>
      <c r="B11" s="526" t="s">
        <v>3060</v>
      </c>
      <c r="C11" s="527" t="s">
        <v>3066</v>
      </c>
      <c r="D11" s="528" t="s">
        <v>3067</v>
      </c>
      <c r="E11" s="527" t="s">
        <v>3068</v>
      </c>
      <c r="F11" s="529"/>
      <c r="G11" s="571" t="s">
        <v>3052</v>
      </c>
      <c r="H11" s="623" t="b">
        <v>0</v>
      </c>
      <c r="I11" s="572"/>
      <c r="J11" s="569" t="s">
        <v>98</v>
      </c>
      <c r="K11" s="855" t="s">
        <v>98</v>
      </c>
      <c r="L11" s="892" t="s">
        <v>3066</v>
      </c>
      <c r="M11" s="892" t="s">
        <v>130</v>
      </c>
      <c r="N11" s="892" t="s">
        <v>130</v>
      </c>
      <c r="O11" s="892" t="s">
        <v>3064</v>
      </c>
      <c r="P11" s="892"/>
      <c r="Q11" s="892"/>
      <c r="R11" s="455" t="s">
        <v>97</v>
      </c>
      <c r="S11" s="455" t="s">
        <v>3037</v>
      </c>
      <c r="T11" s="455" t="s">
        <v>3038</v>
      </c>
      <c r="U11" s="873" t="s">
        <v>2203</v>
      </c>
      <c r="V11" s="873"/>
      <c r="W11" s="48" t="s">
        <v>1006</v>
      </c>
      <c r="X11" s="48" t="s">
        <v>1006</v>
      </c>
      <c r="Y11" s="48" t="s">
        <v>1006</v>
      </c>
      <c r="Z11" s="48" t="s">
        <v>1006</v>
      </c>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20"/>
      <c r="AW11" s="520"/>
      <c r="AX11" s="520"/>
      <c r="AY11" s="520"/>
      <c r="AZ11" s="520"/>
      <c r="BA11" s="520"/>
      <c r="BB11" s="520"/>
      <c r="BC11" s="520"/>
      <c r="BD11" s="520"/>
      <c r="BE11" s="520"/>
      <c r="BF11" s="520"/>
      <c r="BG11" s="520"/>
      <c r="BH11" s="520"/>
      <c r="BI11" s="520"/>
      <c r="BJ11" s="520"/>
      <c r="BK11" s="520"/>
      <c r="BL11" s="520"/>
      <c r="BM11" s="520"/>
      <c r="BN11" s="520"/>
      <c r="BO11" s="520"/>
      <c r="BP11" s="520"/>
      <c r="BQ11" s="520"/>
      <c r="BR11" s="520"/>
      <c r="BS11" s="520"/>
      <c r="BT11" s="520"/>
      <c r="BU11" s="520"/>
      <c r="BV11" s="520"/>
      <c r="BW11" s="520"/>
      <c r="BX11" s="520"/>
      <c r="BY11" s="520"/>
      <c r="BZ11" s="520"/>
      <c r="CA11" s="520"/>
      <c r="CB11" s="520"/>
      <c r="CC11" s="520"/>
      <c r="CD11" s="520"/>
      <c r="CE11" s="520"/>
      <c r="CF11" s="520"/>
      <c r="CG11" s="520"/>
      <c r="CH11" s="520"/>
      <c r="CI11" s="520"/>
      <c r="CJ11" s="520"/>
      <c r="CK11" s="520"/>
      <c r="CL11" s="520"/>
      <c r="CM11" s="520"/>
      <c r="CN11" s="520"/>
      <c r="CO11" s="520"/>
      <c r="CP11" s="520"/>
      <c r="CQ11" s="520"/>
      <c r="CR11" s="520"/>
      <c r="CS11" s="520"/>
      <c r="CT11" s="520"/>
      <c r="CU11" s="520"/>
      <c r="CV11" s="520"/>
      <c r="CW11" s="520"/>
      <c r="CX11" s="520"/>
      <c r="CY11" s="520"/>
      <c r="CZ11" s="520"/>
      <c r="DA11" s="520"/>
      <c r="DB11" s="520"/>
      <c r="DC11" s="520"/>
      <c r="DD11" s="520"/>
      <c r="DE11" s="520"/>
      <c r="DF11" s="520"/>
      <c r="DG11" s="520"/>
      <c r="DH11" s="520"/>
      <c r="DI11" s="520"/>
      <c r="DJ11" s="520"/>
      <c r="DK11" s="520"/>
      <c r="DL11" s="520"/>
      <c r="DM11" s="520"/>
      <c r="DN11" s="520"/>
      <c r="DO11" s="520"/>
      <c r="DP11" s="520"/>
      <c r="DQ11" s="520"/>
      <c r="DR11" s="520"/>
      <c r="DS11" s="520"/>
      <c r="DT11" s="520"/>
      <c r="DU11" s="520"/>
      <c r="DV11" s="520"/>
      <c r="DW11" s="520"/>
      <c r="DX11" s="520"/>
      <c r="DY11" s="520"/>
      <c r="DZ11" s="520"/>
      <c r="EA11" s="520"/>
      <c r="EB11" s="520"/>
      <c r="EC11" s="520"/>
      <c r="ED11" s="520"/>
      <c r="EE11" s="520"/>
      <c r="EF11" s="520"/>
      <c r="EG11" s="520"/>
      <c r="EH11" s="520"/>
      <c r="EI11" s="520"/>
      <c r="EJ11" s="520"/>
      <c r="EK11" s="520"/>
      <c r="EL11" s="520"/>
      <c r="EM11" s="520"/>
      <c r="EN11" s="520"/>
      <c r="EO11" s="520"/>
      <c r="EP11" s="520"/>
      <c r="EQ11" s="520"/>
      <c r="ER11" s="520"/>
      <c r="ES11" s="520"/>
      <c r="ET11" s="520"/>
      <c r="EU11" s="520"/>
      <c r="EV11" s="520"/>
      <c r="EW11" s="520"/>
      <c r="EX11" s="520"/>
      <c r="EY11" s="520"/>
      <c r="EZ11" s="520"/>
      <c r="FA11" s="520"/>
      <c r="FB11" s="520"/>
      <c r="FC11" s="520"/>
      <c r="FD11" s="520"/>
      <c r="FE11" s="520"/>
      <c r="FF11" s="520"/>
      <c r="FG11" s="520"/>
      <c r="FH11" s="520"/>
      <c r="FI11" s="520"/>
      <c r="FJ11" s="520"/>
      <c r="FK11" s="520"/>
      <c r="FL11" s="520"/>
      <c r="FM11" s="520"/>
      <c r="FN11" s="520"/>
      <c r="FO11" s="520"/>
    </row>
    <row r="12" spans="1:171" ht="26.25" customHeight="1">
      <c r="A12" s="525">
        <v>1</v>
      </c>
      <c r="B12" s="526" t="s">
        <v>3069</v>
      </c>
      <c r="C12" s="527" t="s">
        <v>3070</v>
      </c>
      <c r="D12" s="528" t="s">
        <v>3071</v>
      </c>
      <c r="E12" s="530" t="s">
        <v>3072</v>
      </c>
      <c r="F12" s="530" t="s">
        <v>88</v>
      </c>
      <c r="G12" s="571" t="s">
        <v>3052</v>
      </c>
      <c r="H12" s="623" t="b">
        <v>1</v>
      </c>
      <c r="I12" s="571" t="s">
        <v>88</v>
      </c>
      <c r="J12" s="569" t="s">
        <v>98</v>
      </c>
      <c r="K12" s="855" t="s">
        <v>98</v>
      </c>
      <c r="L12" s="891" t="s">
        <v>3073</v>
      </c>
      <c r="M12" s="891" t="s">
        <v>3074</v>
      </c>
      <c r="N12" s="891" t="s">
        <v>3075</v>
      </c>
      <c r="O12" s="891" t="s">
        <v>3076</v>
      </c>
      <c r="P12" s="891"/>
      <c r="Q12" s="891"/>
      <c r="R12" s="877" t="s">
        <v>97</v>
      </c>
      <c r="S12" s="877" t="s">
        <v>3037</v>
      </c>
      <c r="T12" s="877" t="s">
        <v>3077</v>
      </c>
      <c r="U12" s="877" t="s">
        <v>3078</v>
      </c>
      <c r="V12" s="877"/>
      <c r="W12" s="48" t="s">
        <v>1006</v>
      </c>
      <c r="X12" s="48" t="s">
        <v>1006</v>
      </c>
      <c r="Y12" s="48" t="s">
        <v>1006</v>
      </c>
      <c r="Z12" s="48" t="s">
        <v>1006</v>
      </c>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20"/>
      <c r="AW12" s="520"/>
      <c r="AX12" s="520"/>
      <c r="AY12" s="520"/>
      <c r="AZ12" s="520"/>
      <c r="BA12" s="520"/>
      <c r="BB12" s="520"/>
      <c r="BC12" s="520"/>
      <c r="BD12" s="520"/>
      <c r="BE12" s="520"/>
      <c r="BF12" s="520"/>
      <c r="BG12" s="520"/>
      <c r="BH12" s="520"/>
      <c r="BI12" s="520"/>
      <c r="BJ12" s="520"/>
      <c r="BK12" s="520"/>
      <c r="BL12" s="520"/>
      <c r="BM12" s="520"/>
      <c r="BN12" s="520"/>
      <c r="BO12" s="520"/>
      <c r="BP12" s="520"/>
      <c r="BQ12" s="520"/>
      <c r="BR12" s="520"/>
      <c r="BS12" s="520"/>
      <c r="BT12" s="520"/>
      <c r="BU12" s="520"/>
      <c r="BV12" s="520"/>
      <c r="BW12" s="520"/>
      <c r="BX12" s="520"/>
      <c r="BY12" s="520"/>
      <c r="BZ12" s="520"/>
      <c r="CA12" s="520"/>
      <c r="CB12" s="520"/>
      <c r="CC12" s="520"/>
      <c r="CD12" s="520"/>
      <c r="CE12" s="520"/>
      <c r="CF12" s="520"/>
      <c r="CG12" s="520"/>
      <c r="CH12" s="520"/>
      <c r="CI12" s="520"/>
      <c r="CJ12" s="520"/>
      <c r="CK12" s="520"/>
      <c r="CL12" s="520"/>
      <c r="CM12" s="520"/>
      <c r="CN12" s="520"/>
      <c r="CO12" s="520"/>
      <c r="CP12" s="520"/>
      <c r="CQ12" s="520"/>
      <c r="CR12" s="520"/>
      <c r="CS12" s="520"/>
      <c r="CT12" s="520"/>
      <c r="CU12" s="520"/>
      <c r="CV12" s="520"/>
      <c r="CW12" s="520"/>
      <c r="CX12" s="520"/>
      <c r="CY12" s="520"/>
      <c r="CZ12" s="520"/>
      <c r="DA12" s="520"/>
      <c r="DB12" s="520"/>
      <c r="DC12" s="520"/>
      <c r="DD12" s="520"/>
      <c r="DE12" s="520"/>
      <c r="DF12" s="520"/>
      <c r="DG12" s="520"/>
      <c r="DH12" s="520"/>
      <c r="DI12" s="520"/>
      <c r="DJ12" s="520"/>
      <c r="DK12" s="520"/>
      <c r="DL12" s="520"/>
      <c r="DM12" s="520"/>
      <c r="DN12" s="520"/>
      <c r="DO12" s="520"/>
      <c r="DP12" s="520"/>
      <c r="DQ12" s="520"/>
      <c r="DR12" s="520"/>
      <c r="DS12" s="520"/>
      <c r="DT12" s="520"/>
      <c r="DU12" s="520"/>
      <c r="DV12" s="520"/>
      <c r="DW12" s="520"/>
      <c r="DX12" s="520"/>
      <c r="DY12" s="520"/>
      <c r="DZ12" s="520"/>
      <c r="EA12" s="520"/>
      <c r="EB12" s="520"/>
      <c r="EC12" s="520"/>
      <c r="ED12" s="520"/>
      <c r="EE12" s="520"/>
      <c r="EF12" s="520"/>
      <c r="EG12" s="520"/>
      <c r="EH12" s="520"/>
      <c r="EI12" s="520"/>
      <c r="EJ12" s="520"/>
      <c r="EK12" s="520"/>
      <c r="EL12" s="520"/>
      <c r="EM12" s="520"/>
      <c r="EN12" s="520"/>
      <c r="EO12" s="520"/>
      <c r="EP12" s="520"/>
      <c r="EQ12" s="520"/>
      <c r="ER12" s="520"/>
      <c r="ES12" s="520"/>
      <c r="ET12" s="520"/>
      <c r="EU12" s="520"/>
      <c r="EV12" s="520"/>
      <c r="EW12" s="520"/>
      <c r="EX12" s="520"/>
      <c r="EY12" s="520"/>
      <c r="EZ12" s="520"/>
      <c r="FA12" s="520"/>
      <c r="FB12" s="520"/>
      <c r="FC12" s="520"/>
      <c r="FD12" s="520"/>
      <c r="FE12" s="520"/>
      <c r="FF12" s="520"/>
      <c r="FG12" s="520"/>
      <c r="FH12" s="520"/>
      <c r="FI12" s="520"/>
      <c r="FJ12" s="520"/>
      <c r="FK12" s="520"/>
      <c r="FL12" s="520"/>
      <c r="FM12" s="520"/>
      <c r="FN12" s="520"/>
      <c r="FO12" s="520"/>
    </row>
    <row r="13" spans="1:171" ht="26.25" customHeight="1">
      <c r="A13" s="525">
        <v>1</v>
      </c>
      <c r="B13" s="526" t="s">
        <v>3069</v>
      </c>
      <c r="C13" s="527" t="s">
        <v>3079</v>
      </c>
      <c r="D13" s="528" t="s">
        <v>3080</v>
      </c>
      <c r="E13" s="530" t="s">
        <v>3081</v>
      </c>
      <c r="F13" s="530" t="s">
        <v>88</v>
      </c>
      <c r="G13" s="571" t="s">
        <v>3052</v>
      </c>
      <c r="H13" s="632" t="b">
        <v>0</v>
      </c>
      <c r="I13" s="571" t="s">
        <v>88</v>
      </c>
      <c r="J13" s="569" t="s">
        <v>98</v>
      </c>
      <c r="K13" s="855" t="s">
        <v>98</v>
      </c>
      <c r="L13" s="889" t="s">
        <v>3079</v>
      </c>
      <c r="M13" s="889" t="s">
        <v>3082</v>
      </c>
      <c r="N13" s="889" t="s">
        <v>3082</v>
      </c>
      <c r="O13" s="889" t="s">
        <v>3083</v>
      </c>
      <c r="P13" s="889" t="s">
        <v>3084</v>
      </c>
      <c r="Q13" s="889"/>
      <c r="R13" s="880" t="s">
        <v>97</v>
      </c>
      <c r="S13" s="880" t="s">
        <v>3037</v>
      </c>
      <c r="T13" s="880" t="s">
        <v>3077</v>
      </c>
      <c r="U13" s="873" t="s">
        <v>2203</v>
      </c>
      <c r="V13" s="873"/>
      <c r="W13" s="48" t="s">
        <v>1006</v>
      </c>
      <c r="X13" s="48" t="s">
        <v>1006</v>
      </c>
      <c r="Y13" s="48" t="s">
        <v>1006</v>
      </c>
      <c r="Z13" s="48" t="s">
        <v>1006</v>
      </c>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20"/>
      <c r="AW13" s="520"/>
      <c r="AX13" s="520"/>
      <c r="AY13" s="520"/>
      <c r="AZ13" s="520"/>
      <c r="BA13" s="520"/>
      <c r="BB13" s="520"/>
      <c r="BC13" s="520"/>
      <c r="BD13" s="520"/>
      <c r="BE13" s="520"/>
      <c r="BF13" s="520"/>
      <c r="BG13" s="520"/>
      <c r="BH13" s="520"/>
      <c r="BI13" s="520"/>
      <c r="BJ13" s="520"/>
      <c r="BK13" s="520"/>
      <c r="BL13" s="520"/>
      <c r="BM13" s="520"/>
      <c r="BN13" s="520"/>
      <c r="BO13" s="520"/>
      <c r="BP13" s="520"/>
      <c r="BQ13" s="520"/>
      <c r="BR13" s="520"/>
      <c r="BS13" s="520"/>
      <c r="BT13" s="520"/>
      <c r="BU13" s="520"/>
      <c r="BV13" s="520"/>
      <c r="BW13" s="520"/>
      <c r="BX13" s="520"/>
      <c r="BY13" s="520"/>
      <c r="BZ13" s="520"/>
      <c r="CA13" s="520"/>
      <c r="CB13" s="520"/>
      <c r="CC13" s="520"/>
      <c r="CD13" s="520"/>
      <c r="CE13" s="520"/>
      <c r="CF13" s="520"/>
      <c r="CG13" s="520"/>
      <c r="CH13" s="520"/>
      <c r="CI13" s="520"/>
      <c r="CJ13" s="520"/>
      <c r="CK13" s="520"/>
      <c r="CL13" s="520"/>
      <c r="CM13" s="520"/>
      <c r="CN13" s="520"/>
      <c r="CO13" s="520"/>
      <c r="CP13" s="520"/>
      <c r="CQ13" s="520"/>
      <c r="CR13" s="520"/>
      <c r="CS13" s="520"/>
      <c r="CT13" s="520"/>
      <c r="CU13" s="520"/>
      <c r="CV13" s="520"/>
      <c r="CW13" s="520"/>
      <c r="CX13" s="520"/>
      <c r="CY13" s="520"/>
      <c r="CZ13" s="520"/>
      <c r="DA13" s="520"/>
      <c r="DB13" s="520"/>
      <c r="DC13" s="520"/>
      <c r="DD13" s="520"/>
      <c r="DE13" s="520"/>
      <c r="DF13" s="520"/>
      <c r="DG13" s="520"/>
      <c r="DH13" s="520"/>
      <c r="DI13" s="520"/>
      <c r="DJ13" s="520"/>
      <c r="DK13" s="520"/>
      <c r="DL13" s="520"/>
      <c r="DM13" s="520"/>
      <c r="DN13" s="520"/>
      <c r="DO13" s="520"/>
      <c r="DP13" s="520"/>
      <c r="DQ13" s="520"/>
      <c r="DR13" s="520"/>
      <c r="DS13" s="520"/>
      <c r="DT13" s="520"/>
      <c r="DU13" s="520"/>
      <c r="DV13" s="520"/>
      <c r="DW13" s="520"/>
      <c r="DX13" s="520"/>
      <c r="DY13" s="520"/>
      <c r="DZ13" s="520"/>
      <c r="EA13" s="520"/>
      <c r="EB13" s="520"/>
      <c r="EC13" s="520"/>
      <c r="ED13" s="520"/>
      <c r="EE13" s="520"/>
      <c r="EF13" s="520"/>
      <c r="EG13" s="520"/>
      <c r="EH13" s="520"/>
      <c r="EI13" s="520"/>
      <c r="EJ13" s="520"/>
      <c r="EK13" s="520"/>
      <c r="EL13" s="520"/>
      <c r="EM13" s="520"/>
      <c r="EN13" s="520"/>
      <c r="EO13" s="520"/>
      <c r="EP13" s="520"/>
      <c r="EQ13" s="520"/>
      <c r="ER13" s="520"/>
      <c r="ES13" s="520"/>
      <c r="ET13" s="520"/>
      <c r="EU13" s="520"/>
      <c r="EV13" s="520"/>
      <c r="EW13" s="520"/>
      <c r="EX13" s="520"/>
      <c r="EY13" s="520"/>
      <c r="EZ13" s="520"/>
      <c r="FA13" s="520"/>
      <c r="FB13" s="520"/>
      <c r="FC13" s="520"/>
      <c r="FD13" s="520"/>
      <c r="FE13" s="520"/>
      <c r="FF13" s="520"/>
      <c r="FG13" s="520"/>
      <c r="FH13" s="520"/>
      <c r="FI13" s="520"/>
      <c r="FJ13" s="520"/>
      <c r="FK13" s="520"/>
      <c r="FL13" s="520"/>
      <c r="FM13" s="520"/>
      <c r="FN13" s="520"/>
      <c r="FO13" s="520"/>
    </row>
    <row r="14" spans="1:171" ht="26.25" customHeight="1">
      <c r="A14" s="539">
        <v>2</v>
      </c>
      <c r="B14" s="540" t="s">
        <v>3085</v>
      </c>
      <c r="C14" s="541" t="s">
        <v>3086</v>
      </c>
      <c r="D14" s="542" t="s">
        <v>3087</v>
      </c>
      <c r="E14" s="541" t="s">
        <v>3088</v>
      </c>
      <c r="F14" s="543"/>
      <c r="G14" s="574" t="s">
        <v>3035</v>
      </c>
      <c r="H14" s="631" t="b">
        <v>0</v>
      </c>
      <c r="I14" s="574" t="s">
        <v>88</v>
      </c>
      <c r="J14" s="569" t="s">
        <v>98</v>
      </c>
      <c r="K14" s="855" t="s">
        <v>98</v>
      </c>
      <c r="L14" s="485" t="s">
        <v>3089</v>
      </c>
      <c r="M14" s="485" t="s">
        <v>3090</v>
      </c>
      <c r="N14" s="485" t="s">
        <v>3091</v>
      </c>
      <c r="O14" s="485" t="s">
        <v>3092</v>
      </c>
      <c r="P14" s="485"/>
      <c r="Q14" s="485"/>
      <c r="R14" s="485" t="s">
        <v>110</v>
      </c>
      <c r="S14" s="485" t="s">
        <v>3037</v>
      </c>
      <c r="T14" s="485" t="s">
        <v>3038</v>
      </c>
      <c r="U14" s="485" t="s">
        <v>2203</v>
      </c>
      <c r="V14" s="888"/>
      <c r="W14" s="48" t="s">
        <v>1006</v>
      </c>
      <c r="X14" s="48" t="s">
        <v>1006</v>
      </c>
      <c r="Y14" s="48" t="s">
        <v>1006</v>
      </c>
      <c r="Z14" s="48" t="s">
        <v>1006</v>
      </c>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20"/>
      <c r="AW14" s="520"/>
      <c r="AX14" s="520"/>
      <c r="AY14" s="520"/>
      <c r="AZ14" s="520"/>
      <c r="BA14" s="520"/>
      <c r="BB14" s="520"/>
      <c r="BC14" s="520"/>
      <c r="BD14" s="520"/>
      <c r="BE14" s="520"/>
      <c r="BF14" s="520"/>
      <c r="BG14" s="520"/>
      <c r="BH14" s="520"/>
      <c r="BI14" s="520"/>
      <c r="BJ14" s="520"/>
      <c r="BK14" s="520"/>
      <c r="BL14" s="520"/>
      <c r="BM14" s="520"/>
      <c r="BN14" s="520"/>
      <c r="BO14" s="520"/>
      <c r="BP14" s="520"/>
      <c r="BQ14" s="520"/>
      <c r="BR14" s="520"/>
      <c r="BS14" s="520"/>
      <c r="BT14" s="520"/>
      <c r="BU14" s="520"/>
      <c r="BV14" s="520"/>
      <c r="BW14" s="520"/>
      <c r="BX14" s="520"/>
      <c r="BY14" s="520"/>
      <c r="BZ14" s="520"/>
      <c r="CA14" s="520"/>
      <c r="CB14" s="520"/>
      <c r="CC14" s="520"/>
      <c r="CD14" s="520"/>
      <c r="CE14" s="520"/>
      <c r="CF14" s="520"/>
      <c r="CG14" s="520"/>
      <c r="CH14" s="520"/>
      <c r="CI14" s="520"/>
      <c r="CJ14" s="520"/>
      <c r="CK14" s="520"/>
      <c r="CL14" s="520"/>
      <c r="CM14" s="520"/>
      <c r="CN14" s="520"/>
      <c r="CO14" s="520"/>
      <c r="CP14" s="520"/>
      <c r="CQ14" s="520"/>
      <c r="CR14" s="520"/>
      <c r="CS14" s="520"/>
      <c r="CT14" s="520"/>
      <c r="CU14" s="520"/>
      <c r="CV14" s="520"/>
      <c r="CW14" s="520"/>
      <c r="CX14" s="520"/>
      <c r="CY14" s="520"/>
      <c r="CZ14" s="520"/>
      <c r="DA14" s="520"/>
      <c r="DB14" s="520"/>
      <c r="DC14" s="520"/>
      <c r="DD14" s="520"/>
      <c r="DE14" s="520"/>
      <c r="DF14" s="520"/>
      <c r="DG14" s="520"/>
      <c r="DH14" s="520"/>
      <c r="DI14" s="520"/>
      <c r="DJ14" s="520"/>
      <c r="DK14" s="520"/>
      <c r="DL14" s="520"/>
      <c r="DM14" s="520"/>
      <c r="DN14" s="520"/>
      <c r="DO14" s="520"/>
      <c r="DP14" s="520"/>
      <c r="DQ14" s="520"/>
      <c r="DR14" s="520"/>
      <c r="DS14" s="520"/>
      <c r="DT14" s="520"/>
      <c r="DU14" s="520"/>
      <c r="DV14" s="520"/>
      <c r="DW14" s="520"/>
      <c r="DX14" s="520"/>
      <c r="DY14" s="520"/>
      <c r="DZ14" s="520"/>
      <c r="EA14" s="520"/>
      <c r="EB14" s="520"/>
      <c r="EC14" s="520"/>
      <c r="ED14" s="520"/>
      <c r="EE14" s="520"/>
      <c r="EF14" s="520"/>
      <c r="EG14" s="520"/>
      <c r="EH14" s="520"/>
      <c r="EI14" s="520"/>
      <c r="EJ14" s="520"/>
      <c r="EK14" s="520"/>
      <c r="EL14" s="520"/>
      <c r="EM14" s="520"/>
      <c r="EN14" s="520"/>
      <c r="EO14" s="520"/>
      <c r="EP14" s="520"/>
      <c r="EQ14" s="520"/>
      <c r="ER14" s="520"/>
      <c r="ES14" s="520"/>
      <c r="ET14" s="520"/>
      <c r="EU14" s="520"/>
      <c r="EV14" s="520"/>
      <c r="EW14" s="520"/>
      <c r="EX14" s="520"/>
      <c r="EY14" s="520"/>
      <c r="EZ14" s="520"/>
      <c r="FA14" s="520"/>
      <c r="FB14" s="520"/>
      <c r="FC14" s="520"/>
      <c r="FD14" s="520"/>
      <c r="FE14" s="520"/>
      <c r="FF14" s="520"/>
      <c r="FG14" s="520"/>
      <c r="FH14" s="520"/>
      <c r="FI14" s="520"/>
      <c r="FJ14" s="520"/>
      <c r="FK14" s="520"/>
      <c r="FL14" s="520"/>
      <c r="FM14" s="520"/>
      <c r="FN14" s="520"/>
      <c r="FO14" s="520"/>
    </row>
    <row r="15" spans="1:171" ht="26.25" customHeight="1">
      <c r="A15" s="539">
        <v>2</v>
      </c>
      <c r="B15" s="540" t="s">
        <v>3085</v>
      </c>
      <c r="C15" s="541" t="s">
        <v>3093</v>
      </c>
      <c r="D15" s="542" t="s">
        <v>3094</v>
      </c>
      <c r="E15" s="541" t="s">
        <v>3095</v>
      </c>
      <c r="F15" s="543"/>
      <c r="G15" s="574" t="s">
        <v>3035</v>
      </c>
      <c r="H15" s="631" t="b">
        <v>0</v>
      </c>
      <c r="I15" s="574" t="s">
        <v>88</v>
      </c>
      <c r="J15" s="569" t="s">
        <v>98</v>
      </c>
      <c r="K15" s="855" t="s">
        <v>98</v>
      </c>
      <c r="L15" s="891" t="s">
        <v>3096</v>
      </c>
      <c r="M15" s="891" t="s">
        <v>3097</v>
      </c>
      <c r="N15" s="891" t="s">
        <v>3097</v>
      </c>
      <c r="O15" s="891" t="s">
        <v>2251</v>
      </c>
      <c r="P15" s="891"/>
      <c r="Q15" s="891"/>
      <c r="R15" s="877" t="s">
        <v>97</v>
      </c>
      <c r="S15" s="877" t="s">
        <v>3065</v>
      </c>
      <c r="T15" s="877" t="s">
        <v>3038</v>
      </c>
      <c r="U15" s="873" t="s">
        <v>2203</v>
      </c>
      <c r="V15" s="873"/>
      <c r="W15" s="48" t="s">
        <v>1006</v>
      </c>
      <c r="X15" s="48" t="s">
        <v>1006</v>
      </c>
      <c r="Y15" s="48" t="s">
        <v>1006</v>
      </c>
      <c r="Z15" s="48" t="s">
        <v>1006</v>
      </c>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20"/>
      <c r="AW15" s="520"/>
      <c r="AX15" s="520"/>
      <c r="AY15" s="520"/>
      <c r="AZ15" s="520"/>
      <c r="BA15" s="520"/>
      <c r="BB15" s="520"/>
      <c r="BC15" s="520"/>
      <c r="BD15" s="520"/>
      <c r="BE15" s="520"/>
      <c r="BF15" s="520"/>
      <c r="BG15" s="520"/>
      <c r="BH15" s="520"/>
      <c r="BI15" s="520"/>
      <c r="BJ15" s="520"/>
      <c r="BK15" s="520"/>
      <c r="BL15" s="520"/>
      <c r="BM15" s="520"/>
      <c r="BN15" s="520"/>
      <c r="BO15" s="520"/>
      <c r="BP15" s="520"/>
      <c r="BQ15" s="520"/>
      <c r="BR15" s="520"/>
      <c r="BS15" s="520"/>
      <c r="BT15" s="520"/>
      <c r="BU15" s="520"/>
      <c r="BV15" s="520"/>
      <c r="BW15" s="520"/>
      <c r="BX15" s="520"/>
      <c r="BY15" s="520"/>
      <c r="BZ15" s="520"/>
      <c r="CA15" s="520"/>
      <c r="CB15" s="520"/>
      <c r="CC15" s="520"/>
      <c r="CD15" s="520"/>
      <c r="CE15" s="520"/>
      <c r="CF15" s="520"/>
      <c r="CG15" s="520"/>
      <c r="CH15" s="520"/>
      <c r="CI15" s="520"/>
      <c r="CJ15" s="520"/>
      <c r="CK15" s="520"/>
      <c r="CL15" s="520"/>
      <c r="CM15" s="520"/>
      <c r="CN15" s="520"/>
      <c r="CO15" s="520"/>
      <c r="CP15" s="520"/>
      <c r="CQ15" s="520"/>
      <c r="CR15" s="520"/>
      <c r="CS15" s="520"/>
      <c r="CT15" s="520"/>
      <c r="CU15" s="520"/>
      <c r="CV15" s="520"/>
      <c r="CW15" s="520"/>
      <c r="CX15" s="520"/>
      <c r="CY15" s="520"/>
      <c r="CZ15" s="520"/>
      <c r="DA15" s="520"/>
      <c r="DB15" s="520"/>
      <c r="DC15" s="520"/>
      <c r="DD15" s="520"/>
      <c r="DE15" s="520"/>
      <c r="DF15" s="520"/>
      <c r="DG15" s="520"/>
      <c r="DH15" s="520"/>
      <c r="DI15" s="520"/>
      <c r="DJ15" s="520"/>
      <c r="DK15" s="520"/>
      <c r="DL15" s="520"/>
      <c r="DM15" s="520"/>
      <c r="DN15" s="520"/>
      <c r="DO15" s="520"/>
      <c r="DP15" s="520"/>
      <c r="DQ15" s="520"/>
      <c r="DR15" s="520"/>
      <c r="DS15" s="520"/>
      <c r="DT15" s="520"/>
      <c r="DU15" s="520"/>
      <c r="DV15" s="520"/>
      <c r="DW15" s="520"/>
      <c r="DX15" s="520"/>
      <c r="DY15" s="520"/>
      <c r="DZ15" s="520"/>
      <c r="EA15" s="520"/>
      <c r="EB15" s="520"/>
      <c r="EC15" s="520"/>
      <c r="ED15" s="520"/>
      <c r="EE15" s="520"/>
      <c r="EF15" s="520"/>
      <c r="EG15" s="520"/>
      <c r="EH15" s="520"/>
      <c r="EI15" s="520"/>
      <c r="EJ15" s="520"/>
      <c r="EK15" s="520"/>
      <c r="EL15" s="520"/>
      <c r="EM15" s="520"/>
      <c r="EN15" s="520"/>
      <c r="EO15" s="520"/>
      <c r="EP15" s="520"/>
      <c r="EQ15" s="520"/>
      <c r="ER15" s="520"/>
      <c r="ES15" s="520"/>
      <c r="ET15" s="520"/>
      <c r="EU15" s="520"/>
      <c r="EV15" s="520"/>
      <c r="EW15" s="520"/>
      <c r="EX15" s="520"/>
      <c r="EY15" s="520"/>
      <c r="EZ15" s="520"/>
      <c r="FA15" s="520"/>
      <c r="FB15" s="520"/>
      <c r="FC15" s="520"/>
      <c r="FD15" s="520"/>
      <c r="FE15" s="520"/>
      <c r="FF15" s="520"/>
      <c r="FG15" s="520"/>
      <c r="FH15" s="520"/>
      <c r="FI15" s="520"/>
      <c r="FJ15" s="520"/>
      <c r="FK15" s="520"/>
      <c r="FL15" s="520"/>
      <c r="FM15" s="520"/>
      <c r="FN15" s="520"/>
      <c r="FO15" s="520"/>
    </row>
    <row r="16" spans="1:171" ht="26.25" customHeight="1">
      <c r="A16" s="539">
        <v>2</v>
      </c>
      <c r="B16" s="540" t="s">
        <v>3098</v>
      </c>
      <c r="C16" s="541" t="s">
        <v>3099</v>
      </c>
      <c r="D16" s="542" t="s">
        <v>3100</v>
      </c>
      <c r="E16" s="541" t="s">
        <v>3101</v>
      </c>
      <c r="F16" s="543"/>
      <c r="G16" s="574" t="s">
        <v>3035</v>
      </c>
      <c r="H16" s="631" t="b">
        <v>0</v>
      </c>
      <c r="I16" s="574" t="s">
        <v>88</v>
      </c>
      <c r="J16" s="569" t="s">
        <v>98</v>
      </c>
      <c r="K16" s="855" t="s">
        <v>98</v>
      </c>
      <c r="L16" s="958" t="s">
        <v>3102</v>
      </c>
      <c r="M16" s="958" t="s">
        <v>3103</v>
      </c>
      <c r="N16" s="958" t="s">
        <v>3104</v>
      </c>
      <c r="O16" s="958" t="s">
        <v>126</v>
      </c>
      <c r="P16" s="958"/>
      <c r="Q16" s="958"/>
      <c r="R16" s="958" t="s">
        <v>110</v>
      </c>
      <c r="S16" s="958" t="s">
        <v>3037</v>
      </c>
      <c r="T16" s="958" t="s">
        <v>3105</v>
      </c>
      <c r="U16" s="113" t="s">
        <v>2203</v>
      </c>
      <c r="V16" s="882"/>
      <c r="W16" s="48" t="s">
        <v>1006</v>
      </c>
      <c r="X16" s="48" t="s">
        <v>1006</v>
      </c>
      <c r="Y16" s="48" t="s">
        <v>1006</v>
      </c>
      <c r="Z16" s="48" t="s">
        <v>1006</v>
      </c>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20"/>
      <c r="AW16" s="520"/>
      <c r="AX16" s="520"/>
      <c r="AY16" s="520"/>
      <c r="AZ16" s="520"/>
      <c r="BA16" s="520"/>
      <c r="BB16" s="520"/>
      <c r="BC16" s="520"/>
      <c r="BD16" s="520"/>
      <c r="BE16" s="520"/>
      <c r="BF16" s="520"/>
      <c r="BG16" s="520"/>
      <c r="BH16" s="520"/>
      <c r="BI16" s="520"/>
      <c r="BJ16" s="520"/>
      <c r="BK16" s="520"/>
      <c r="BL16" s="520"/>
      <c r="BM16" s="520"/>
      <c r="BN16" s="520"/>
      <c r="BO16" s="520"/>
      <c r="BP16" s="520"/>
      <c r="BQ16" s="520"/>
      <c r="BR16" s="520"/>
      <c r="BS16" s="520"/>
      <c r="BT16" s="520"/>
      <c r="BU16" s="520"/>
      <c r="BV16" s="520"/>
      <c r="BW16" s="520"/>
      <c r="BX16" s="520"/>
      <c r="BY16" s="520"/>
      <c r="BZ16" s="520"/>
      <c r="CA16" s="520"/>
      <c r="CB16" s="520"/>
      <c r="CC16" s="520"/>
      <c r="CD16" s="520"/>
      <c r="CE16" s="520"/>
      <c r="CF16" s="520"/>
      <c r="CG16" s="520"/>
      <c r="CH16" s="520"/>
      <c r="CI16" s="520"/>
      <c r="CJ16" s="520"/>
      <c r="CK16" s="520"/>
      <c r="CL16" s="520"/>
      <c r="CM16" s="520"/>
      <c r="CN16" s="520"/>
      <c r="CO16" s="520"/>
      <c r="CP16" s="520"/>
      <c r="CQ16" s="520"/>
      <c r="CR16" s="520"/>
      <c r="CS16" s="520"/>
      <c r="CT16" s="520"/>
      <c r="CU16" s="520"/>
      <c r="CV16" s="520"/>
      <c r="CW16" s="520"/>
      <c r="CX16" s="520"/>
      <c r="CY16" s="520"/>
      <c r="CZ16" s="520"/>
      <c r="DA16" s="520"/>
      <c r="DB16" s="520"/>
      <c r="DC16" s="520"/>
      <c r="DD16" s="520"/>
      <c r="DE16" s="520"/>
      <c r="DF16" s="520"/>
      <c r="DG16" s="520"/>
      <c r="DH16" s="520"/>
      <c r="DI16" s="520"/>
      <c r="DJ16" s="520"/>
      <c r="DK16" s="520"/>
      <c r="DL16" s="520"/>
      <c r="DM16" s="520"/>
      <c r="DN16" s="520"/>
      <c r="DO16" s="520"/>
      <c r="DP16" s="520"/>
      <c r="DQ16" s="520"/>
      <c r="DR16" s="520"/>
      <c r="DS16" s="520"/>
      <c r="DT16" s="520"/>
      <c r="DU16" s="520"/>
      <c r="DV16" s="520"/>
      <c r="DW16" s="520"/>
      <c r="DX16" s="520"/>
      <c r="DY16" s="520"/>
      <c r="DZ16" s="520"/>
      <c r="EA16" s="520"/>
      <c r="EB16" s="520"/>
      <c r="EC16" s="520"/>
      <c r="ED16" s="520"/>
      <c r="EE16" s="520"/>
      <c r="EF16" s="520"/>
      <c r="EG16" s="520"/>
      <c r="EH16" s="520"/>
      <c r="EI16" s="520"/>
      <c r="EJ16" s="520"/>
      <c r="EK16" s="520"/>
      <c r="EL16" s="520"/>
      <c r="EM16" s="520"/>
      <c r="EN16" s="520"/>
      <c r="EO16" s="520"/>
      <c r="EP16" s="520"/>
      <c r="EQ16" s="520"/>
      <c r="ER16" s="520"/>
      <c r="ES16" s="520"/>
      <c r="ET16" s="520"/>
      <c r="EU16" s="520"/>
      <c r="EV16" s="520"/>
      <c r="EW16" s="520"/>
      <c r="EX16" s="520"/>
      <c r="EY16" s="520"/>
      <c r="EZ16" s="520"/>
      <c r="FA16" s="520"/>
      <c r="FB16" s="520"/>
      <c r="FC16" s="520"/>
      <c r="FD16" s="520"/>
      <c r="FE16" s="520"/>
      <c r="FF16" s="520"/>
      <c r="FG16" s="520"/>
      <c r="FH16" s="520"/>
      <c r="FI16" s="520"/>
      <c r="FJ16" s="520"/>
      <c r="FK16" s="520"/>
      <c r="FL16" s="520"/>
      <c r="FM16" s="520"/>
      <c r="FN16" s="520"/>
      <c r="FO16" s="520"/>
    </row>
    <row r="17" spans="1:171" ht="26.25" customHeight="1">
      <c r="A17" s="539">
        <v>2</v>
      </c>
      <c r="B17" s="540" t="s">
        <v>3098</v>
      </c>
      <c r="C17" s="541" t="s">
        <v>3106</v>
      </c>
      <c r="D17" s="542" t="s">
        <v>3107</v>
      </c>
      <c r="E17" s="541" t="s">
        <v>3108</v>
      </c>
      <c r="F17" s="543"/>
      <c r="G17" s="574" t="s">
        <v>3035</v>
      </c>
      <c r="H17" s="631" t="b">
        <v>0</v>
      </c>
      <c r="I17" s="574" t="s">
        <v>88</v>
      </c>
      <c r="J17" s="569" t="s">
        <v>98</v>
      </c>
      <c r="K17" s="855" t="s">
        <v>98</v>
      </c>
      <c r="L17" s="485" t="s">
        <v>3109</v>
      </c>
      <c r="M17" s="485" t="s">
        <v>473</v>
      </c>
      <c r="N17" s="485" t="s">
        <v>473</v>
      </c>
      <c r="O17" s="485" t="s">
        <v>3110</v>
      </c>
      <c r="P17" s="485" t="s">
        <v>3111</v>
      </c>
      <c r="Q17" s="485"/>
      <c r="R17" s="485" t="s">
        <v>97</v>
      </c>
      <c r="S17" s="485" t="s">
        <v>3037</v>
      </c>
      <c r="T17" s="485" t="s">
        <v>3105</v>
      </c>
      <c r="U17" s="485" t="s">
        <v>3078</v>
      </c>
      <c r="V17" s="886"/>
      <c r="W17" s="48" t="s">
        <v>1006</v>
      </c>
      <c r="X17" s="48" t="s">
        <v>1006</v>
      </c>
      <c r="Y17" s="48" t="s">
        <v>1006</v>
      </c>
      <c r="Z17" s="48" t="s">
        <v>1006</v>
      </c>
      <c r="AA17" s="869"/>
      <c r="AB17" s="869"/>
      <c r="AC17" s="869"/>
      <c r="AD17" s="869"/>
      <c r="AE17" s="869"/>
      <c r="AF17" s="869"/>
      <c r="AG17" s="569"/>
      <c r="AH17" s="569"/>
      <c r="AI17" s="569"/>
      <c r="AJ17" s="569"/>
      <c r="AK17" s="569"/>
      <c r="AL17" s="569"/>
      <c r="AM17" s="569"/>
      <c r="AN17" s="569"/>
      <c r="AO17" s="569"/>
      <c r="AP17" s="569"/>
      <c r="AQ17" s="569"/>
      <c r="AR17" s="569"/>
      <c r="AS17" s="569"/>
      <c r="AT17" s="569"/>
      <c r="AU17" s="569"/>
      <c r="AV17" s="520"/>
      <c r="AW17" s="520"/>
      <c r="AX17" s="520"/>
      <c r="AY17" s="520"/>
      <c r="AZ17" s="520"/>
      <c r="BA17" s="520"/>
      <c r="BB17" s="520"/>
      <c r="BC17" s="520"/>
      <c r="BD17" s="520"/>
      <c r="BE17" s="520"/>
      <c r="BF17" s="520"/>
      <c r="BG17" s="520"/>
      <c r="BH17" s="520"/>
      <c r="BI17" s="520"/>
      <c r="BJ17" s="520"/>
      <c r="BK17" s="520"/>
      <c r="BL17" s="520"/>
      <c r="BM17" s="520"/>
      <c r="BN17" s="520"/>
      <c r="BO17" s="520"/>
      <c r="BP17" s="520"/>
      <c r="BQ17" s="520"/>
      <c r="BR17" s="520"/>
      <c r="BS17" s="520"/>
      <c r="BT17" s="520"/>
      <c r="BU17" s="520"/>
      <c r="BV17" s="520"/>
      <c r="BW17" s="520"/>
      <c r="BX17" s="520"/>
      <c r="BY17" s="520"/>
      <c r="BZ17" s="520"/>
      <c r="CA17" s="520"/>
      <c r="CB17" s="520"/>
      <c r="CC17" s="520"/>
      <c r="CD17" s="520"/>
      <c r="CE17" s="520"/>
      <c r="CF17" s="520"/>
      <c r="CG17" s="520"/>
      <c r="CH17" s="520"/>
      <c r="CI17" s="520"/>
      <c r="CJ17" s="520"/>
      <c r="CK17" s="520"/>
      <c r="CL17" s="520"/>
      <c r="CM17" s="520"/>
      <c r="CN17" s="520"/>
      <c r="CO17" s="520"/>
      <c r="CP17" s="520"/>
      <c r="CQ17" s="520"/>
      <c r="CR17" s="520"/>
      <c r="CS17" s="520"/>
      <c r="CT17" s="520"/>
      <c r="CU17" s="520"/>
      <c r="CV17" s="520"/>
      <c r="CW17" s="520"/>
      <c r="CX17" s="520"/>
      <c r="CY17" s="520"/>
      <c r="CZ17" s="520"/>
      <c r="DA17" s="520"/>
      <c r="DB17" s="520"/>
      <c r="DC17" s="520"/>
      <c r="DD17" s="520"/>
      <c r="DE17" s="520"/>
      <c r="DF17" s="520"/>
      <c r="DG17" s="520"/>
      <c r="DH17" s="520"/>
      <c r="DI17" s="520"/>
      <c r="DJ17" s="520"/>
      <c r="DK17" s="520"/>
      <c r="DL17" s="520"/>
      <c r="DM17" s="520"/>
      <c r="DN17" s="520"/>
      <c r="DO17" s="520"/>
      <c r="DP17" s="520"/>
      <c r="DQ17" s="520"/>
      <c r="DR17" s="520"/>
      <c r="DS17" s="520"/>
      <c r="DT17" s="520"/>
      <c r="DU17" s="520"/>
      <c r="DV17" s="520"/>
      <c r="DW17" s="520"/>
      <c r="DX17" s="520"/>
      <c r="DY17" s="520"/>
      <c r="DZ17" s="520"/>
      <c r="EA17" s="520"/>
      <c r="EB17" s="520"/>
      <c r="EC17" s="520"/>
      <c r="ED17" s="520"/>
      <c r="EE17" s="520"/>
      <c r="EF17" s="520"/>
      <c r="EG17" s="520"/>
      <c r="EH17" s="520"/>
      <c r="EI17" s="520"/>
      <c r="EJ17" s="520"/>
      <c r="EK17" s="520"/>
      <c r="EL17" s="520"/>
      <c r="EM17" s="520"/>
      <c r="EN17" s="520"/>
      <c r="EO17" s="520"/>
      <c r="EP17" s="520"/>
      <c r="EQ17" s="520"/>
      <c r="ER17" s="520"/>
      <c r="ES17" s="520"/>
      <c r="ET17" s="520"/>
      <c r="EU17" s="520"/>
      <c r="EV17" s="520"/>
      <c r="EW17" s="520"/>
      <c r="EX17" s="520"/>
      <c r="EY17" s="520"/>
      <c r="EZ17" s="520"/>
      <c r="FA17" s="520"/>
      <c r="FB17" s="520"/>
      <c r="FC17" s="520"/>
      <c r="FD17" s="520"/>
      <c r="FE17" s="520"/>
      <c r="FF17" s="520"/>
      <c r="FG17" s="520"/>
      <c r="FH17" s="520"/>
      <c r="FI17" s="520"/>
      <c r="FJ17" s="520"/>
      <c r="FK17" s="520"/>
      <c r="FL17" s="520"/>
      <c r="FM17" s="520"/>
      <c r="FN17" s="520"/>
      <c r="FO17" s="520"/>
    </row>
    <row r="18" spans="1:171" ht="26.25" customHeight="1">
      <c r="A18" s="539">
        <v>2</v>
      </c>
      <c r="B18" s="540" t="s">
        <v>3112</v>
      </c>
      <c r="C18" s="541" t="s">
        <v>3113</v>
      </c>
      <c r="D18" s="542" t="s">
        <v>3114</v>
      </c>
      <c r="E18" s="541" t="s">
        <v>3115</v>
      </c>
      <c r="F18" s="541" t="s">
        <v>88</v>
      </c>
      <c r="G18" s="574" t="s">
        <v>3052</v>
      </c>
      <c r="H18" s="631" t="b">
        <v>0</v>
      </c>
      <c r="I18" s="574" t="s">
        <v>88</v>
      </c>
      <c r="J18" s="569" t="s">
        <v>98</v>
      </c>
      <c r="K18" s="855" t="s">
        <v>98</v>
      </c>
      <c r="L18" s="892" t="s">
        <v>3113</v>
      </c>
      <c r="M18" s="892" t="s">
        <v>3116</v>
      </c>
      <c r="N18" s="892" t="s">
        <v>3116</v>
      </c>
      <c r="O18" s="892" t="s">
        <v>3117</v>
      </c>
      <c r="P18" s="892"/>
      <c r="Q18" s="892"/>
      <c r="R18" s="455" t="s">
        <v>97</v>
      </c>
      <c r="S18" s="455" t="s">
        <v>3037</v>
      </c>
      <c r="T18" s="455" t="s">
        <v>3105</v>
      </c>
      <c r="U18" s="873" t="s">
        <v>3078</v>
      </c>
      <c r="V18" s="873"/>
      <c r="W18" s="48" t="s">
        <v>1006</v>
      </c>
      <c r="X18" s="48" t="s">
        <v>1006</v>
      </c>
      <c r="Y18" s="48" t="s">
        <v>1006</v>
      </c>
      <c r="Z18" s="48" t="s">
        <v>1006</v>
      </c>
      <c r="AA18" s="569"/>
      <c r="AB18" s="569"/>
      <c r="AC18" s="569"/>
      <c r="AD18" s="569"/>
      <c r="AE18" s="569"/>
      <c r="AF18" s="569"/>
      <c r="AG18" s="638"/>
      <c r="AH18" s="569"/>
      <c r="AI18" s="569"/>
      <c r="AJ18" s="569"/>
      <c r="AK18" s="569"/>
      <c r="AL18" s="569"/>
      <c r="AM18" s="569"/>
      <c r="AN18" s="569"/>
      <c r="AO18" s="569"/>
      <c r="AP18" s="569"/>
      <c r="AQ18" s="569"/>
      <c r="AR18" s="569"/>
      <c r="AS18" s="569"/>
      <c r="AT18" s="569"/>
      <c r="AU18" s="569"/>
      <c r="AV18" s="520"/>
      <c r="AW18" s="520"/>
      <c r="AX18" s="520"/>
      <c r="AY18" s="520"/>
      <c r="AZ18" s="520"/>
      <c r="BA18" s="520"/>
      <c r="BB18" s="520"/>
      <c r="BC18" s="520"/>
      <c r="BD18" s="520"/>
      <c r="BE18" s="520"/>
      <c r="BF18" s="520"/>
      <c r="BG18" s="520"/>
      <c r="BH18" s="520"/>
      <c r="BI18" s="520"/>
      <c r="BJ18" s="520"/>
      <c r="BK18" s="520"/>
      <c r="BL18" s="520"/>
      <c r="BM18" s="520"/>
      <c r="BN18" s="520"/>
      <c r="BO18" s="520"/>
      <c r="BP18" s="520"/>
      <c r="BQ18" s="520"/>
      <c r="BR18" s="520"/>
      <c r="BS18" s="520"/>
      <c r="BT18" s="520"/>
      <c r="BU18" s="520"/>
      <c r="BV18" s="520"/>
      <c r="BW18" s="520"/>
      <c r="BX18" s="520"/>
      <c r="BY18" s="520"/>
      <c r="BZ18" s="520"/>
      <c r="CA18" s="520"/>
      <c r="CB18" s="520"/>
      <c r="CC18" s="520"/>
      <c r="CD18" s="520"/>
      <c r="CE18" s="520"/>
      <c r="CF18" s="520"/>
      <c r="CG18" s="520"/>
      <c r="CH18" s="520"/>
      <c r="CI18" s="520"/>
      <c r="CJ18" s="520"/>
      <c r="CK18" s="520"/>
      <c r="CL18" s="520"/>
      <c r="CM18" s="520"/>
      <c r="CN18" s="520"/>
      <c r="CO18" s="520"/>
      <c r="CP18" s="520"/>
      <c r="CQ18" s="520"/>
      <c r="CR18" s="520"/>
      <c r="CS18" s="520"/>
      <c r="CT18" s="520"/>
      <c r="CU18" s="520"/>
      <c r="CV18" s="520"/>
      <c r="CW18" s="520"/>
      <c r="CX18" s="520"/>
      <c r="CY18" s="520"/>
      <c r="CZ18" s="520"/>
      <c r="DA18" s="520"/>
      <c r="DB18" s="520"/>
      <c r="DC18" s="520"/>
      <c r="DD18" s="520"/>
      <c r="DE18" s="520"/>
      <c r="DF18" s="520"/>
      <c r="DG18" s="520"/>
      <c r="DH18" s="520"/>
      <c r="DI18" s="520"/>
      <c r="DJ18" s="520"/>
      <c r="DK18" s="520"/>
      <c r="DL18" s="520"/>
      <c r="DM18" s="520"/>
      <c r="DN18" s="520"/>
      <c r="DO18" s="520"/>
      <c r="DP18" s="520"/>
      <c r="DQ18" s="520"/>
      <c r="DR18" s="520"/>
      <c r="DS18" s="520"/>
      <c r="DT18" s="520"/>
      <c r="DU18" s="520"/>
      <c r="DV18" s="520"/>
      <c r="DW18" s="520"/>
      <c r="DX18" s="520"/>
      <c r="DY18" s="520"/>
      <c r="DZ18" s="520"/>
      <c r="EA18" s="520"/>
      <c r="EB18" s="520"/>
      <c r="EC18" s="520"/>
      <c r="ED18" s="520"/>
      <c r="EE18" s="520"/>
      <c r="EF18" s="520"/>
      <c r="EG18" s="520"/>
      <c r="EH18" s="520"/>
      <c r="EI18" s="520"/>
      <c r="EJ18" s="520"/>
      <c r="EK18" s="520"/>
      <c r="EL18" s="520"/>
      <c r="EM18" s="520"/>
      <c r="EN18" s="520"/>
      <c r="EO18" s="520"/>
      <c r="EP18" s="520"/>
      <c r="EQ18" s="520"/>
      <c r="ER18" s="520"/>
      <c r="ES18" s="520"/>
      <c r="ET18" s="520"/>
      <c r="EU18" s="520"/>
      <c r="EV18" s="520"/>
      <c r="EW18" s="520"/>
      <c r="EX18" s="520"/>
      <c r="EY18" s="520"/>
      <c r="EZ18" s="520"/>
      <c r="FA18" s="520"/>
      <c r="FB18" s="520"/>
      <c r="FC18" s="520"/>
      <c r="FD18" s="520"/>
      <c r="FE18" s="520"/>
      <c r="FF18" s="520"/>
      <c r="FG18" s="520"/>
      <c r="FH18" s="520"/>
      <c r="FI18" s="520"/>
      <c r="FJ18" s="520"/>
      <c r="FK18" s="520"/>
      <c r="FL18" s="520"/>
      <c r="FM18" s="520"/>
      <c r="FN18" s="520"/>
      <c r="FO18" s="520"/>
    </row>
    <row r="19" spans="1:171" ht="26.25" customHeight="1">
      <c r="A19" s="539">
        <v>2</v>
      </c>
      <c r="B19" s="540" t="s">
        <v>3112</v>
      </c>
      <c r="C19" s="541" t="s">
        <v>3118</v>
      </c>
      <c r="D19" s="542" t="s">
        <v>3119</v>
      </c>
      <c r="E19" s="541" t="s">
        <v>3120</v>
      </c>
      <c r="F19" s="541" t="s">
        <v>88</v>
      </c>
      <c r="G19" s="574" t="s">
        <v>3052</v>
      </c>
      <c r="H19" s="631" t="b">
        <v>0</v>
      </c>
      <c r="I19" s="574" t="s">
        <v>88</v>
      </c>
      <c r="J19" s="569" t="s">
        <v>98</v>
      </c>
      <c r="K19" s="855" t="s">
        <v>98</v>
      </c>
      <c r="L19" s="881"/>
      <c r="M19" s="881"/>
      <c r="N19" s="881"/>
      <c r="O19" s="881"/>
      <c r="P19" s="881"/>
      <c r="Q19" s="881"/>
      <c r="R19" s="881"/>
      <c r="S19" s="881"/>
      <c r="T19" s="881"/>
      <c r="U19" s="881"/>
      <c r="V19" s="882"/>
      <c r="W19" s="48" t="s">
        <v>1006</v>
      </c>
      <c r="X19" s="48" t="s">
        <v>1006</v>
      </c>
      <c r="Y19" s="48" t="s">
        <v>1006</v>
      </c>
      <c r="Z19" s="48" t="s">
        <v>1006</v>
      </c>
      <c r="AA19" s="569"/>
      <c r="AB19" s="569"/>
      <c r="AC19" s="569"/>
      <c r="AD19" s="569"/>
      <c r="AE19" s="569"/>
      <c r="AF19" s="569"/>
      <c r="AG19" s="638"/>
      <c r="AH19" s="569"/>
      <c r="AI19" s="569"/>
      <c r="AJ19" s="569"/>
      <c r="AK19" s="569"/>
      <c r="AL19" s="569"/>
      <c r="AM19" s="569"/>
      <c r="AN19" s="569"/>
      <c r="AO19" s="569"/>
      <c r="AP19" s="569"/>
      <c r="AQ19" s="569"/>
      <c r="AR19" s="569"/>
      <c r="AS19" s="569"/>
      <c r="AT19" s="569"/>
      <c r="AU19" s="569"/>
      <c r="AV19" s="520"/>
      <c r="AW19" s="520"/>
      <c r="AX19" s="520"/>
      <c r="AY19" s="520"/>
      <c r="AZ19" s="520"/>
      <c r="BA19" s="520"/>
      <c r="BB19" s="520"/>
      <c r="BC19" s="520"/>
      <c r="BD19" s="520"/>
      <c r="BE19" s="520"/>
      <c r="BF19" s="520"/>
      <c r="BG19" s="520"/>
      <c r="BH19" s="520"/>
      <c r="BI19" s="520"/>
      <c r="BJ19" s="520"/>
      <c r="BK19" s="520"/>
      <c r="BL19" s="520"/>
      <c r="BM19" s="520"/>
      <c r="BN19" s="520"/>
      <c r="BO19" s="520"/>
      <c r="BP19" s="520"/>
      <c r="BQ19" s="520"/>
      <c r="BR19" s="520"/>
      <c r="BS19" s="520"/>
      <c r="BT19" s="520"/>
      <c r="BU19" s="520"/>
      <c r="BV19" s="520"/>
      <c r="BW19" s="520"/>
      <c r="BX19" s="520"/>
      <c r="BY19" s="520"/>
      <c r="BZ19" s="520"/>
      <c r="CA19" s="520"/>
      <c r="CB19" s="520"/>
      <c r="CC19" s="520"/>
      <c r="CD19" s="520"/>
      <c r="CE19" s="520"/>
      <c r="CF19" s="520"/>
      <c r="CG19" s="520"/>
      <c r="CH19" s="520"/>
      <c r="CI19" s="520"/>
      <c r="CJ19" s="520"/>
      <c r="CK19" s="520"/>
      <c r="CL19" s="520"/>
      <c r="CM19" s="520"/>
      <c r="CN19" s="520"/>
      <c r="CO19" s="520"/>
      <c r="CP19" s="520"/>
      <c r="CQ19" s="520"/>
      <c r="CR19" s="520"/>
      <c r="CS19" s="520"/>
      <c r="CT19" s="520"/>
      <c r="CU19" s="520"/>
      <c r="CV19" s="520"/>
      <c r="CW19" s="520"/>
      <c r="CX19" s="520"/>
      <c r="CY19" s="520"/>
      <c r="CZ19" s="520"/>
      <c r="DA19" s="520"/>
      <c r="DB19" s="520"/>
      <c r="DC19" s="520"/>
      <c r="DD19" s="520"/>
      <c r="DE19" s="520"/>
      <c r="DF19" s="520"/>
      <c r="DG19" s="520"/>
      <c r="DH19" s="520"/>
      <c r="DI19" s="520"/>
      <c r="DJ19" s="520"/>
      <c r="DK19" s="520"/>
      <c r="DL19" s="520"/>
      <c r="DM19" s="520"/>
      <c r="DN19" s="520"/>
      <c r="DO19" s="520"/>
      <c r="DP19" s="520"/>
      <c r="DQ19" s="520"/>
      <c r="DR19" s="520"/>
      <c r="DS19" s="520"/>
      <c r="DT19" s="520"/>
      <c r="DU19" s="520"/>
      <c r="DV19" s="520"/>
      <c r="DW19" s="520"/>
      <c r="DX19" s="520"/>
      <c r="DY19" s="520"/>
      <c r="DZ19" s="520"/>
      <c r="EA19" s="520"/>
      <c r="EB19" s="520"/>
      <c r="EC19" s="520"/>
      <c r="ED19" s="520"/>
      <c r="EE19" s="520"/>
      <c r="EF19" s="520"/>
      <c r="EG19" s="520"/>
      <c r="EH19" s="520"/>
      <c r="EI19" s="520"/>
      <c r="EJ19" s="520"/>
      <c r="EK19" s="520"/>
      <c r="EL19" s="520"/>
      <c r="EM19" s="520"/>
      <c r="EN19" s="520"/>
      <c r="EO19" s="520"/>
      <c r="EP19" s="520"/>
      <c r="EQ19" s="520"/>
      <c r="ER19" s="520"/>
      <c r="ES19" s="520"/>
      <c r="ET19" s="520"/>
      <c r="EU19" s="520"/>
      <c r="EV19" s="520"/>
      <c r="EW19" s="520"/>
      <c r="EX19" s="520"/>
      <c r="EY19" s="520"/>
      <c r="EZ19" s="520"/>
      <c r="FA19" s="520"/>
      <c r="FB19" s="520"/>
      <c r="FC19" s="520"/>
      <c r="FD19" s="520"/>
      <c r="FE19" s="520"/>
      <c r="FF19" s="520"/>
      <c r="FG19" s="520"/>
      <c r="FH19" s="520"/>
      <c r="FI19" s="520"/>
      <c r="FJ19" s="520"/>
      <c r="FK19" s="520"/>
      <c r="FL19" s="520"/>
      <c r="FM19" s="520"/>
      <c r="FN19" s="520"/>
      <c r="FO19" s="520"/>
    </row>
    <row r="20" spans="1:171" ht="26.25" customHeight="1">
      <c r="A20" s="539">
        <v>2</v>
      </c>
      <c r="B20" s="540" t="s">
        <v>3121</v>
      </c>
      <c r="C20" s="541" t="s">
        <v>3122</v>
      </c>
      <c r="D20" s="542" t="s">
        <v>3123</v>
      </c>
      <c r="E20" s="541" t="s">
        <v>3124</v>
      </c>
      <c r="F20" s="541" t="s">
        <v>88</v>
      </c>
      <c r="G20" s="574" t="s">
        <v>3052</v>
      </c>
      <c r="H20" s="631" t="b">
        <v>1</v>
      </c>
      <c r="I20" s="574" t="s">
        <v>3125</v>
      </c>
      <c r="J20" s="569" t="s">
        <v>98</v>
      </c>
      <c r="K20" s="855" t="s">
        <v>98</v>
      </c>
      <c r="L20" s="883"/>
      <c r="M20" s="883"/>
      <c r="N20" s="883"/>
      <c r="O20" s="883"/>
      <c r="P20" s="883"/>
      <c r="Q20" s="883"/>
      <c r="R20" s="883"/>
      <c r="S20" s="883"/>
      <c r="T20" s="883"/>
      <c r="U20" s="883"/>
      <c r="V20" s="884"/>
      <c r="W20" s="48" t="s">
        <v>1006</v>
      </c>
      <c r="X20" s="48" t="s">
        <v>1006</v>
      </c>
      <c r="Y20" s="48" t="s">
        <v>1006</v>
      </c>
      <c r="Z20" s="48" t="s">
        <v>1006</v>
      </c>
      <c r="AA20" s="569"/>
      <c r="AB20" s="569"/>
      <c r="AC20" s="569"/>
      <c r="AD20" s="569"/>
      <c r="AE20" s="569"/>
      <c r="AF20" s="569"/>
      <c r="AG20" s="638"/>
      <c r="AH20" s="569"/>
      <c r="AI20" s="569"/>
      <c r="AJ20" s="569"/>
      <c r="AK20" s="569"/>
      <c r="AL20" s="569"/>
      <c r="AM20" s="569"/>
      <c r="AN20" s="569"/>
      <c r="AO20" s="569"/>
      <c r="AP20" s="569"/>
      <c r="AQ20" s="569"/>
      <c r="AR20" s="569"/>
      <c r="AS20" s="569"/>
      <c r="AT20" s="569"/>
      <c r="AU20" s="569"/>
      <c r="AV20" s="520"/>
      <c r="AW20" s="520"/>
      <c r="AX20" s="520"/>
      <c r="AY20" s="520"/>
      <c r="AZ20" s="520"/>
      <c r="BA20" s="520"/>
      <c r="BB20" s="520"/>
      <c r="BC20" s="520"/>
      <c r="BD20" s="520"/>
      <c r="BE20" s="520"/>
      <c r="BF20" s="520"/>
      <c r="BG20" s="520"/>
      <c r="BH20" s="520"/>
      <c r="BI20" s="520"/>
      <c r="BJ20" s="520"/>
      <c r="BK20" s="520"/>
      <c r="BL20" s="520"/>
      <c r="BM20" s="520"/>
      <c r="BN20" s="520"/>
      <c r="BO20" s="520"/>
      <c r="BP20" s="520"/>
      <c r="BQ20" s="520"/>
      <c r="BR20" s="520"/>
      <c r="BS20" s="520"/>
      <c r="BT20" s="520"/>
      <c r="BU20" s="520"/>
      <c r="BV20" s="520"/>
      <c r="BW20" s="520"/>
      <c r="BX20" s="520"/>
      <c r="BY20" s="520"/>
      <c r="BZ20" s="520"/>
      <c r="CA20" s="520"/>
      <c r="CB20" s="520"/>
      <c r="CC20" s="520"/>
      <c r="CD20" s="520"/>
      <c r="CE20" s="520"/>
      <c r="CF20" s="520"/>
      <c r="CG20" s="520"/>
      <c r="CH20" s="520"/>
      <c r="CI20" s="520"/>
      <c r="CJ20" s="520"/>
      <c r="CK20" s="520"/>
      <c r="CL20" s="520"/>
      <c r="CM20" s="520"/>
      <c r="CN20" s="520"/>
      <c r="CO20" s="520"/>
      <c r="CP20" s="520"/>
      <c r="CQ20" s="520"/>
      <c r="CR20" s="520"/>
      <c r="CS20" s="520"/>
      <c r="CT20" s="520"/>
      <c r="CU20" s="520"/>
      <c r="CV20" s="520"/>
      <c r="CW20" s="520"/>
      <c r="CX20" s="520"/>
      <c r="CY20" s="520"/>
      <c r="CZ20" s="520"/>
      <c r="DA20" s="520"/>
      <c r="DB20" s="520"/>
      <c r="DC20" s="520"/>
      <c r="DD20" s="520"/>
      <c r="DE20" s="520"/>
      <c r="DF20" s="520"/>
      <c r="DG20" s="520"/>
      <c r="DH20" s="520"/>
      <c r="DI20" s="520"/>
      <c r="DJ20" s="520"/>
      <c r="DK20" s="520"/>
      <c r="DL20" s="520"/>
      <c r="DM20" s="520"/>
      <c r="DN20" s="520"/>
      <c r="DO20" s="520"/>
      <c r="DP20" s="520"/>
      <c r="DQ20" s="520"/>
      <c r="DR20" s="520"/>
      <c r="DS20" s="520"/>
      <c r="DT20" s="520"/>
      <c r="DU20" s="520"/>
      <c r="DV20" s="520"/>
      <c r="DW20" s="520"/>
      <c r="DX20" s="520"/>
      <c r="DY20" s="520"/>
      <c r="DZ20" s="520"/>
      <c r="EA20" s="520"/>
      <c r="EB20" s="520"/>
      <c r="EC20" s="520"/>
      <c r="ED20" s="520"/>
      <c r="EE20" s="520"/>
      <c r="EF20" s="520"/>
      <c r="EG20" s="520"/>
      <c r="EH20" s="520"/>
      <c r="EI20" s="520"/>
      <c r="EJ20" s="520"/>
      <c r="EK20" s="520"/>
      <c r="EL20" s="520"/>
      <c r="EM20" s="520"/>
      <c r="EN20" s="520"/>
      <c r="EO20" s="520"/>
      <c r="EP20" s="520"/>
      <c r="EQ20" s="520"/>
      <c r="ER20" s="520"/>
      <c r="ES20" s="520"/>
      <c r="ET20" s="520"/>
      <c r="EU20" s="520"/>
      <c r="EV20" s="520"/>
      <c r="EW20" s="520"/>
      <c r="EX20" s="520"/>
      <c r="EY20" s="520"/>
      <c r="EZ20" s="520"/>
      <c r="FA20" s="520"/>
      <c r="FB20" s="520"/>
      <c r="FC20" s="520"/>
      <c r="FD20" s="520"/>
      <c r="FE20" s="520"/>
      <c r="FF20" s="520"/>
      <c r="FG20" s="520"/>
      <c r="FH20" s="520"/>
      <c r="FI20" s="520"/>
      <c r="FJ20" s="520"/>
      <c r="FK20" s="520"/>
      <c r="FL20" s="520"/>
      <c r="FM20" s="520"/>
      <c r="FN20" s="520"/>
      <c r="FO20" s="520"/>
    </row>
    <row r="21" spans="1:171" ht="26.25" customHeight="1">
      <c r="A21" s="539">
        <v>2</v>
      </c>
      <c r="B21" s="540" t="s">
        <v>3121</v>
      </c>
      <c r="C21" s="541" t="s">
        <v>3126</v>
      </c>
      <c r="D21" s="542" t="s">
        <v>3127</v>
      </c>
      <c r="E21" s="541" t="s">
        <v>3128</v>
      </c>
      <c r="F21" s="541" t="s">
        <v>88</v>
      </c>
      <c r="G21" s="643" t="s">
        <v>3052</v>
      </c>
      <c r="H21" s="644" t="b">
        <v>0</v>
      </c>
      <c r="I21" s="574" t="s">
        <v>88</v>
      </c>
      <c r="J21" s="569" t="s">
        <v>98</v>
      </c>
      <c r="K21" s="855" t="s">
        <v>98</v>
      </c>
      <c r="L21" s="885"/>
      <c r="M21" s="885"/>
      <c r="N21" s="885"/>
      <c r="O21" s="885"/>
      <c r="P21" s="885"/>
      <c r="Q21" s="885"/>
      <c r="R21" s="885"/>
      <c r="S21" s="885"/>
      <c r="T21" s="885"/>
      <c r="U21" s="885"/>
      <c r="V21" s="886"/>
      <c r="W21" s="48" t="s">
        <v>1006</v>
      </c>
      <c r="X21" s="48" t="s">
        <v>1006</v>
      </c>
      <c r="Y21" s="48" t="s">
        <v>1006</v>
      </c>
      <c r="Z21" s="48" t="s">
        <v>1006</v>
      </c>
      <c r="AA21" s="569"/>
      <c r="AB21" s="569"/>
      <c r="AC21" s="569"/>
      <c r="AD21" s="569"/>
      <c r="AE21" s="569"/>
      <c r="AF21" s="569"/>
      <c r="AG21" s="638"/>
      <c r="AH21" s="569"/>
      <c r="AI21" s="569"/>
      <c r="AJ21" s="569"/>
      <c r="AK21" s="569"/>
      <c r="AL21" s="569"/>
      <c r="AM21" s="569"/>
      <c r="AN21" s="569"/>
      <c r="AO21" s="569"/>
      <c r="AP21" s="569"/>
      <c r="AQ21" s="569"/>
      <c r="AR21" s="569"/>
      <c r="AS21" s="569"/>
      <c r="AT21" s="569"/>
      <c r="AU21" s="569"/>
      <c r="AV21" s="520"/>
      <c r="AW21" s="520"/>
      <c r="AX21" s="520"/>
      <c r="AY21" s="520"/>
      <c r="AZ21" s="520"/>
      <c r="BA21" s="520"/>
      <c r="BB21" s="520"/>
      <c r="BC21" s="520"/>
      <c r="BD21" s="520"/>
      <c r="BE21" s="520"/>
      <c r="BF21" s="520"/>
      <c r="BG21" s="520"/>
      <c r="BH21" s="520"/>
      <c r="BI21" s="520"/>
      <c r="BJ21" s="520"/>
      <c r="BK21" s="520"/>
      <c r="BL21" s="520"/>
      <c r="BM21" s="520"/>
      <c r="BN21" s="520"/>
      <c r="BO21" s="520"/>
      <c r="BP21" s="520"/>
      <c r="BQ21" s="520"/>
      <c r="BR21" s="520"/>
      <c r="BS21" s="520"/>
      <c r="BT21" s="520"/>
      <c r="BU21" s="520"/>
      <c r="BV21" s="520"/>
      <c r="BW21" s="520"/>
      <c r="BX21" s="520"/>
      <c r="BY21" s="520"/>
      <c r="BZ21" s="520"/>
      <c r="CA21" s="520"/>
      <c r="CB21" s="520"/>
      <c r="CC21" s="520"/>
      <c r="CD21" s="520"/>
      <c r="CE21" s="520"/>
      <c r="CF21" s="520"/>
      <c r="CG21" s="520"/>
      <c r="CH21" s="520"/>
      <c r="CI21" s="520"/>
      <c r="CJ21" s="520"/>
      <c r="CK21" s="520"/>
      <c r="CL21" s="520"/>
      <c r="CM21" s="520"/>
      <c r="CN21" s="520"/>
      <c r="CO21" s="520"/>
      <c r="CP21" s="520"/>
      <c r="CQ21" s="520"/>
      <c r="CR21" s="520"/>
      <c r="CS21" s="520"/>
      <c r="CT21" s="520"/>
      <c r="CU21" s="520"/>
      <c r="CV21" s="520"/>
      <c r="CW21" s="520"/>
      <c r="CX21" s="520"/>
      <c r="CY21" s="520"/>
      <c r="CZ21" s="520"/>
      <c r="DA21" s="520"/>
      <c r="DB21" s="520"/>
      <c r="DC21" s="520"/>
      <c r="DD21" s="520"/>
      <c r="DE21" s="520"/>
      <c r="DF21" s="520"/>
      <c r="DG21" s="520"/>
      <c r="DH21" s="520"/>
      <c r="DI21" s="520"/>
      <c r="DJ21" s="520"/>
      <c r="DK21" s="520"/>
      <c r="DL21" s="520"/>
      <c r="DM21" s="520"/>
      <c r="DN21" s="520"/>
      <c r="DO21" s="520"/>
      <c r="DP21" s="520"/>
      <c r="DQ21" s="520"/>
      <c r="DR21" s="520"/>
      <c r="DS21" s="520"/>
      <c r="DT21" s="520"/>
      <c r="DU21" s="520"/>
      <c r="DV21" s="520"/>
      <c r="DW21" s="520"/>
      <c r="DX21" s="520"/>
      <c r="DY21" s="520"/>
      <c r="DZ21" s="520"/>
      <c r="EA21" s="520"/>
      <c r="EB21" s="520"/>
      <c r="EC21" s="520"/>
      <c r="ED21" s="520"/>
      <c r="EE21" s="520"/>
      <c r="EF21" s="520"/>
      <c r="EG21" s="520"/>
      <c r="EH21" s="520"/>
      <c r="EI21" s="520"/>
      <c r="EJ21" s="520"/>
      <c r="EK21" s="520"/>
      <c r="EL21" s="520"/>
      <c r="EM21" s="520"/>
      <c r="EN21" s="520"/>
      <c r="EO21" s="520"/>
      <c r="EP21" s="520"/>
      <c r="EQ21" s="520"/>
      <c r="ER21" s="520"/>
      <c r="ES21" s="520"/>
      <c r="ET21" s="520"/>
      <c r="EU21" s="520"/>
      <c r="EV21" s="520"/>
      <c r="EW21" s="520"/>
      <c r="EX21" s="520"/>
      <c r="EY21" s="520"/>
      <c r="EZ21" s="520"/>
      <c r="FA21" s="520"/>
      <c r="FB21" s="520"/>
      <c r="FC21" s="520"/>
      <c r="FD21" s="520"/>
      <c r="FE21" s="520"/>
      <c r="FF21" s="520"/>
      <c r="FG21" s="520"/>
      <c r="FH21" s="520"/>
      <c r="FI21" s="520"/>
      <c r="FJ21" s="520"/>
      <c r="FK21" s="520"/>
      <c r="FL21" s="520"/>
      <c r="FM21" s="520"/>
      <c r="FN21" s="520"/>
      <c r="FO21" s="520"/>
    </row>
    <row r="22" spans="1:171" ht="26.25" customHeight="1">
      <c r="A22" s="539">
        <v>2</v>
      </c>
      <c r="B22" s="540" t="s">
        <v>3129</v>
      </c>
      <c r="C22" s="544" t="s">
        <v>3130</v>
      </c>
      <c r="D22" s="542" t="s">
        <v>3131</v>
      </c>
      <c r="E22" s="544" t="s">
        <v>3132</v>
      </c>
      <c r="F22" s="640" t="s">
        <v>3133</v>
      </c>
      <c r="G22" s="639" t="s">
        <v>3035</v>
      </c>
      <c r="H22" s="631" t="b">
        <v>0</v>
      </c>
      <c r="I22" s="575"/>
      <c r="J22" s="569" t="s">
        <v>98</v>
      </c>
      <c r="K22" s="855" t="s">
        <v>98</v>
      </c>
      <c r="L22" s="890" t="s">
        <v>3134</v>
      </c>
      <c r="M22" s="890" t="s">
        <v>3135</v>
      </c>
      <c r="N22" s="890" t="s">
        <v>3135</v>
      </c>
      <c r="O22" s="890" t="s">
        <v>3136</v>
      </c>
      <c r="P22" s="890" t="s">
        <v>3137</v>
      </c>
      <c r="Q22" s="890"/>
      <c r="R22" s="873" t="s">
        <v>97</v>
      </c>
      <c r="S22" s="873" t="s">
        <v>3037</v>
      </c>
      <c r="T22" s="873" t="s">
        <v>3038</v>
      </c>
      <c r="U22" s="873" t="s">
        <v>2203</v>
      </c>
      <c r="V22" s="873" t="s">
        <v>3138</v>
      </c>
      <c r="W22" s="48" t="s">
        <v>1006</v>
      </c>
      <c r="X22" s="48" t="s">
        <v>1006</v>
      </c>
      <c r="Y22" s="48" t="s">
        <v>1006</v>
      </c>
      <c r="Z22" s="48" t="s">
        <v>1006</v>
      </c>
      <c r="AA22" s="569"/>
      <c r="AB22" s="569"/>
      <c r="AC22" s="569"/>
      <c r="AD22" s="569"/>
      <c r="AE22" s="569"/>
      <c r="AF22" s="569"/>
      <c r="AG22" s="638"/>
      <c r="AH22" s="569"/>
      <c r="AI22" s="569"/>
      <c r="AJ22" s="569"/>
      <c r="AK22" s="569"/>
      <c r="AL22" s="569"/>
      <c r="AM22" s="569"/>
      <c r="AN22" s="569"/>
      <c r="AO22" s="569"/>
      <c r="AP22" s="569"/>
      <c r="AQ22" s="569"/>
      <c r="AR22" s="569"/>
      <c r="AS22" s="569"/>
      <c r="AT22" s="569"/>
      <c r="AU22" s="569"/>
      <c r="AV22" s="520"/>
      <c r="AW22" s="520"/>
      <c r="AX22" s="520"/>
      <c r="AY22" s="520"/>
      <c r="AZ22" s="520"/>
      <c r="BA22" s="520"/>
      <c r="BB22" s="520"/>
      <c r="BC22" s="520"/>
      <c r="BD22" s="520"/>
      <c r="BE22" s="520"/>
      <c r="BF22" s="520"/>
      <c r="BG22" s="520"/>
      <c r="BH22" s="520"/>
      <c r="BI22" s="520"/>
      <c r="BJ22" s="520"/>
      <c r="BK22" s="520"/>
      <c r="BL22" s="520"/>
      <c r="BM22" s="520"/>
      <c r="BN22" s="520"/>
      <c r="BO22" s="520"/>
      <c r="BP22" s="520"/>
      <c r="BQ22" s="520"/>
      <c r="BR22" s="520"/>
      <c r="BS22" s="520"/>
      <c r="BT22" s="520"/>
      <c r="BU22" s="520"/>
      <c r="BV22" s="520"/>
      <c r="BW22" s="520"/>
      <c r="BX22" s="520"/>
      <c r="BY22" s="520"/>
      <c r="BZ22" s="520"/>
      <c r="CA22" s="520"/>
      <c r="CB22" s="520"/>
      <c r="CC22" s="520"/>
      <c r="CD22" s="520"/>
      <c r="CE22" s="520"/>
      <c r="CF22" s="520"/>
      <c r="CG22" s="520"/>
      <c r="CH22" s="520"/>
      <c r="CI22" s="520"/>
      <c r="CJ22" s="520"/>
      <c r="CK22" s="520"/>
      <c r="CL22" s="520"/>
      <c r="CM22" s="520"/>
      <c r="CN22" s="520"/>
      <c r="CO22" s="520"/>
      <c r="CP22" s="520"/>
      <c r="CQ22" s="520"/>
      <c r="CR22" s="520"/>
      <c r="CS22" s="520"/>
      <c r="CT22" s="520"/>
      <c r="CU22" s="520"/>
      <c r="CV22" s="520"/>
      <c r="CW22" s="520"/>
      <c r="CX22" s="520"/>
      <c r="CY22" s="520"/>
      <c r="CZ22" s="520"/>
      <c r="DA22" s="520"/>
      <c r="DB22" s="520"/>
      <c r="DC22" s="520"/>
      <c r="DD22" s="520"/>
      <c r="DE22" s="520"/>
      <c r="DF22" s="520"/>
      <c r="DG22" s="520"/>
      <c r="DH22" s="520"/>
      <c r="DI22" s="520"/>
      <c r="DJ22" s="520"/>
      <c r="DK22" s="520"/>
      <c r="DL22" s="520"/>
      <c r="DM22" s="520"/>
      <c r="DN22" s="520"/>
      <c r="DO22" s="520"/>
      <c r="DP22" s="520"/>
      <c r="DQ22" s="520"/>
      <c r="DR22" s="520"/>
      <c r="DS22" s="520"/>
      <c r="DT22" s="520"/>
      <c r="DU22" s="520"/>
      <c r="DV22" s="520"/>
      <c r="DW22" s="520"/>
      <c r="DX22" s="520"/>
      <c r="DY22" s="520"/>
      <c r="DZ22" s="520"/>
      <c r="EA22" s="520"/>
      <c r="EB22" s="520"/>
      <c r="EC22" s="520"/>
      <c r="ED22" s="520"/>
      <c r="EE22" s="520"/>
      <c r="EF22" s="520"/>
      <c r="EG22" s="520"/>
      <c r="EH22" s="520"/>
      <c r="EI22" s="520"/>
      <c r="EJ22" s="520"/>
      <c r="EK22" s="520"/>
      <c r="EL22" s="520"/>
      <c r="EM22" s="520"/>
      <c r="EN22" s="520"/>
      <c r="EO22" s="520"/>
      <c r="EP22" s="520"/>
      <c r="EQ22" s="520"/>
      <c r="ER22" s="520"/>
      <c r="ES22" s="520"/>
      <c r="ET22" s="520"/>
      <c r="EU22" s="520"/>
      <c r="EV22" s="520"/>
      <c r="EW22" s="520"/>
      <c r="EX22" s="520"/>
      <c r="EY22" s="520"/>
      <c r="EZ22" s="520"/>
      <c r="FA22" s="520"/>
      <c r="FB22" s="520"/>
      <c r="FC22" s="520"/>
      <c r="FD22" s="520"/>
      <c r="FE22" s="520"/>
      <c r="FF22" s="520"/>
      <c r="FG22" s="520"/>
      <c r="FH22" s="520"/>
      <c r="FI22" s="520"/>
      <c r="FJ22" s="520"/>
      <c r="FK22" s="520"/>
      <c r="FL22" s="520"/>
      <c r="FM22" s="520"/>
      <c r="FN22" s="520"/>
      <c r="FO22" s="520"/>
    </row>
    <row r="23" spans="1:171" ht="26.25" customHeight="1">
      <c r="A23" s="539">
        <v>2</v>
      </c>
      <c r="B23" s="540" t="s">
        <v>3129</v>
      </c>
      <c r="C23" s="544" t="s">
        <v>3139</v>
      </c>
      <c r="D23" s="542" t="s">
        <v>3140</v>
      </c>
      <c r="E23" s="544" t="s">
        <v>3141</v>
      </c>
      <c r="F23" s="640" t="s">
        <v>3142</v>
      </c>
      <c r="G23" s="639" t="s">
        <v>3035</v>
      </c>
      <c r="H23" s="631" t="b">
        <v>0</v>
      </c>
      <c r="I23" s="575"/>
      <c r="J23" s="569" t="s">
        <v>98</v>
      </c>
      <c r="K23" s="855" t="s">
        <v>98</v>
      </c>
      <c r="L23" s="881"/>
      <c r="M23" s="881"/>
      <c r="N23" s="881"/>
      <c r="O23" s="881"/>
      <c r="P23" s="881"/>
      <c r="Q23" s="881"/>
      <c r="R23" s="881"/>
      <c r="S23" s="881"/>
      <c r="T23" s="881"/>
      <c r="U23" s="881"/>
      <c r="V23" s="882"/>
      <c r="W23" s="48" t="s">
        <v>1006</v>
      </c>
      <c r="X23" s="48" t="s">
        <v>1006</v>
      </c>
      <c r="Y23" s="48" t="s">
        <v>1006</v>
      </c>
      <c r="Z23" s="48" t="s">
        <v>1006</v>
      </c>
      <c r="AA23" s="569"/>
      <c r="AB23" s="569"/>
      <c r="AC23" s="569"/>
      <c r="AD23" s="569"/>
      <c r="AE23" s="569"/>
      <c r="AF23" s="569"/>
      <c r="AG23" s="638"/>
      <c r="AH23" s="569"/>
      <c r="AI23" s="569"/>
      <c r="AJ23" s="569"/>
      <c r="AK23" s="569"/>
      <c r="AL23" s="569"/>
      <c r="AM23" s="569"/>
      <c r="AN23" s="569"/>
      <c r="AO23" s="569"/>
      <c r="AP23" s="569"/>
      <c r="AQ23" s="569"/>
      <c r="AR23" s="569"/>
      <c r="AS23" s="569"/>
      <c r="AT23" s="569"/>
      <c r="AU23" s="569"/>
      <c r="AV23" s="520"/>
      <c r="AW23" s="520"/>
      <c r="AX23" s="520"/>
      <c r="AY23" s="520"/>
      <c r="AZ23" s="520"/>
      <c r="BA23" s="520"/>
      <c r="BB23" s="520"/>
      <c r="BC23" s="520"/>
      <c r="BD23" s="520"/>
      <c r="BE23" s="520"/>
      <c r="BF23" s="520"/>
      <c r="BG23" s="520"/>
      <c r="BH23" s="520"/>
      <c r="BI23" s="520"/>
      <c r="BJ23" s="520"/>
      <c r="BK23" s="520"/>
      <c r="BL23" s="520"/>
      <c r="BM23" s="520"/>
      <c r="BN23" s="520"/>
      <c r="BO23" s="520"/>
      <c r="BP23" s="520"/>
      <c r="BQ23" s="520"/>
      <c r="BR23" s="520"/>
      <c r="BS23" s="520"/>
      <c r="BT23" s="520"/>
      <c r="BU23" s="520"/>
      <c r="BV23" s="520"/>
      <c r="BW23" s="520"/>
      <c r="BX23" s="520"/>
      <c r="BY23" s="520"/>
      <c r="BZ23" s="520"/>
      <c r="CA23" s="520"/>
      <c r="CB23" s="520"/>
      <c r="CC23" s="520"/>
      <c r="CD23" s="520"/>
      <c r="CE23" s="520"/>
      <c r="CF23" s="520"/>
      <c r="CG23" s="520"/>
      <c r="CH23" s="520"/>
      <c r="CI23" s="520"/>
      <c r="CJ23" s="520"/>
      <c r="CK23" s="520"/>
      <c r="CL23" s="520"/>
      <c r="CM23" s="520"/>
      <c r="CN23" s="520"/>
      <c r="CO23" s="520"/>
      <c r="CP23" s="520"/>
      <c r="CQ23" s="520"/>
      <c r="CR23" s="520"/>
      <c r="CS23" s="520"/>
      <c r="CT23" s="520"/>
      <c r="CU23" s="520"/>
      <c r="CV23" s="520"/>
      <c r="CW23" s="520"/>
      <c r="CX23" s="520"/>
      <c r="CY23" s="520"/>
      <c r="CZ23" s="520"/>
      <c r="DA23" s="520"/>
      <c r="DB23" s="520"/>
      <c r="DC23" s="520"/>
      <c r="DD23" s="520"/>
      <c r="DE23" s="520"/>
      <c r="DF23" s="520"/>
      <c r="DG23" s="520"/>
      <c r="DH23" s="520"/>
      <c r="DI23" s="520"/>
      <c r="DJ23" s="520"/>
      <c r="DK23" s="520"/>
      <c r="DL23" s="520"/>
      <c r="DM23" s="520"/>
      <c r="DN23" s="520"/>
      <c r="DO23" s="520"/>
      <c r="DP23" s="520"/>
      <c r="DQ23" s="520"/>
      <c r="DR23" s="520"/>
      <c r="DS23" s="520"/>
      <c r="DT23" s="520"/>
      <c r="DU23" s="520"/>
      <c r="DV23" s="520"/>
      <c r="DW23" s="520"/>
      <c r="DX23" s="520"/>
      <c r="DY23" s="520"/>
      <c r="DZ23" s="520"/>
      <c r="EA23" s="520"/>
      <c r="EB23" s="520"/>
      <c r="EC23" s="520"/>
      <c r="ED23" s="520"/>
      <c r="EE23" s="520"/>
      <c r="EF23" s="520"/>
      <c r="EG23" s="520"/>
      <c r="EH23" s="520"/>
      <c r="EI23" s="520"/>
      <c r="EJ23" s="520"/>
      <c r="EK23" s="520"/>
      <c r="EL23" s="520"/>
      <c r="EM23" s="520"/>
      <c r="EN23" s="520"/>
      <c r="EO23" s="520"/>
      <c r="EP23" s="520"/>
      <c r="EQ23" s="520"/>
      <c r="ER23" s="520"/>
      <c r="ES23" s="520"/>
      <c r="ET23" s="520"/>
      <c r="EU23" s="520"/>
      <c r="EV23" s="520"/>
      <c r="EW23" s="520"/>
      <c r="EX23" s="520"/>
      <c r="EY23" s="520"/>
      <c r="EZ23" s="520"/>
      <c r="FA23" s="520"/>
      <c r="FB23" s="520"/>
      <c r="FC23" s="520"/>
      <c r="FD23" s="520"/>
      <c r="FE23" s="520"/>
      <c r="FF23" s="520"/>
      <c r="FG23" s="520"/>
      <c r="FH23" s="520"/>
      <c r="FI23" s="520"/>
      <c r="FJ23" s="520"/>
      <c r="FK23" s="520"/>
      <c r="FL23" s="520"/>
      <c r="FM23" s="520"/>
      <c r="FN23" s="520"/>
      <c r="FO23" s="520"/>
    </row>
    <row r="24" spans="1:171" ht="26.25" customHeight="1">
      <c r="A24" s="545">
        <v>3</v>
      </c>
      <c r="B24" s="546" t="s">
        <v>3143</v>
      </c>
      <c r="C24" s="547" t="s">
        <v>3144</v>
      </c>
      <c r="D24" s="548" t="s">
        <v>3145</v>
      </c>
      <c r="E24" s="549" t="s">
        <v>3146</v>
      </c>
      <c r="F24" s="576" t="s">
        <v>3147</v>
      </c>
      <c r="G24" s="624" t="s">
        <v>3035</v>
      </c>
      <c r="H24" s="635" t="b">
        <v>0</v>
      </c>
      <c r="I24" s="576" t="s">
        <v>88</v>
      </c>
      <c r="J24" s="569" t="s">
        <v>98</v>
      </c>
      <c r="K24" s="855" t="s">
        <v>98</v>
      </c>
      <c r="L24" s="885"/>
      <c r="M24" s="885"/>
      <c r="N24" s="885"/>
      <c r="O24" s="885"/>
      <c r="P24" s="885"/>
      <c r="Q24" s="885"/>
      <c r="R24" s="885"/>
      <c r="S24" s="885"/>
      <c r="T24" s="885"/>
      <c r="U24" s="885"/>
      <c r="V24" s="886"/>
      <c r="W24" s="48" t="s">
        <v>1006</v>
      </c>
      <c r="X24" s="48" t="s">
        <v>1006</v>
      </c>
      <c r="Y24" s="48" t="s">
        <v>1006</v>
      </c>
      <c r="Z24" s="48" t="s">
        <v>1006</v>
      </c>
      <c r="AA24" s="569"/>
      <c r="AB24" s="569"/>
      <c r="AC24" s="569"/>
      <c r="AD24" s="569"/>
      <c r="AE24" s="569"/>
      <c r="AF24" s="569"/>
      <c r="AG24" s="638"/>
      <c r="AH24" s="569"/>
      <c r="AI24" s="569"/>
      <c r="AJ24" s="569"/>
      <c r="AK24" s="569"/>
      <c r="AL24" s="569"/>
      <c r="AM24" s="569"/>
      <c r="AN24" s="569"/>
      <c r="AO24" s="569"/>
      <c r="AP24" s="569"/>
      <c r="AQ24" s="569"/>
      <c r="AR24" s="569"/>
      <c r="AS24" s="569"/>
      <c r="AT24" s="569"/>
      <c r="AU24" s="569"/>
      <c r="AV24" s="520"/>
      <c r="AW24" s="520"/>
      <c r="AX24" s="520"/>
      <c r="AY24" s="520"/>
      <c r="AZ24" s="520"/>
      <c r="BA24" s="520"/>
      <c r="BB24" s="520"/>
      <c r="BC24" s="520"/>
      <c r="BD24" s="520"/>
      <c r="BE24" s="520"/>
      <c r="BF24" s="520"/>
      <c r="BG24" s="520"/>
      <c r="BH24" s="520"/>
      <c r="BI24" s="520"/>
      <c r="BJ24" s="520"/>
      <c r="BK24" s="520"/>
      <c r="BL24" s="520"/>
      <c r="BM24" s="520"/>
      <c r="BN24" s="520"/>
      <c r="BO24" s="520"/>
      <c r="BP24" s="520"/>
      <c r="BQ24" s="520"/>
      <c r="BR24" s="520"/>
      <c r="BS24" s="520"/>
      <c r="BT24" s="520"/>
      <c r="BU24" s="520"/>
      <c r="BV24" s="520"/>
      <c r="BW24" s="520"/>
      <c r="BX24" s="520"/>
      <c r="BY24" s="520"/>
      <c r="BZ24" s="520"/>
      <c r="CA24" s="520"/>
      <c r="CB24" s="520"/>
      <c r="CC24" s="520"/>
      <c r="CD24" s="520"/>
      <c r="CE24" s="520"/>
      <c r="CF24" s="520"/>
      <c r="CG24" s="520"/>
      <c r="CH24" s="520"/>
      <c r="CI24" s="520"/>
      <c r="CJ24" s="520"/>
      <c r="CK24" s="520"/>
      <c r="CL24" s="520"/>
      <c r="CM24" s="520"/>
      <c r="CN24" s="520"/>
      <c r="CO24" s="520"/>
      <c r="CP24" s="520"/>
      <c r="CQ24" s="520"/>
      <c r="CR24" s="520"/>
      <c r="CS24" s="520"/>
      <c r="CT24" s="520"/>
      <c r="CU24" s="520"/>
      <c r="CV24" s="520"/>
      <c r="CW24" s="520"/>
      <c r="CX24" s="520"/>
      <c r="CY24" s="520"/>
      <c r="CZ24" s="520"/>
      <c r="DA24" s="520"/>
      <c r="DB24" s="520"/>
      <c r="DC24" s="520"/>
      <c r="DD24" s="520"/>
      <c r="DE24" s="520"/>
      <c r="DF24" s="520"/>
      <c r="DG24" s="520"/>
      <c r="DH24" s="520"/>
      <c r="DI24" s="520"/>
      <c r="DJ24" s="520"/>
      <c r="DK24" s="520"/>
      <c r="DL24" s="520"/>
      <c r="DM24" s="520"/>
      <c r="DN24" s="520"/>
      <c r="DO24" s="520"/>
      <c r="DP24" s="520"/>
      <c r="DQ24" s="520"/>
      <c r="DR24" s="520"/>
      <c r="DS24" s="520"/>
      <c r="DT24" s="520"/>
      <c r="DU24" s="520"/>
      <c r="DV24" s="520"/>
      <c r="DW24" s="520"/>
      <c r="DX24" s="520"/>
      <c r="DY24" s="520"/>
      <c r="DZ24" s="520"/>
      <c r="EA24" s="520"/>
      <c r="EB24" s="520"/>
      <c r="EC24" s="520"/>
      <c r="ED24" s="520"/>
      <c r="EE24" s="520"/>
      <c r="EF24" s="520"/>
      <c r="EG24" s="520"/>
      <c r="EH24" s="520"/>
      <c r="EI24" s="520"/>
      <c r="EJ24" s="520"/>
      <c r="EK24" s="520"/>
      <c r="EL24" s="520"/>
      <c r="EM24" s="520"/>
      <c r="EN24" s="520"/>
      <c r="EO24" s="520"/>
      <c r="EP24" s="520"/>
      <c r="EQ24" s="520"/>
      <c r="ER24" s="520"/>
      <c r="ES24" s="520"/>
      <c r="ET24" s="520"/>
      <c r="EU24" s="520"/>
      <c r="EV24" s="520"/>
      <c r="EW24" s="520"/>
      <c r="EX24" s="520"/>
      <c r="EY24" s="520"/>
      <c r="EZ24" s="520"/>
      <c r="FA24" s="520"/>
      <c r="FB24" s="520"/>
      <c r="FC24" s="520"/>
      <c r="FD24" s="520"/>
      <c r="FE24" s="520"/>
      <c r="FF24" s="520"/>
      <c r="FG24" s="520"/>
      <c r="FH24" s="520"/>
      <c r="FI24" s="520"/>
      <c r="FJ24" s="520"/>
      <c r="FK24" s="520"/>
      <c r="FL24" s="520"/>
      <c r="FM24" s="520"/>
      <c r="FN24" s="520"/>
      <c r="FO24" s="520"/>
    </row>
    <row r="25" spans="1:171" ht="26.25" customHeight="1">
      <c r="A25" s="545">
        <v>3</v>
      </c>
      <c r="B25" s="806" t="s">
        <v>3143</v>
      </c>
      <c r="C25" s="547" t="s">
        <v>3148</v>
      </c>
      <c r="D25" s="687" t="s">
        <v>3149</v>
      </c>
      <c r="E25" s="547" t="s">
        <v>3150</v>
      </c>
      <c r="F25" s="576" t="s">
        <v>88</v>
      </c>
      <c r="G25" s="624" t="s">
        <v>3035</v>
      </c>
      <c r="H25" s="635" t="b">
        <v>0</v>
      </c>
      <c r="I25" s="577"/>
      <c r="J25" s="569" t="s">
        <v>962</v>
      </c>
      <c r="K25" s="855" t="s">
        <v>962</v>
      </c>
      <c r="L25" s="890" t="s">
        <v>3151</v>
      </c>
      <c r="M25" s="890" t="s">
        <v>1542</v>
      </c>
      <c r="N25" s="890" t="s">
        <v>1542</v>
      </c>
      <c r="O25" s="890" t="s">
        <v>2205</v>
      </c>
      <c r="P25" s="890"/>
      <c r="Q25" s="890"/>
      <c r="R25" s="873" t="s">
        <v>97</v>
      </c>
      <c r="S25" s="873" t="s">
        <v>3037</v>
      </c>
      <c r="T25" s="873" t="s">
        <v>3077</v>
      </c>
      <c r="U25" s="873" t="s">
        <v>2203</v>
      </c>
      <c r="V25" s="873"/>
      <c r="W25" s="48" t="s">
        <v>1006</v>
      </c>
      <c r="X25" s="48" t="s">
        <v>1006</v>
      </c>
      <c r="Y25" s="48" t="s">
        <v>1006</v>
      </c>
      <c r="Z25" s="48" t="s">
        <v>1006</v>
      </c>
      <c r="AA25" s="569"/>
      <c r="AB25" s="569"/>
      <c r="AC25" s="569"/>
      <c r="AD25" s="569"/>
      <c r="AE25" s="569"/>
      <c r="AF25" s="569"/>
      <c r="AG25" s="638"/>
      <c r="AH25" s="569"/>
      <c r="AI25" s="569"/>
      <c r="AJ25" s="569"/>
      <c r="AK25" s="569"/>
      <c r="AL25" s="569"/>
      <c r="AM25" s="569"/>
      <c r="AN25" s="569"/>
      <c r="AO25" s="569"/>
      <c r="AP25" s="569"/>
      <c r="AQ25" s="569"/>
      <c r="AR25" s="569"/>
      <c r="AS25" s="569"/>
      <c r="AT25" s="569"/>
      <c r="AU25" s="569"/>
      <c r="AV25" s="520"/>
      <c r="AW25" s="520"/>
      <c r="AX25" s="520"/>
      <c r="AY25" s="520"/>
      <c r="AZ25" s="520"/>
      <c r="BA25" s="520"/>
      <c r="BB25" s="520"/>
      <c r="BC25" s="520"/>
      <c r="BD25" s="520"/>
      <c r="BE25" s="520"/>
      <c r="BF25" s="520"/>
      <c r="BG25" s="520"/>
      <c r="BH25" s="520"/>
      <c r="BI25" s="520"/>
      <c r="BJ25" s="520"/>
      <c r="BK25" s="520"/>
      <c r="BL25" s="520"/>
      <c r="BM25" s="520"/>
      <c r="BN25" s="520"/>
      <c r="BO25" s="520"/>
      <c r="BP25" s="520"/>
      <c r="BQ25" s="520"/>
      <c r="BR25" s="520"/>
      <c r="BS25" s="520"/>
      <c r="BT25" s="520"/>
      <c r="BU25" s="520"/>
      <c r="BV25" s="520"/>
      <c r="BW25" s="520"/>
      <c r="BX25" s="520"/>
      <c r="BY25" s="520"/>
      <c r="BZ25" s="520"/>
      <c r="CA25" s="520"/>
      <c r="CB25" s="520"/>
      <c r="CC25" s="520"/>
      <c r="CD25" s="520"/>
      <c r="CE25" s="520"/>
      <c r="CF25" s="520"/>
      <c r="CG25" s="520"/>
      <c r="CH25" s="520"/>
      <c r="CI25" s="520"/>
      <c r="CJ25" s="520"/>
      <c r="CK25" s="520"/>
      <c r="CL25" s="520"/>
      <c r="CM25" s="520"/>
      <c r="CN25" s="520"/>
      <c r="CO25" s="520"/>
      <c r="CP25" s="520"/>
      <c r="CQ25" s="520"/>
      <c r="CR25" s="520"/>
      <c r="CS25" s="520"/>
      <c r="CT25" s="520"/>
      <c r="CU25" s="520"/>
      <c r="CV25" s="520"/>
      <c r="CW25" s="520"/>
      <c r="CX25" s="520"/>
      <c r="CY25" s="520"/>
      <c r="CZ25" s="520"/>
      <c r="DA25" s="520"/>
      <c r="DB25" s="520"/>
      <c r="DC25" s="520"/>
      <c r="DD25" s="520"/>
      <c r="DE25" s="520"/>
      <c r="DF25" s="520"/>
      <c r="DG25" s="520"/>
      <c r="DH25" s="520"/>
      <c r="DI25" s="520"/>
      <c r="DJ25" s="520"/>
      <c r="DK25" s="520"/>
      <c r="DL25" s="520"/>
      <c r="DM25" s="520"/>
      <c r="DN25" s="520"/>
      <c r="DO25" s="520"/>
      <c r="DP25" s="520"/>
      <c r="DQ25" s="520"/>
      <c r="DR25" s="520"/>
      <c r="DS25" s="520"/>
      <c r="DT25" s="520"/>
      <c r="DU25" s="520"/>
      <c r="DV25" s="520"/>
      <c r="DW25" s="520"/>
      <c r="DX25" s="520"/>
      <c r="DY25" s="520"/>
      <c r="DZ25" s="520"/>
      <c r="EA25" s="520"/>
      <c r="EB25" s="520"/>
      <c r="EC25" s="520"/>
      <c r="ED25" s="520"/>
      <c r="EE25" s="520"/>
      <c r="EF25" s="520"/>
      <c r="EG25" s="520"/>
      <c r="EH25" s="520"/>
      <c r="EI25" s="520"/>
      <c r="EJ25" s="520"/>
      <c r="EK25" s="520"/>
      <c r="EL25" s="520"/>
      <c r="EM25" s="520"/>
      <c r="EN25" s="520"/>
      <c r="EO25" s="520"/>
      <c r="EP25" s="520"/>
      <c r="EQ25" s="520"/>
      <c r="ER25" s="520"/>
      <c r="ES25" s="520"/>
      <c r="ET25" s="520"/>
      <c r="EU25" s="520"/>
      <c r="EV25" s="520"/>
      <c r="EW25" s="520"/>
      <c r="EX25" s="520"/>
      <c r="EY25" s="520"/>
      <c r="EZ25" s="520"/>
      <c r="FA25" s="520"/>
      <c r="FB25" s="520"/>
      <c r="FC25" s="520"/>
      <c r="FD25" s="520"/>
      <c r="FE25" s="520"/>
      <c r="FF25" s="520"/>
      <c r="FG25" s="520"/>
      <c r="FH25" s="520"/>
      <c r="FI25" s="520"/>
      <c r="FJ25" s="520"/>
      <c r="FK25" s="520"/>
      <c r="FL25" s="520"/>
      <c r="FM25" s="520"/>
      <c r="FN25" s="520"/>
      <c r="FO25" s="520"/>
    </row>
    <row r="26" spans="1:171" ht="26.25" customHeight="1">
      <c r="A26" s="863">
        <v>3</v>
      </c>
      <c r="B26" s="864" t="s">
        <v>3152</v>
      </c>
      <c r="C26" s="865" t="s">
        <v>3153</v>
      </c>
      <c r="D26" s="866" t="s">
        <v>3154</v>
      </c>
      <c r="E26" s="865" t="s">
        <v>3155</v>
      </c>
      <c r="F26" s="867" t="s">
        <v>3156</v>
      </c>
      <c r="G26" s="650" t="s">
        <v>3052</v>
      </c>
      <c r="H26" s="651" t="b">
        <v>1</v>
      </c>
      <c r="I26" s="868" t="s">
        <v>88</v>
      </c>
      <c r="J26" s="869" t="s">
        <v>98</v>
      </c>
      <c r="K26" s="870" t="s">
        <v>98</v>
      </c>
      <c r="L26" s="887"/>
      <c r="M26" s="887"/>
      <c r="N26" s="887"/>
      <c r="O26" s="887"/>
      <c r="P26" s="887"/>
      <c r="Q26" s="887"/>
      <c r="R26" s="887"/>
      <c r="S26" s="887"/>
      <c r="T26" s="887"/>
      <c r="U26" s="887"/>
      <c r="V26" s="888"/>
      <c r="W26" s="48" t="s">
        <v>1006</v>
      </c>
      <c r="X26" s="48" t="s">
        <v>1006</v>
      </c>
      <c r="Y26" s="48" t="s">
        <v>1006</v>
      </c>
      <c r="Z26" s="48" t="s">
        <v>1006</v>
      </c>
      <c r="AA26" s="569"/>
      <c r="AB26" s="569"/>
      <c r="AC26" s="569"/>
      <c r="AD26" s="569"/>
      <c r="AE26" s="569"/>
      <c r="AF26" s="569"/>
      <c r="AG26" s="638"/>
      <c r="AH26" s="569"/>
      <c r="AI26" s="569"/>
      <c r="AJ26" s="569"/>
      <c r="AK26" s="569"/>
      <c r="AL26" s="569"/>
      <c r="AM26" s="569"/>
      <c r="AN26" s="569"/>
      <c r="AO26" s="569"/>
      <c r="AP26" s="569"/>
      <c r="AQ26" s="569"/>
      <c r="AR26" s="569"/>
      <c r="AS26" s="569"/>
      <c r="AT26" s="569"/>
      <c r="AU26" s="569"/>
      <c r="AV26" s="520"/>
      <c r="AW26" s="520"/>
      <c r="AX26" s="520"/>
      <c r="AY26" s="520"/>
      <c r="AZ26" s="520"/>
      <c r="BA26" s="520"/>
      <c r="BB26" s="520"/>
      <c r="BC26" s="520"/>
      <c r="BD26" s="520"/>
      <c r="BE26" s="520"/>
      <c r="BF26" s="520"/>
      <c r="BG26" s="520"/>
      <c r="BH26" s="520"/>
      <c r="BI26" s="520"/>
      <c r="BJ26" s="520"/>
      <c r="BK26" s="520"/>
      <c r="BL26" s="520"/>
      <c r="BM26" s="520"/>
      <c r="BN26" s="520"/>
      <c r="BO26" s="520"/>
      <c r="BP26" s="520"/>
      <c r="BQ26" s="520"/>
      <c r="BR26" s="520"/>
      <c r="BS26" s="520"/>
      <c r="BT26" s="520"/>
      <c r="BU26" s="520"/>
      <c r="BV26" s="520"/>
      <c r="BW26" s="520"/>
      <c r="BX26" s="520"/>
      <c r="BY26" s="520"/>
      <c r="BZ26" s="520"/>
      <c r="CA26" s="520"/>
      <c r="CB26" s="520"/>
      <c r="CC26" s="520"/>
      <c r="CD26" s="520"/>
      <c r="CE26" s="520"/>
      <c r="CF26" s="520"/>
      <c r="CG26" s="520"/>
      <c r="CH26" s="520"/>
      <c r="CI26" s="520"/>
      <c r="CJ26" s="520"/>
      <c r="CK26" s="520"/>
      <c r="CL26" s="520"/>
      <c r="CM26" s="520"/>
      <c r="CN26" s="520"/>
      <c r="CO26" s="520"/>
      <c r="CP26" s="520"/>
      <c r="CQ26" s="520"/>
      <c r="CR26" s="520"/>
      <c r="CS26" s="520"/>
      <c r="CT26" s="520"/>
      <c r="CU26" s="520"/>
      <c r="CV26" s="520"/>
      <c r="CW26" s="520"/>
      <c r="CX26" s="520"/>
      <c r="CY26" s="520"/>
      <c r="CZ26" s="520"/>
      <c r="DA26" s="520"/>
      <c r="DB26" s="520"/>
      <c r="DC26" s="520"/>
      <c r="DD26" s="520"/>
      <c r="DE26" s="520"/>
      <c r="DF26" s="520"/>
      <c r="DG26" s="520"/>
      <c r="DH26" s="520"/>
      <c r="DI26" s="520"/>
      <c r="DJ26" s="520"/>
      <c r="DK26" s="520"/>
      <c r="DL26" s="520"/>
      <c r="DM26" s="520"/>
      <c r="DN26" s="520"/>
      <c r="DO26" s="520"/>
      <c r="DP26" s="520"/>
      <c r="DQ26" s="520"/>
      <c r="DR26" s="520"/>
      <c r="DS26" s="520"/>
      <c r="DT26" s="520"/>
      <c r="DU26" s="520"/>
      <c r="DV26" s="520"/>
      <c r="DW26" s="520"/>
      <c r="DX26" s="520"/>
      <c r="DY26" s="520"/>
      <c r="DZ26" s="520"/>
      <c r="EA26" s="520"/>
      <c r="EB26" s="520"/>
      <c r="EC26" s="520"/>
      <c r="ED26" s="520"/>
      <c r="EE26" s="520"/>
      <c r="EF26" s="520"/>
      <c r="EG26" s="520"/>
      <c r="EH26" s="520"/>
      <c r="EI26" s="520"/>
      <c r="EJ26" s="520"/>
      <c r="EK26" s="520"/>
      <c r="EL26" s="520"/>
      <c r="EM26" s="520"/>
      <c r="EN26" s="520"/>
      <c r="EO26" s="520"/>
      <c r="EP26" s="520"/>
      <c r="EQ26" s="520"/>
      <c r="ER26" s="520"/>
      <c r="ES26" s="520"/>
      <c r="ET26" s="520"/>
      <c r="EU26" s="520"/>
      <c r="EV26" s="520"/>
      <c r="EW26" s="520"/>
      <c r="EX26" s="520"/>
      <c r="EY26" s="520"/>
      <c r="EZ26" s="520"/>
      <c r="FA26" s="520"/>
      <c r="FB26" s="520"/>
      <c r="FC26" s="520"/>
      <c r="FD26" s="520"/>
      <c r="FE26" s="520"/>
      <c r="FF26" s="520"/>
      <c r="FG26" s="520"/>
      <c r="FH26" s="520"/>
      <c r="FI26" s="520"/>
      <c r="FJ26" s="520"/>
      <c r="FK26" s="520"/>
      <c r="FL26" s="520"/>
      <c r="FM26" s="520"/>
      <c r="FN26" s="520"/>
      <c r="FO26" s="520"/>
    </row>
    <row r="27" spans="1:171" s="48" customFormat="1" ht="26.25" customHeight="1">
      <c r="A27" s="624">
        <v>3</v>
      </c>
      <c r="B27" s="637" t="s">
        <v>3152</v>
      </c>
      <c r="C27" s="624" t="s">
        <v>3157</v>
      </c>
      <c r="D27" s="636" t="s">
        <v>3158</v>
      </c>
      <c r="E27" s="624" t="s">
        <v>3159</v>
      </c>
      <c r="F27" s="637" t="s">
        <v>3160</v>
      </c>
      <c r="G27" s="624" t="s">
        <v>3052</v>
      </c>
      <c r="H27" s="635" t="b">
        <v>1</v>
      </c>
      <c r="I27" s="624" t="s">
        <v>88</v>
      </c>
      <c r="J27" s="569" t="s">
        <v>98</v>
      </c>
      <c r="K27" s="862" t="s">
        <v>98</v>
      </c>
      <c r="L27" s="889" t="s">
        <v>3161</v>
      </c>
      <c r="M27" s="889" t="s">
        <v>1185</v>
      </c>
      <c r="N27" s="889" t="s">
        <v>1185</v>
      </c>
      <c r="O27" s="889" t="s">
        <v>3162</v>
      </c>
      <c r="P27" s="889"/>
      <c r="Q27" s="889"/>
      <c r="R27" s="880" t="s">
        <v>97</v>
      </c>
      <c r="S27" s="880" t="s">
        <v>3065</v>
      </c>
      <c r="T27" s="880" t="s">
        <v>3038</v>
      </c>
      <c r="U27" s="880" t="s">
        <v>2203</v>
      </c>
      <c r="V27" s="880"/>
      <c r="W27" s="48" t="s">
        <v>1006</v>
      </c>
      <c r="X27" s="48" t="s">
        <v>1006</v>
      </c>
      <c r="Y27" s="48" t="s">
        <v>1006</v>
      </c>
      <c r="Z27" s="48" t="s">
        <v>1006</v>
      </c>
      <c r="AA27" s="871"/>
      <c r="AB27" s="871"/>
      <c r="AC27" s="871"/>
      <c r="AD27" s="871"/>
      <c r="AE27" s="871"/>
      <c r="AF27" s="871"/>
      <c r="AG27" s="569"/>
      <c r="AH27" s="569"/>
      <c r="AI27" s="569"/>
      <c r="AJ27" s="569"/>
      <c r="AK27" s="569"/>
      <c r="AL27" s="569"/>
      <c r="AM27" s="569"/>
      <c r="AN27" s="569"/>
      <c r="AO27" s="569"/>
      <c r="AP27" s="569"/>
      <c r="AQ27" s="569"/>
      <c r="AR27" s="569"/>
      <c r="AS27" s="569"/>
      <c r="AT27" s="569"/>
      <c r="AU27" s="569"/>
      <c r="AV27" s="638"/>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c r="CX27" s="569"/>
      <c r="CY27" s="569"/>
      <c r="CZ27" s="569"/>
      <c r="DA27" s="569"/>
      <c r="DB27" s="569"/>
      <c r="DC27" s="569"/>
      <c r="DD27" s="569"/>
      <c r="DE27" s="569"/>
      <c r="DF27" s="569"/>
      <c r="DG27" s="569"/>
      <c r="DH27" s="569"/>
      <c r="DI27" s="569"/>
      <c r="DJ27" s="569"/>
      <c r="DK27" s="569"/>
      <c r="DL27" s="569"/>
      <c r="DM27" s="569"/>
      <c r="DN27" s="569"/>
      <c r="DO27" s="569"/>
      <c r="DP27" s="569"/>
      <c r="DQ27" s="569"/>
      <c r="DR27" s="569"/>
      <c r="DS27" s="569"/>
      <c r="DT27" s="569"/>
      <c r="DU27" s="569"/>
      <c r="DV27" s="569"/>
      <c r="DW27" s="569"/>
      <c r="DX27" s="569"/>
      <c r="DY27" s="569"/>
      <c r="DZ27" s="569"/>
      <c r="EA27" s="569"/>
      <c r="EB27" s="569"/>
      <c r="EC27" s="569"/>
      <c r="ED27" s="569"/>
      <c r="EE27" s="569"/>
      <c r="EF27" s="569"/>
      <c r="EG27" s="569"/>
      <c r="EH27" s="569"/>
      <c r="EI27" s="569"/>
      <c r="EJ27" s="569"/>
      <c r="EK27" s="569"/>
      <c r="EL27" s="569"/>
      <c r="EM27" s="569"/>
      <c r="EN27" s="569"/>
      <c r="EO27" s="569"/>
      <c r="EP27" s="569"/>
      <c r="EQ27" s="569"/>
      <c r="ER27" s="569"/>
      <c r="ES27" s="569"/>
      <c r="ET27" s="569"/>
      <c r="EU27" s="569"/>
      <c r="EV27" s="569"/>
      <c r="EW27" s="569"/>
      <c r="EX27" s="569"/>
      <c r="EY27" s="569"/>
      <c r="EZ27" s="569"/>
      <c r="FA27" s="569"/>
      <c r="FB27" s="569"/>
      <c r="FC27" s="569"/>
      <c r="FD27" s="569"/>
      <c r="FE27" s="569"/>
      <c r="FF27" s="569"/>
      <c r="FG27" s="569"/>
      <c r="FH27" s="569"/>
      <c r="FI27" s="569"/>
      <c r="FJ27" s="569"/>
      <c r="FK27" s="569"/>
      <c r="FL27" s="569"/>
      <c r="FM27" s="569"/>
      <c r="FN27" s="569"/>
      <c r="FO27" s="569"/>
    </row>
    <row r="28" spans="1:171" ht="26.25" customHeight="1">
      <c r="A28" s="545">
        <v>3</v>
      </c>
      <c r="B28" s="546" t="s">
        <v>3163</v>
      </c>
      <c r="C28" s="547" t="s">
        <v>3164</v>
      </c>
      <c r="D28" s="548" t="s">
        <v>3165</v>
      </c>
      <c r="E28" s="547" t="s">
        <v>3166</v>
      </c>
      <c r="F28" s="576" t="s">
        <v>88</v>
      </c>
      <c r="G28" s="545" t="s">
        <v>3035</v>
      </c>
      <c r="H28" s="645" t="b">
        <v>1</v>
      </c>
      <c r="I28" s="576" t="s">
        <v>88</v>
      </c>
      <c r="J28" s="871" t="s">
        <v>98</v>
      </c>
      <c r="K28" s="872" t="s">
        <v>98</v>
      </c>
      <c r="L28" s="890" t="s">
        <v>3164</v>
      </c>
      <c r="M28" s="890" t="s">
        <v>3167</v>
      </c>
      <c r="N28" s="890" t="s">
        <v>3167</v>
      </c>
      <c r="O28" s="890" t="s">
        <v>3168</v>
      </c>
      <c r="P28" s="890"/>
      <c r="Q28" s="890"/>
      <c r="R28" s="873" t="s">
        <v>97</v>
      </c>
      <c r="S28" s="873" t="s">
        <v>3037</v>
      </c>
      <c r="T28" s="873" t="s">
        <v>3105</v>
      </c>
      <c r="U28" s="873" t="s">
        <v>2203</v>
      </c>
      <c r="V28" s="873" t="s">
        <v>3169</v>
      </c>
      <c r="W28" s="48" t="s">
        <v>1006</v>
      </c>
      <c r="X28" s="48" t="s">
        <v>1006</v>
      </c>
      <c r="Y28" s="48" t="s">
        <v>1006</v>
      </c>
      <c r="Z28" s="48" t="s">
        <v>1006</v>
      </c>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20"/>
      <c r="AW28" s="520"/>
      <c r="AX28" s="520"/>
      <c r="AY28" s="520"/>
      <c r="AZ28" s="520"/>
      <c r="BA28" s="520"/>
      <c r="BB28" s="520"/>
      <c r="BC28" s="520"/>
      <c r="BD28" s="520"/>
      <c r="BE28" s="520"/>
      <c r="BF28" s="520"/>
      <c r="BG28" s="520"/>
      <c r="BH28" s="520"/>
      <c r="BI28" s="520"/>
      <c r="BJ28" s="520"/>
      <c r="BK28" s="520"/>
      <c r="BL28" s="520"/>
      <c r="BM28" s="520"/>
      <c r="BN28" s="520"/>
      <c r="BO28" s="520"/>
      <c r="BP28" s="520"/>
      <c r="BQ28" s="520"/>
      <c r="BR28" s="520"/>
      <c r="BS28" s="520"/>
      <c r="BT28" s="520"/>
      <c r="BU28" s="520"/>
      <c r="BV28" s="520"/>
      <c r="BW28" s="520"/>
      <c r="BX28" s="520"/>
      <c r="BY28" s="520"/>
      <c r="BZ28" s="520"/>
      <c r="CA28" s="520"/>
      <c r="CB28" s="520"/>
      <c r="CC28" s="520"/>
      <c r="CD28" s="520"/>
      <c r="CE28" s="520"/>
      <c r="CF28" s="520"/>
      <c r="CG28" s="520"/>
      <c r="CH28" s="520"/>
      <c r="CI28" s="520"/>
      <c r="CJ28" s="520"/>
      <c r="CK28" s="520"/>
      <c r="CL28" s="520"/>
      <c r="CM28" s="520"/>
      <c r="CN28" s="520"/>
      <c r="CO28" s="520"/>
      <c r="CP28" s="520"/>
      <c r="CQ28" s="520"/>
      <c r="CR28" s="520"/>
      <c r="CS28" s="520"/>
      <c r="CT28" s="520"/>
      <c r="CU28" s="520"/>
      <c r="CV28" s="520"/>
      <c r="CW28" s="520"/>
      <c r="CX28" s="520"/>
      <c r="CY28" s="520"/>
      <c r="CZ28" s="520"/>
      <c r="DA28" s="520"/>
      <c r="DB28" s="520"/>
      <c r="DC28" s="520"/>
      <c r="DD28" s="520"/>
      <c r="DE28" s="520"/>
      <c r="DF28" s="520"/>
      <c r="DG28" s="520"/>
      <c r="DH28" s="520"/>
      <c r="DI28" s="520"/>
      <c r="DJ28" s="520"/>
      <c r="DK28" s="520"/>
      <c r="DL28" s="520"/>
      <c r="DM28" s="520"/>
      <c r="DN28" s="520"/>
      <c r="DO28" s="520"/>
      <c r="DP28" s="520"/>
      <c r="DQ28" s="520"/>
      <c r="DR28" s="520"/>
      <c r="DS28" s="520"/>
      <c r="DT28" s="520"/>
      <c r="DU28" s="520"/>
      <c r="DV28" s="520"/>
      <c r="DW28" s="520"/>
      <c r="DX28" s="520"/>
      <c r="DY28" s="520"/>
      <c r="DZ28" s="520"/>
      <c r="EA28" s="520"/>
      <c r="EB28" s="520"/>
      <c r="EC28" s="520"/>
      <c r="ED28" s="520"/>
      <c r="EE28" s="520"/>
      <c r="EF28" s="520"/>
      <c r="EG28" s="520"/>
      <c r="EH28" s="520"/>
      <c r="EI28" s="520"/>
      <c r="EJ28" s="520"/>
      <c r="EK28" s="520"/>
      <c r="EL28" s="520"/>
      <c r="EM28" s="520"/>
      <c r="EN28" s="520"/>
      <c r="EO28" s="520"/>
      <c r="EP28" s="520"/>
      <c r="EQ28" s="520"/>
      <c r="ER28" s="520"/>
      <c r="ES28" s="520"/>
      <c r="ET28" s="520"/>
      <c r="EU28" s="520"/>
      <c r="EV28" s="520"/>
      <c r="EW28" s="520"/>
      <c r="EX28" s="520"/>
      <c r="EY28" s="520"/>
      <c r="EZ28" s="520"/>
      <c r="FA28" s="520"/>
      <c r="FB28" s="520"/>
      <c r="FC28" s="520"/>
      <c r="FD28" s="520"/>
      <c r="FE28" s="520"/>
      <c r="FF28" s="520"/>
      <c r="FG28" s="520"/>
      <c r="FH28" s="520"/>
      <c r="FI28" s="520"/>
      <c r="FJ28" s="520"/>
      <c r="FK28" s="520"/>
      <c r="FL28" s="520"/>
      <c r="FM28" s="520"/>
      <c r="FN28" s="520"/>
      <c r="FO28" s="520"/>
    </row>
    <row r="29" spans="1:171" ht="26.25" customHeight="1">
      <c r="A29" s="545">
        <v>3</v>
      </c>
      <c r="B29" s="546" t="s">
        <v>3163</v>
      </c>
      <c r="C29" s="547" t="s">
        <v>3170</v>
      </c>
      <c r="D29" s="548" t="s">
        <v>3171</v>
      </c>
      <c r="E29" s="547" t="s">
        <v>3172</v>
      </c>
      <c r="F29" s="576" t="s">
        <v>88</v>
      </c>
      <c r="G29" s="624" t="s">
        <v>3035</v>
      </c>
      <c r="H29" s="635" t="b">
        <v>1</v>
      </c>
      <c r="I29" s="576" t="s">
        <v>88</v>
      </c>
      <c r="J29" s="569" t="s">
        <v>98</v>
      </c>
      <c r="K29" s="855" t="s">
        <v>98</v>
      </c>
      <c r="L29" s="892" t="s">
        <v>3170</v>
      </c>
      <c r="M29" s="892" t="s">
        <v>3167</v>
      </c>
      <c r="N29" s="892" t="s">
        <v>3167</v>
      </c>
      <c r="O29" s="892" t="s">
        <v>3173</v>
      </c>
      <c r="P29" s="892"/>
      <c r="Q29" s="892"/>
      <c r="R29" s="455" t="s">
        <v>97</v>
      </c>
      <c r="S29" s="877" t="s">
        <v>3037</v>
      </c>
      <c r="T29" s="877" t="s">
        <v>3105</v>
      </c>
      <c r="U29" s="877" t="s">
        <v>3078</v>
      </c>
      <c r="V29" s="877"/>
      <c r="W29" s="48" t="s">
        <v>1006</v>
      </c>
      <c r="X29" s="48" t="s">
        <v>1006</v>
      </c>
      <c r="Y29" s="48" t="s">
        <v>1006</v>
      </c>
      <c r="Z29" s="48" t="s">
        <v>1006</v>
      </c>
      <c r="AA29" s="869"/>
      <c r="AB29" s="869"/>
      <c r="AC29" s="869"/>
      <c r="AD29" s="869"/>
      <c r="AE29" s="869"/>
      <c r="AF29" s="569"/>
      <c r="AG29" s="569"/>
      <c r="AH29" s="569"/>
      <c r="AI29" s="569"/>
      <c r="AJ29" s="569"/>
      <c r="AK29" s="569"/>
      <c r="AL29" s="569"/>
      <c r="AM29" s="569"/>
      <c r="AN29" s="569"/>
      <c r="AO29" s="569"/>
      <c r="AP29" s="569"/>
      <c r="AQ29" s="569"/>
      <c r="AR29" s="569"/>
      <c r="AS29" s="569"/>
      <c r="AT29" s="569"/>
      <c r="AU29" s="569"/>
      <c r="AV29" s="520"/>
      <c r="AW29" s="520"/>
      <c r="AX29" s="520"/>
      <c r="AY29" s="520"/>
      <c r="AZ29" s="520"/>
      <c r="BA29" s="520"/>
      <c r="BB29" s="520"/>
      <c r="BC29" s="520"/>
      <c r="BD29" s="520"/>
      <c r="BE29" s="520"/>
      <c r="BF29" s="520"/>
      <c r="BG29" s="520"/>
      <c r="BH29" s="520"/>
      <c r="BI29" s="520"/>
      <c r="BJ29" s="520"/>
      <c r="BK29" s="520"/>
      <c r="BL29" s="520"/>
      <c r="BM29" s="520"/>
      <c r="BN29" s="520"/>
      <c r="BO29" s="520"/>
      <c r="BP29" s="520"/>
      <c r="BQ29" s="520"/>
      <c r="BR29" s="520"/>
      <c r="BS29" s="520"/>
      <c r="BT29" s="520"/>
      <c r="BU29" s="520"/>
      <c r="BV29" s="520"/>
      <c r="BW29" s="520"/>
      <c r="BX29" s="520"/>
      <c r="BY29" s="520"/>
      <c r="BZ29" s="520"/>
      <c r="CA29" s="520"/>
      <c r="CB29" s="520"/>
      <c r="CC29" s="520"/>
      <c r="CD29" s="520"/>
      <c r="CE29" s="520"/>
      <c r="CF29" s="520"/>
      <c r="CG29" s="520"/>
      <c r="CH29" s="520"/>
      <c r="CI29" s="520"/>
      <c r="CJ29" s="520"/>
      <c r="CK29" s="520"/>
      <c r="CL29" s="520"/>
      <c r="CM29" s="520"/>
      <c r="CN29" s="520"/>
      <c r="CO29" s="520"/>
      <c r="CP29" s="520"/>
      <c r="CQ29" s="520"/>
      <c r="CR29" s="520"/>
      <c r="CS29" s="520"/>
      <c r="CT29" s="520"/>
      <c r="CU29" s="520"/>
      <c r="CV29" s="520"/>
      <c r="CW29" s="520"/>
      <c r="CX29" s="520"/>
      <c r="CY29" s="520"/>
      <c r="CZ29" s="520"/>
      <c r="DA29" s="520"/>
      <c r="DB29" s="520"/>
      <c r="DC29" s="520"/>
      <c r="DD29" s="520"/>
      <c r="DE29" s="520"/>
      <c r="DF29" s="520"/>
      <c r="DG29" s="520"/>
      <c r="DH29" s="520"/>
      <c r="DI29" s="520"/>
      <c r="DJ29" s="520"/>
      <c r="DK29" s="520"/>
      <c r="DL29" s="520"/>
      <c r="DM29" s="520"/>
      <c r="DN29" s="520"/>
      <c r="DO29" s="520"/>
      <c r="DP29" s="520"/>
      <c r="DQ29" s="520"/>
      <c r="DR29" s="520"/>
      <c r="DS29" s="520"/>
      <c r="DT29" s="520"/>
      <c r="DU29" s="520"/>
      <c r="DV29" s="520"/>
      <c r="DW29" s="520"/>
      <c r="DX29" s="520"/>
      <c r="DY29" s="520"/>
      <c r="DZ29" s="520"/>
      <c r="EA29" s="520"/>
      <c r="EB29" s="520"/>
      <c r="EC29" s="520"/>
      <c r="ED29" s="520"/>
      <c r="EE29" s="520"/>
      <c r="EF29" s="520"/>
      <c r="EG29" s="520"/>
      <c r="EH29" s="520"/>
      <c r="EI29" s="520"/>
      <c r="EJ29" s="520"/>
      <c r="EK29" s="520"/>
      <c r="EL29" s="520"/>
      <c r="EM29" s="520"/>
      <c r="EN29" s="520"/>
      <c r="EO29" s="520"/>
      <c r="EP29" s="520"/>
      <c r="EQ29" s="520"/>
      <c r="ER29" s="520"/>
      <c r="ES29" s="520"/>
      <c r="ET29" s="520"/>
      <c r="EU29" s="520"/>
      <c r="EV29" s="520"/>
      <c r="EW29" s="520"/>
      <c r="EX29" s="520"/>
      <c r="EY29" s="520"/>
      <c r="EZ29" s="520"/>
      <c r="FA29" s="520"/>
      <c r="FB29" s="520"/>
      <c r="FC29" s="520"/>
      <c r="FD29" s="520"/>
      <c r="FE29" s="520"/>
      <c r="FF29" s="520"/>
      <c r="FG29" s="520"/>
      <c r="FH29" s="520"/>
      <c r="FI29" s="520"/>
      <c r="FJ29" s="520"/>
      <c r="FK29" s="520"/>
      <c r="FL29" s="520"/>
      <c r="FM29" s="520"/>
      <c r="FN29" s="520"/>
      <c r="FO29" s="520"/>
    </row>
    <row r="30" spans="1:171" ht="26.25" customHeight="1">
      <c r="A30" s="809">
        <v>3</v>
      </c>
      <c r="B30" s="816" t="s">
        <v>3163</v>
      </c>
      <c r="C30" s="817" t="s">
        <v>3174</v>
      </c>
      <c r="D30" s="818" t="s">
        <v>3175</v>
      </c>
      <c r="E30" s="817" t="s">
        <v>3176</v>
      </c>
      <c r="F30" s="819" t="s">
        <v>88</v>
      </c>
      <c r="G30" s="820" t="s">
        <v>3035</v>
      </c>
      <c r="H30" s="821" t="b">
        <v>0</v>
      </c>
      <c r="I30" s="822" t="s">
        <v>3177</v>
      </c>
      <c r="J30" s="569" t="s">
        <v>1006</v>
      </c>
      <c r="K30" s="855" t="s">
        <v>1006</v>
      </c>
      <c r="L30" s="881"/>
      <c r="M30" s="881"/>
      <c r="N30" s="881"/>
      <c r="O30" s="881"/>
      <c r="P30" s="881"/>
      <c r="Q30" s="881"/>
      <c r="R30" s="882"/>
      <c r="S30" s="883"/>
      <c r="T30" s="883"/>
      <c r="U30" s="883"/>
      <c r="V30" s="883"/>
      <c r="W30" s="48" t="s">
        <v>1006</v>
      </c>
      <c r="X30" s="48" t="s">
        <v>1006</v>
      </c>
      <c r="Y30" s="48" t="s">
        <v>1006</v>
      </c>
      <c r="Z30" s="48" t="s">
        <v>1006</v>
      </c>
      <c r="AA30" s="569"/>
      <c r="AB30" s="569"/>
      <c r="AC30" s="569"/>
      <c r="AD30" s="569"/>
      <c r="AE30" s="569"/>
      <c r="AF30" s="638"/>
      <c r="AG30" s="569"/>
      <c r="AH30" s="569"/>
      <c r="AI30" s="569"/>
      <c r="AJ30" s="569"/>
      <c r="AK30" s="569"/>
      <c r="AL30" s="569"/>
      <c r="AM30" s="569"/>
      <c r="AN30" s="569"/>
      <c r="AO30" s="569"/>
      <c r="AP30" s="569"/>
      <c r="AQ30" s="569"/>
      <c r="AR30" s="569"/>
      <c r="AS30" s="569"/>
      <c r="AT30" s="569"/>
      <c r="AU30" s="569"/>
      <c r="AV30" s="520"/>
      <c r="AW30" s="520"/>
      <c r="AX30" s="520"/>
      <c r="AY30" s="520"/>
      <c r="AZ30" s="520"/>
      <c r="BA30" s="520"/>
      <c r="BB30" s="520"/>
      <c r="BC30" s="520"/>
      <c r="BD30" s="520"/>
      <c r="BE30" s="520"/>
      <c r="BF30" s="520"/>
      <c r="BG30" s="520"/>
      <c r="BH30" s="520"/>
      <c r="BI30" s="520"/>
      <c r="BJ30" s="520"/>
      <c r="BK30" s="520"/>
      <c r="BL30" s="520"/>
      <c r="BM30" s="520"/>
      <c r="BN30" s="520"/>
      <c r="BO30" s="520"/>
      <c r="BP30" s="520"/>
      <c r="BQ30" s="520"/>
      <c r="BR30" s="520"/>
      <c r="BS30" s="520"/>
      <c r="BT30" s="520"/>
      <c r="BU30" s="520"/>
      <c r="BV30" s="520"/>
      <c r="BW30" s="520"/>
      <c r="BX30" s="520"/>
      <c r="BY30" s="520"/>
      <c r="BZ30" s="520"/>
      <c r="CA30" s="520"/>
      <c r="CB30" s="520"/>
      <c r="CC30" s="520"/>
      <c r="CD30" s="520"/>
      <c r="CE30" s="520"/>
      <c r="CF30" s="520"/>
      <c r="CG30" s="520"/>
      <c r="CH30" s="520"/>
      <c r="CI30" s="520"/>
      <c r="CJ30" s="520"/>
      <c r="CK30" s="520"/>
      <c r="CL30" s="520"/>
      <c r="CM30" s="520"/>
      <c r="CN30" s="520"/>
      <c r="CO30" s="520"/>
      <c r="CP30" s="520"/>
      <c r="CQ30" s="520"/>
      <c r="CR30" s="520"/>
      <c r="CS30" s="520"/>
      <c r="CT30" s="520"/>
      <c r="CU30" s="520"/>
      <c r="CV30" s="520"/>
      <c r="CW30" s="520"/>
      <c r="CX30" s="520"/>
      <c r="CY30" s="520"/>
      <c r="CZ30" s="520"/>
      <c r="DA30" s="520"/>
      <c r="DB30" s="520"/>
      <c r="DC30" s="520"/>
      <c r="DD30" s="520"/>
      <c r="DE30" s="520"/>
      <c r="DF30" s="520"/>
      <c r="DG30" s="520"/>
      <c r="DH30" s="520"/>
      <c r="DI30" s="520"/>
      <c r="DJ30" s="520"/>
      <c r="DK30" s="520"/>
      <c r="DL30" s="520"/>
      <c r="DM30" s="520"/>
      <c r="DN30" s="520"/>
      <c r="DO30" s="520"/>
      <c r="DP30" s="520"/>
      <c r="DQ30" s="520"/>
      <c r="DR30" s="520"/>
      <c r="DS30" s="520"/>
      <c r="DT30" s="520"/>
      <c r="DU30" s="520"/>
      <c r="DV30" s="520"/>
      <c r="DW30" s="520"/>
      <c r="DX30" s="520"/>
      <c r="DY30" s="520"/>
      <c r="DZ30" s="520"/>
      <c r="EA30" s="520"/>
      <c r="EB30" s="520"/>
      <c r="EC30" s="520"/>
      <c r="ED30" s="520"/>
      <c r="EE30" s="520"/>
      <c r="EF30" s="520"/>
      <c r="EG30" s="520"/>
      <c r="EH30" s="520"/>
      <c r="EI30" s="520"/>
      <c r="EJ30" s="520"/>
      <c r="EK30" s="520"/>
      <c r="EL30" s="520"/>
      <c r="EM30" s="520"/>
      <c r="EN30" s="520"/>
      <c r="EO30" s="520"/>
      <c r="EP30" s="520"/>
      <c r="EQ30" s="520"/>
      <c r="ER30" s="520"/>
      <c r="ES30" s="520"/>
      <c r="ET30" s="520"/>
      <c r="EU30" s="520"/>
      <c r="EV30" s="520"/>
      <c r="EW30" s="520"/>
      <c r="EX30" s="520"/>
      <c r="EY30" s="520"/>
      <c r="EZ30" s="520"/>
      <c r="FA30" s="520"/>
      <c r="FB30" s="520"/>
      <c r="FC30" s="520"/>
      <c r="FD30" s="520"/>
      <c r="FE30" s="520"/>
      <c r="FF30" s="520"/>
      <c r="FG30" s="520"/>
      <c r="FH30" s="520"/>
      <c r="FI30" s="520"/>
      <c r="FJ30" s="520"/>
      <c r="FK30" s="520"/>
      <c r="FL30" s="520"/>
      <c r="FM30" s="520"/>
      <c r="FN30" s="520"/>
      <c r="FO30" s="520"/>
    </row>
    <row r="31" spans="1:171" ht="26.25" customHeight="1">
      <c r="A31" s="545">
        <v>3</v>
      </c>
      <c r="B31" s="577" t="s">
        <v>3178</v>
      </c>
      <c r="C31" s="624" t="s">
        <v>3179</v>
      </c>
      <c r="D31" s="633" t="s">
        <v>3180</v>
      </c>
      <c r="E31" s="634" t="s">
        <v>3181</v>
      </c>
      <c r="F31" s="641"/>
      <c r="G31" s="624" t="s">
        <v>3035</v>
      </c>
      <c r="H31" s="635" t="b">
        <v>0</v>
      </c>
      <c r="I31" s="642" t="s">
        <v>88</v>
      </c>
      <c r="J31" s="638" t="s">
        <v>962</v>
      </c>
      <c r="K31" s="856" t="s">
        <v>962</v>
      </c>
      <c r="L31" s="885"/>
      <c r="M31" s="885"/>
      <c r="N31" s="885"/>
      <c r="O31" s="885"/>
      <c r="P31" s="885"/>
      <c r="Q31" s="885"/>
      <c r="R31" s="886"/>
      <c r="S31" s="885"/>
      <c r="T31" s="885"/>
      <c r="U31" s="883"/>
      <c r="V31" s="883"/>
      <c r="W31" s="48" t="s">
        <v>1006</v>
      </c>
      <c r="X31" s="48" t="s">
        <v>1006</v>
      </c>
      <c r="Y31" s="48" t="s">
        <v>1006</v>
      </c>
      <c r="Z31" s="48" t="s">
        <v>1006</v>
      </c>
      <c r="AA31" s="569"/>
      <c r="AB31" s="569"/>
      <c r="AC31" s="569"/>
      <c r="AD31" s="569"/>
      <c r="AE31" s="569"/>
      <c r="AF31" s="638"/>
      <c r="AG31" s="569"/>
      <c r="AH31" s="569"/>
      <c r="AI31" s="569"/>
      <c r="AJ31" s="569"/>
      <c r="AK31" s="569"/>
      <c r="AL31" s="569"/>
      <c r="AM31" s="569"/>
      <c r="AN31" s="569"/>
      <c r="AO31" s="569"/>
      <c r="AP31" s="569"/>
      <c r="AQ31" s="569"/>
      <c r="AR31" s="569"/>
      <c r="AS31" s="569"/>
      <c r="AT31" s="569"/>
      <c r="AU31" s="569"/>
      <c r="AV31" s="520"/>
      <c r="AW31" s="520"/>
      <c r="AX31" s="520"/>
      <c r="AY31" s="520"/>
      <c r="AZ31" s="520"/>
      <c r="BA31" s="520"/>
      <c r="BB31" s="520"/>
      <c r="BC31" s="520"/>
      <c r="BD31" s="520"/>
      <c r="BE31" s="520"/>
      <c r="BF31" s="520"/>
      <c r="BG31" s="520"/>
      <c r="BH31" s="520"/>
      <c r="BI31" s="520"/>
      <c r="BJ31" s="520"/>
      <c r="BK31" s="520"/>
      <c r="BL31" s="520"/>
      <c r="BM31" s="520"/>
      <c r="BN31" s="520"/>
      <c r="BO31" s="520"/>
      <c r="BP31" s="520"/>
      <c r="BQ31" s="520"/>
      <c r="BR31" s="520"/>
      <c r="BS31" s="520"/>
      <c r="BT31" s="520"/>
      <c r="BU31" s="520"/>
      <c r="BV31" s="520"/>
      <c r="BW31" s="520"/>
      <c r="BX31" s="520"/>
      <c r="BY31" s="520"/>
      <c r="BZ31" s="520"/>
      <c r="CA31" s="520"/>
      <c r="CB31" s="520"/>
      <c r="CC31" s="520"/>
      <c r="CD31" s="520"/>
      <c r="CE31" s="520"/>
      <c r="CF31" s="520"/>
      <c r="CG31" s="520"/>
      <c r="CH31" s="520"/>
      <c r="CI31" s="520"/>
      <c r="CJ31" s="520"/>
      <c r="CK31" s="520"/>
      <c r="CL31" s="520"/>
      <c r="CM31" s="520"/>
      <c r="CN31" s="520"/>
      <c r="CO31" s="520"/>
      <c r="CP31" s="520"/>
      <c r="CQ31" s="520"/>
      <c r="CR31" s="520"/>
      <c r="CS31" s="520"/>
      <c r="CT31" s="520"/>
      <c r="CU31" s="520"/>
      <c r="CV31" s="520"/>
      <c r="CW31" s="520"/>
      <c r="CX31" s="520"/>
      <c r="CY31" s="520"/>
      <c r="CZ31" s="520"/>
      <c r="DA31" s="520"/>
      <c r="DB31" s="520"/>
      <c r="DC31" s="520"/>
      <c r="DD31" s="520"/>
      <c r="DE31" s="520"/>
      <c r="DF31" s="520"/>
      <c r="DG31" s="520"/>
      <c r="DH31" s="520"/>
      <c r="DI31" s="520"/>
      <c r="DJ31" s="520"/>
      <c r="DK31" s="520"/>
      <c r="DL31" s="520"/>
      <c r="DM31" s="520"/>
      <c r="DN31" s="520"/>
      <c r="DO31" s="520"/>
      <c r="DP31" s="520"/>
      <c r="DQ31" s="520"/>
      <c r="DR31" s="520"/>
      <c r="DS31" s="520"/>
      <c r="DT31" s="520"/>
      <c r="DU31" s="520"/>
      <c r="DV31" s="520"/>
      <c r="DW31" s="520"/>
      <c r="DX31" s="520"/>
      <c r="DY31" s="520"/>
      <c r="DZ31" s="520"/>
      <c r="EA31" s="520"/>
      <c r="EB31" s="520"/>
      <c r="EC31" s="520"/>
      <c r="ED31" s="520"/>
      <c r="EE31" s="520"/>
      <c r="EF31" s="520"/>
      <c r="EG31" s="520"/>
      <c r="EH31" s="520"/>
      <c r="EI31" s="520"/>
      <c r="EJ31" s="520"/>
      <c r="EK31" s="520"/>
      <c r="EL31" s="520"/>
      <c r="EM31" s="520"/>
      <c r="EN31" s="520"/>
      <c r="EO31" s="520"/>
      <c r="EP31" s="520"/>
      <c r="EQ31" s="520"/>
      <c r="ER31" s="520"/>
      <c r="ES31" s="520"/>
      <c r="ET31" s="520"/>
      <c r="EU31" s="520"/>
      <c r="EV31" s="520"/>
      <c r="EW31" s="520"/>
      <c r="EX31" s="520"/>
      <c r="EY31" s="520"/>
      <c r="EZ31" s="520"/>
      <c r="FA31" s="520"/>
      <c r="FB31" s="520"/>
      <c r="FC31" s="520"/>
      <c r="FD31" s="520"/>
      <c r="FE31" s="520"/>
      <c r="FF31" s="520"/>
      <c r="FG31" s="520"/>
      <c r="FH31" s="520"/>
      <c r="FI31" s="520"/>
      <c r="FJ31" s="520"/>
      <c r="FK31" s="520"/>
      <c r="FL31" s="520"/>
      <c r="FM31" s="520"/>
      <c r="FN31" s="520"/>
      <c r="FO31" s="520"/>
    </row>
    <row r="32" spans="1:171" ht="26.25" customHeight="1">
      <c r="A32" s="545">
        <v>3</v>
      </c>
      <c r="B32" s="577" t="s">
        <v>3178</v>
      </c>
      <c r="C32" s="624" t="s">
        <v>3182</v>
      </c>
      <c r="D32" s="633" t="s">
        <v>3183</v>
      </c>
      <c r="E32" s="634" t="s">
        <v>3184</v>
      </c>
      <c r="F32" s="641"/>
      <c r="G32" s="624" t="s">
        <v>3035</v>
      </c>
      <c r="H32" s="635" t="b">
        <v>0</v>
      </c>
      <c r="I32" s="642" t="s">
        <v>88</v>
      </c>
      <c r="J32" s="638" t="s">
        <v>962</v>
      </c>
      <c r="K32" s="856" t="s">
        <v>962</v>
      </c>
      <c r="L32" s="485" t="s">
        <v>3182</v>
      </c>
      <c r="M32" s="485" t="s">
        <v>696</v>
      </c>
      <c r="N32" s="485" t="s">
        <v>696</v>
      </c>
      <c r="O32" s="485" t="s">
        <v>2205</v>
      </c>
      <c r="P32" s="485"/>
      <c r="Q32" s="485"/>
      <c r="R32" s="485" t="s">
        <v>110</v>
      </c>
      <c r="S32" s="485" t="s">
        <v>3037</v>
      </c>
      <c r="T32" s="485" t="s">
        <v>3038</v>
      </c>
      <c r="U32" s="485" t="s">
        <v>2203</v>
      </c>
      <c r="V32" s="883"/>
      <c r="W32" s="48" t="s">
        <v>1006</v>
      </c>
      <c r="X32" s="48" t="s">
        <v>1006</v>
      </c>
      <c r="Y32" s="48" t="s">
        <v>1006</v>
      </c>
      <c r="Z32" s="48" t="s">
        <v>1006</v>
      </c>
      <c r="AA32" s="569"/>
      <c r="AB32" s="569"/>
      <c r="AC32" s="569"/>
      <c r="AD32" s="569"/>
      <c r="AE32" s="569"/>
      <c r="AF32" s="638"/>
      <c r="AG32" s="569"/>
      <c r="AH32" s="569"/>
      <c r="AI32" s="569"/>
      <c r="AJ32" s="569"/>
      <c r="AK32" s="569"/>
      <c r="AL32" s="569"/>
      <c r="AM32" s="569"/>
      <c r="AN32" s="569"/>
      <c r="AO32" s="569"/>
      <c r="AP32" s="569"/>
      <c r="AQ32" s="569"/>
      <c r="AR32" s="569"/>
      <c r="AS32" s="569"/>
      <c r="AT32" s="569"/>
      <c r="AU32" s="569"/>
      <c r="AV32" s="520"/>
      <c r="AW32" s="520"/>
      <c r="AX32" s="520"/>
      <c r="AY32" s="520"/>
      <c r="AZ32" s="520"/>
      <c r="BA32" s="520"/>
      <c r="BB32" s="520"/>
      <c r="BC32" s="520"/>
      <c r="BD32" s="520"/>
      <c r="BE32" s="520"/>
      <c r="BF32" s="520"/>
      <c r="BG32" s="520"/>
      <c r="BH32" s="520"/>
      <c r="BI32" s="520"/>
      <c r="BJ32" s="520"/>
      <c r="BK32" s="520"/>
      <c r="BL32" s="520"/>
      <c r="BM32" s="520"/>
      <c r="BN32" s="520"/>
      <c r="BO32" s="520"/>
      <c r="BP32" s="520"/>
      <c r="BQ32" s="520"/>
      <c r="BR32" s="520"/>
      <c r="BS32" s="520"/>
      <c r="BT32" s="520"/>
      <c r="BU32" s="520"/>
      <c r="BV32" s="520"/>
      <c r="BW32" s="520"/>
      <c r="BX32" s="520"/>
      <c r="BY32" s="520"/>
      <c r="BZ32" s="520"/>
      <c r="CA32" s="520"/>
      <c r="CB32" s="520"/>
      <c r="CC32" s="520"/>
      <c r="CD32" s="520"/>
      <c r="CE32" s="520"/>
      <c r="CF32" s="520"/>
      <c r="CG32" s="520"/>
      <c r="CH32" s="520"/>
      <c r="CI32" s="520"/>
      <c r="CJ32" s="520"/>
      <c r="CK32" s="520"/>
      <c r="CL32" s="520"/>
      <c r="CM32" s="520"/>
      <c r="CN32" s="520"/>
      <c r="CO32" s="520"/>
      <c r="CP32" s="520"/>
      <c r="CQ32" s="520"/>
      <c r="CR32" s="520"/>
      <c r="CS32" s="520"/>
      <c r="CT32" s="520"/>
      <c r="CU32" s="520"/>
      <c r="CV32" s="520"/>
      <c r="CW32" s="520"/>
      <c r="CX32" s="520"/>
      <c r="CY32" s="520"/>
      <c r="CZ32" s="520"/>
      <c r="DA32" s="520"/>
      <c r="DB32" s="520"/>
      <c r="DC32" s="520"/>
      <c r="DD32" s="520"/>
      <c r="DE32" s="520"/>
      <c r="DF32" s="520"/>
      <c r="DG32" s="520"/>
      <c r="DH32" s="520"/>
      <c r="DI32" s="520"/>
      <c r="DJ32" s="520"/>
      <c r="DK32" s="520"/>
      <c r="DL32" s="520"/>
      <c r="DM32" s="520"/>
      <c r="DN32" s="520"/>
      <c r="DO32" s="520"/>
      <c r="DP32" s="520"/>
      <c r="DQ32" s="520"/>
      <c r="DR32" s="520"/>
      <c r="DS32" s="520"/>
      <c r="DT32" s="520"/>
      <c r="DU32" s="520"/>
      <c r="DV32" s="520"/>
      <c r="DW32" s="520"/>
      <c r="DX32" s="520"/>
      <c r="DY32" s="520"/>
      <c r="DZ32" s="520"/>
      <c r="EA32" s="520"/>
      <c r="EB32" s="520"/>
      <c r="EC32" s="520"/>
      <c r="ED32" s="520"/>
      <c r="EE32" s="520"/>
      <c r="EF32" s="520"/>
      <c r="EG32" s="520"/>
      <c r="EH32" s="520"/>
      <c r="EI32" s="520"/>
      <c r="EJ32" s="520"/>
      <c r="EK32" s="520"/>
      <c r="EL32" s="520"/>
      <c r="EM32" s="520"/>
      <c r="EN32" s="520"/>
      <c r="EO32" s="520"/>
      <c r="EP32" s="520"/>
      <c r="EQ32" s="520"/>
      <c r="ER32" s="520"/>
      <c r="ES32" s="520"/>
      <c r="ET32" s="520"/>
      <c r="EU32" s="520"/>
      <c r="EV32" s="520"/>
      <c r="EW32" s="520"/>
      <c r="EX32" s="520"/>
      <c r="EY32" s="520"/>
      <c r="EZ32" s="520"/>
      <c r="FA32" s="520"/>
      <c r="FB32" s="520"/>
      <c r="FC32" s="520"/>
      <c r="FD32" s="520"/>
      <c r="FE32" s="520"/>
      <c r="FF32" s="520"/>
      <c r="FG32" s="520"/>
      <c r="FH32" s="520"/>
      <c r="FI32" s="520"/>
      <c r="FJ32" s="520"/>
      <c r="FK32" s="520"/>
      <c r="FL32" s="520"/>
      <c r="FM32" s="520"/>
      <c r="FN32" s="520"/>
      <c r="FO32" s="520"/>
    </row>
    <row r="33" spans="1:171" ht="26.25" customHeight="1">
      <c r="A33" s="545">
        <v>3</v>
      </c>
      <c r="B33" s="577" t="s">
        <v>3185</v>
      </c>
      <c r="C33" s="624" t="s">
        <v>3186</v>
      </c>
      <c r="D33" s="636" t="s">
        <v>3187</v>
      </c>
      <c r="E33" s="624" t="s">
        <v>3188</v>
      </c>
      <c r="F33" s="624" t="s">
        <v>3189</v>
      </c>
      <c r="G33" s="545" t="s">
        <v>3052</v>
      </c>
      <c r="H33" s="645" t="b">
        <v>0</v>
      </c>
      <c r="I33" s="637"/>
      <c r="J33" s="638" t="s">
        <v>98</v>
      </c>
      <c r="K33" s="856" t="s">
        <v>98</v>
      </c>
      <c r="L33" s="881"/>
      <c r="M33" s="881"/>
      <c r="N33" s="881"/>
      <c r="O33" s="881"/>
      <c r="P33" s="881"/>
      <c r="Q33" s="881"/>
      <c r="R33" s="882"/>
      <c r="S33" s="881"/>
      <c r="T33" s="881"/>
      <c r="U33" s="883"/>
      <c r="V33" s="883"/>
      <c r="W33" s="48" t="s">
        <v>1006</v>
      </c>
      <c r="X33" s="48" t="s">
        <v>1006</v>
      </c>
      <c r="Y33" s="48" t="s">
        <v>1006</v>
      </c>
      <c r="Z33" s="48" t="s">
        <v>1006</v>
      </c>
      <c r="AA33" s="569"/>
      <c r="AB33" s="569"/>
      <c r="AC33" s="569"/>
      <c r="AD33" s="569"/>
      <c r="AE33" s="569"/>
      <c r="AF33" s="638"/>
      <c r="AG33" s="569"/>
      <c r="AH33" s="569"/>
      <c r="AI33" s="569"/>
      <c r="AJ33" s="569"/>
      <c r="AK33" s="569"/>
      <c r="AL33" s="569"/>
      <c r="AM33" s="569"/>
      <c r="AN33" s="569"/>
      <c r="AO33" s="569"/>
      <c r="AP33" s="569"/>
      <c r="AQ33" s="569"/>
      <c r="AR33" s="569"/>
      <c r="AS33" s="569"/>
      <c r="AT33" s="569"/>
      <c r="AU33" s="569"/>
      <c r="AV33" s="520"/>
      <c r="AW33" s="520"/>
      <c r="AX33" s="520"/>
      <c r="AY33" s="520"/>
      <c r="AZ33" s="520"/>
      <c r="BA33" s="520"/>
      <c r="BB33" s="520"/>
      <c r="BC33" s="520"/>
      <c r="BD33" s="520"/>
      <c r="BE33" s="520"/>
      <c r="BF33" s="520"/>
      <c r="BG33" s="520"/>
      <c r="BH33" s="520"/>
      <c r="BI33" s="520"/>
      <c r="BJ33" s="520"/>
      <c r="BK33" s="520"/>
      <c r="BL33" s="520"/>
      <c r="BM33" s="520"/>
      <c r="BN33" s="520"/>
      <c r="BO33" s="520"/>
      <c r="BP33" s="520"/>
      <c r="BQ33" s="520"/>
      <c r="BR33" s="520"/>
      <c r="BS33" s="520"/>
      <c r="BT33" s="520"/>
      <c r="BU33" s="520"/>
      <c r="BV33" s="520"/>
      <c r="BW33" s="520"/>
      <c r="BX33" s="520"/>
      <c r="BY33" s="520"/>
      <c r="BZ33" s="520"/>
      <c r="CA33" s="520"/>
      <c r="CB33" s="520"/>
      <c r="CC33" s="520"/>
      <c r="CD33" s="520"/>
      <c r="CE33" s="520"/>
      <c r="CF33" s="520"/>
      <c r="CG33" s="520"/>
      <c r="CH33" s="520"/>
      <c r="CI33" s="520"/>
      <c r="CJ33" s="520"/>
      <c r="CK33" s="520"/>
      <c r="CL33" s="520"/>
      <c r="CM33" s="520"/>
      <c r="CN33" s="520"/>
      <c r="CO33" s="520"/>
      <c r="CP33" s="520"/>
      <c r="CQ33" s="520"/>
      <c r="CR33" s="520"/>
      <c r="CS33" s="520"/>
      <c r="CT33" s="520"/>
      <c r="CU33" s="520"/>
      <c r="CV33" s="520"/>
      <c r="CW33" s="520"/>
      <c r="CX33" s="520"/>
      <c r="CY33" s="520"/>
      <c r="CZ33" s="520"/>
      <c r="DA33" s="520"/>
      <c r="DB33" s="520"/>
      <c r="DC33" s="520"/>
      <c r="DD33" s="520"/>
      <c r="DE33" s="520"/>
      <c r="DF33" s="520"/>
      <c r="DG33" s="520"/>
      <c r="DH33" s="520"/>
      <c r="DI33" s="520"/>
      <c r="DJ33" s="520"/>
      <c r="DK33" s="520"/>
      <c r="DL33" s="520"/>
      <c r="DM33" s="520"/>
      <c r="DN33" s="520"/>
      <c r="DO33" s="520"/>
      <c r="DP33" s="520"/>
      <c r="DQ33" s="520"/>
      <c r="DR33" s="520"/>
      <c r="DS33" s="520"/>
      <c r="DT33" s="520"/>
      <c r="DU33" s="520"/>
      <c r="DV33" s="520"/>
      <c r="DW33" s="520"/>
      <c r="DX33" s="520"/>
      <c r="DY33" s="520"/>
      <c r="DZ33" s="520"/>
      <c r="EA33" s="520"/>
      <c r="EB33" s="520"/>
      <c r="EC33" s="520"/>
      <c r="ED33" s="520"/>
      <c r="EE33" s="520"/>
      <c r="EF33" s="520"/>
      <c r="EG33" s="520"/>
      <c r="EH33" s="520"/>
      <c r="EI33" s="520"/>
      <c r="EJ33" s="520"/>
      <c r="EK33" s="520"/>
      <c r="EL33" s="520"/>
      <c r="EM33" s="520"/>
      <c r="EN33" s="520"/>
      <c r="EO33" s="520"/>
      <c r="EP33" s="520"/>
      <c r="EQ33" s="520"/>
      <c r="ER33" s="520"/>
      <c r="ES33" s="520"/>
      <c r="ET33" s="520"/>
      <c r="EU33" s="520"/>
      <c r="EV33" s="520"/>
      <c r="EW33" s="520"/>
      <c r="EX33" s="520"/>
      <c r="EY33" s="520"/>
      <c r="EZ33" s="520"/>
      <c r="FA33" s="520"/>
      <c r="FB33" s="520"/>
      <c r="FC33" s="520"/>
      <c r="FD33" s="520"/>
      <c r="FE33" s="520"/>
      <c r="FF33" s="520"/>
      <c r="FG33" s="520"/>
      <c r="FH33" s="520"/>
      <c r="FI33" s="520"/>
      <c r="FJ33" s="520"/>
      <c r="FK33" s="520"/>
      <c r="FL33" s="520"/>
      <c r="FM33" s="520"/>
      <c r="FN33" s="520"/>
      <c r="FO33" s="520"/>
    </row>
    <row r="34" spans="1:171" ht="26.25" customHeight="1">
      <c r="A34" s="545">
        <v>3</v>
      </c>
      <c r="B34" s="577" t="s">
        <v>3185</v>
      </c>
      <c r="C34" s="624" t="s">
        <v>3190</v>
      </c>
      <c r="D34" s="636" t="s">
        <v>3191</v>
      </c>
      <c r="E34" s="624" t="s">
        <v>3192</v>
      </c>
      <c r="F34" s="637" t="s">
        <v>3193</v>
      </c>
      <c r="G34" s="650" t="s">
        <v>3052</v>
      </c>
      <c r="H34" s="651" t="b">
        <v>0</v>
      </c>
      <c r="I34" s="652"/>
      <c r="J34" s="638" t="s">
        <v>98</v>
      </c>
      <c r="K34" s="856" t="s">
        <v>98</v>
      </c>
      <c r="L34" s="883"/>
      <c r="M34" s="883"/>
      <c r="N34" s="883"/>
      <c r="O34" s="883"/>
      <c r="P34" s="883"/>
      <c r="Q34" s="883"/>
      <c r="R34" s="884"/>
      <c r="S34" s="883"/>
      <c r="T34" s="883"/>
      <c r="U34" s="883"/>
      <c r="V34" s="883"/>
      <c r="W34" s="48" t="s">
        <v>1006</v>
      </c>
      <c r="X34" s="48" t="s">
        <v>1006</v>
      </c>
      <c r="Y34" s="48" t="s">
        <v>1006</v>
      </c>
      <c r="Z34" s="48" t="s">
        <v>1006</v>
      </c>
      <c r="AA34" s="569"/>
      <c r="AB34" s="569"/>
      <c r="AC34" s="569"/>
      <c r="AD34" s="569"/>
      <c r="AE34" s="569"/>
      <c r="AF34" s="638"/>
      <c r="AG34" s="569"/>
      <c r="AH34" s="569"/>
      <c r="AI34" s="569"/>
      <c r="AJ34" s="569"/>
      <c r="AK34" s="569"/>
      <c r="AL34" s="569"/>
      <c r="AM34" s="569"/>
      <c r="AN34" s="569"/>
      <c r="AO34" s="569"/>
      <c r="AP34" s="569"/>
      <c r="AQ34" s="569"/>
      <c r="AR34" s="569"/>
      <c r="AS34" s="569"/>
      <c r="AT34" s="569"/>
      <c r="AU34" s="569"/>
      <c r="AV34" s="520"/>
      <c r="AW34" s="520"/>
      <c r="AX34" s="520"/>
      <c r="AY34" s="520"/>
      <c r="AZ34" s="520"/>
      <c r="BA34" s="520"/>
      <c r="BB34" s="520"/>
      <c r="BC34" s="520"/>
      <c r="BD34" s="520"/>
      <c r="BE34" s="520"/>
      <c r="BF34" s="520"/>
      <c r="BG34" s="520"/>
      <c r="BH34" s="520"/>
      <c r="BI34" s="520"/>
      <c r="BJ34" s="520"/>
      <c r="BK34" s="520"/>
      <c r="BL34" s="520"/>
      <c r="BM34" s="520"/>
      <c r="BN34" s="520"/>
      <c r="BO34" s="520"/>
      <c r="BP34" s="520"/>
      <c r="BQ34" s="520"/>
      <c r="BR34" s="520"/>
      <c r="BS34" s="520"/>
      <c r="BT34" s="520"/>
      <c r="BU34" s="520"/>
      <c r="BV34" s="520"/>
      <c r="BW34" s="520"/>
      <c r="BX34" s="520"/>
      <c r="BY34" s="520"/>
      <c r="BZ34" s="520"/>
      <c r="CA34" s="520"/>
      <c r="CB34" s="520"/>
      <c r="CC34" s="520"/>
      <c r="CD34" s="520"/>
      <c r="CE34" s="520"/>
      <c r="CF34" s="520"/>
      <c r="CG34" s="520"/>
      <c r="CH34" s="520"/>
      <c r="CI34" s="520"/>
      <c r="CJ34" s="520"/>
      <c r="CK34" s="520"/>
      <c r="CL34" s="520"/>
      <c r="CM34" s="520"/>
      <c r="CN34" s="520"/>
      <c r="CO34" s="520"/>
      <c r="CP34" s="520"/>
      <c r="CQ34" s="520"/>
      <c r="CR34" s="520"/>
      <c r="CS34" s="520"/>
      <c r="CT34" s="520"/>
      <c r="CU34" s="520"/>
      <c r="CV34" s="520"/>
      <c r="CW34" s="520"/>
      <c r="CX34" s="520"/>
      <c r="CY34" s="520"/>
      <c r="CZ34" s="520"/>
      <c r="DA34" s="520"/>
      <c r="DB34" s="520"/>
      <c r="DC34" s="520"/>
      <c r="DD34" s="520"/>
      <c r="DE34" s="520"/>
      <c r="DF34" s="520"/>
      <c r="DG34" s="520"/>
      <c r="DH34" s="520"/>
      <c r="DI34" s="520"/>
      <c r="DJ34" s="520"/>
      <c r="DK34" s="520"/>
      <c r="DL34" s="520"/>
      <c r="DM34" s="520"/>
      <c r="DN34" s="520"/>
      <c r="DO34" s="520"/>
      <c r="DP34" s="520"/>
      <c r="DQ34" s="520"/>
      <c r="DR34" s="520"/>
      <c r="DS34" s="520"/>
      <c r="DT34" s="520"/>
      <c r="DU34" s="520"/>
      <c r="DV34" s="520"/>
      <c r="DW34" s="520"/>
      <c r="DX34" s="520"/>
      <c r="DY34" s="520"/>
      <c r="DZ34" s="520"/>
      <c r="EA34" s="520"/>
      <c r="EB34" s="520"/>
      <c r="EC34" s="520"/>
      <c r="ED34" s="520"/>
      <c r="EE34" s="520"/>
      <c r="EF34" s="520"/>
      <c r="EG34" s="520"/>
      <c r="EH34" s="520"/>
      <c r="EI34" s="520"/>
      <c r="EJ34" s="520"/>
      <c r="EK34" s="520"/>
      <c r="EL34" s="520"/>
      <c r="EM34" s="520"/>
      <c r="EN34" s="520"/>
      <c r="EO34" s="520"/>
      <c r="EP34" s="520"/>
      <c r="EQ34" s="520"/>
      <c r="ER34" s="520"/>
      <c r="ES34" s="520"/>
      <c r="ET34" s="520"/>
      <c r="EU34" s="520"/>
      <c r="EV34" s="520"/>
      <c r="EW34" s="520"/>
      <c r="EX34" s="520"/>
      <c r="EY34" s="520"/>
      <c r="EZ34" s="520"/>
      <c r="FA34" s="520"/>
      <c r="FB34" s="520"/>
      <c r="FC34" s="520"/>
      <c r="FD34" s="520"/>
      <c r="FE34" s="520"/>
      <c r="FF34" s="520"/>
      <c r="FG34" s="520"/>
      <c r="FH34" s="520"/>
      <c r="FI34" s="520"/>
      <c r="FJ34" s="520"/>
      <c r="FK34" s="520"/>
      <c r="FL34" s="520"/>
      <c r="FM34" s="520"/>
      <c r="FN34" s="520"/>
      <c r="FO34" s="520"/>
    </row>
    <row r="35" spans="1:171" ht="26.25" customHeight="1">
      <c r="A35" s="809">
        <v>3</v>
      </c>
      <c r="B35" s="810" t="s">
        <v>3185</v>
      </c>
      <c r="C35" s="809" t="s">
        <v>3194</v>
      </c>
      <c r="D35" s="811" t="s">
        <v>3195</v>
      </c>
      <c r="E35" s="812" t="s">
        <v>3196</v>
      </c>
      <c r="F35" s="810" t="s">
        <v>3197</v>
      </c>
      <c r="G35" s="813"/>
      <c r="H35" s="814" t="b">
        <v>0</v>
      </c>
      <c r="I35" s="815" t="s">
        <v>3198</v>
      </c>
      <c r="J35" s="638" t="s">
        <v>1006</v>
      </c>
      <c r="K35" s="856" t="s">
        <v>1006</v>
      </c>
      <c r="L35" s="883"/>
      <c r="M35" s="883"/>
      <c r="N35" s="883"/>
      <c r="O35" s="883"/>
      <c r="P35" s="883"/>
      <c r="Q35" s="883"/>
      <c r="R35" s="884"/>
      <c r="S35" s="883"/>
      <c r="T35" s="883"/>
      <c r="U35" s="883"/>
      <c r="V35" s="883"/>
      <c r="W35" s="48" t="s">
        <v>1006</v>
      </c>
      <c r="X35" s="48" t="s">
        <v>1006</v>
      </c>
      <c r="Y35" s="48" t="s">
        <v>1006</v>
      </c>
      <c r="Z35" s="48" t="s">
        <v>1006</v>
      </c>
      <c r="AA35" s="569"/>
      <c r="AB35" s="569"/>
      <c r="AC35" s="569"/>
      <c r="AD35" s="569"/>
      <c r="AE35" s="569"/>
      <c r="AF35" s="638"/>
      <c r="AG35" s="569"/>
      <c r="AH35" s="569"/>
      <c r="AI35" s="569"/>
      <c r="AJ35" s="569"/>
      <c r="AK35" s="569"/>
      <c r="AL35" s="569"/>
      <c r="AM35" s="569"/>
      <c r="AN35" s="569"/>
      <c r="AO35" s="569"/>
      <c r="AP35" s="569"/>
      <c r="AQ35" s="569"/>
      <c r="AR35" s="569"/>
      <c r="AS35" s="569"/>
      <c r="AT35" s="569"/>
      <c r="AU35" s="569"/>
      <c r="AV35" s="520"/>
      <c r="AW35" s="520"/>
      <c r="AX35" s="520"/>
      <c r="AY35" s="520"/>
      <c r="AZ35" s="520"/>
      <c r="BA35" s="520"/>
      <c r="BB35" s="520"/>
      <c r="BC35" s="520"/>
      <c r="BD35" s="520"/>
      <c r="BE35" s="520"/>
      <c r="BF35" s="520"/>
      <c r="BG35" s="520"/>
      <c r="BH35" s="520"/>
      <c r="BI35" s="520"/>
      <c r="BJ35" s="520"/>
      <c r="BK35" s="520"/>
      <c r="BL35" s="520"/>
      <c r="BM35" s="520"/>
      <c r="BN35" s="520"/>
      <c r="BO35" s="520"/>
      <c r="BP35" s="520"/>
      <c r="BQ35" s="520"/>
      <c r="BR35" s="520"/>
      <c r="BS35" s="520"/>
      <c r="BT35" s="520"/>
      <c r="BU35" s="520"/>
      <c r="BV35" s="520"/>
      <c r="BW35" s="520"/>
      <c r="BX35" s="520"/>
      <c r="BY35" s="520"/>
      <c r="BZ35" s="520"/>
      <c r="CA35" s="520"/>
      <c r="CB35" s="520"/>
      <c r="CC35" s="520"/>
      <c r="CD35" s="520"/>
      <c r="CE35" s="520"/>
      <c r="CF35" s="520"/>
      <c r="CG35" s="520"/>
      <c r="CH35" s="520"/>
      <c r="CI35" s="520"/>
      <c r="CJ35" s="520"/>
      <c r="CK35" s="520"/>
      <c r="CL35" s="520"/>
      <c r="CM35" s="520"/>
      <c r="CN35" s="520"/>
      <c r="CO35" s="520"/>
      <c r="CP35" s="520"/>
      <c r="CQ35" s="520"/>
      <c r="CR35" s="520"/>
      <c r="CS35" s="520"/>
      <c r="CT35" s="520"/>
      <c r="CU35" s="520"/>
      <c r="CV35" s="520"/>
      <c r="CW35" s="520"/>
      <c r="CX35" s="520"/>
      <c r="CY35" s="520"/>
      <c r="CZ35" s="520"/>
      <c r="DA35" s="520"/>
      <c r="DB35" s="520"/>
      <c r="DC35" s="520"/>
      <c r="DD35" s="520"/>
      <c r="DE35" s="520"/>
      <c r="DF35" s="520"/>
      <c r="DG35" s="520"/>
      <c r="DH35" s="520"/>
      <c r="DI35" s="520"/>
      <c r="DJ35" s="520"/>
      <c r="DK35" s="520"/>
      <c r="DL35" s="520"/>
      <c r="DM35" s="520"/>
      <c r="DN35" s="520"/>
      <c r="DO35" s="520"/>
      <c r="DP35" s="520"/>
      <c r="DQ35" s="520"/>
      <c r="DR35" s="520"/>
      <c r="DS35" s="520"/>
      <c r="DT35" s="520"/>
      <c r="DU35" s="520"/>
      <c r="DV35" s="520"/>
      <c r="DW35" s="520"/>
      <c r="DX35" s="520"/>
      <c r="DY35" s="520"/>
      <c r="DZ35" s="520"/>
      <c r="EA35" s="520"/>
      <c r="EB35" s="520"/>
      <c r="EC35" s="520"/>
      <c r="ED35" s="520"/>
      <c r="EE35" s="520"/>
      <c r="EF35" s="520"/>
      <c r="EG35" s="520"/>
      <c r="EH35" s="520"/>
      <c r="EI35" s="520"/>
      <c r="EJ35" s="520"/>
      <c r="EK35" s="520"/>
      <c r="EL35" s="520"/>
      <c r="EM35" s="520"/>
      <c r="EN35" s="520"/>
      <c r="EO35" s="520"/>
      <c r="EP35" s="520"/>
      <c r="EQ35" s="520"/>
      <c r="ER35" s="520"/>
      <c r="ES35" s="520"/>
      <c r="ET35" s="520"/>
      <c r="EU35" s="520"/>
      <c r="EV35" s="520"/>
      <c r="EW35" s="520"/>
      <c r="EX35" s="520"/>
      <c r="EY35" s="520"/>
      <c r="EZ35" s="520"/>
      <c r="FA35" s="520"/>
      <c r="FB35" s="520"/>
      <c r="FC35" s="520"/>
      <c r="FD35" s="520"/>
      <c r="FE35" s="520"/>
      <c r="FF35" s="520"/>
      <c r="FG35" s="520"/>
      <c r="FH35" s="520"/>
      <c r="FI35" s="520"/>
      <c r="FJ35" s="520"/>
      <c r="FK35" s="520"/>
      <c r="FL35" s="520"/>
      <c r="FM35" s="520"/>
      <c r="FN35" s="520"/>
      <c r="FO35" s="520"/>
    </row>
    <row r="36" spans="1:171" ht="26.25" customHeight="1">
      <c r="A36" s="550">
        <v>4</v>
      </c>
      <c r="B36" s="551" t="s">
        <v>3199</v>
      </c>
      <c r="C36" s="552" t="s">
        <v>3200</v>
      </c>
      <c r="D36" s="553" t="s">
        <v>3201</v>
      </c>
      <c r="E36" s="552">
        <v>473862803</v>
      </c>
      <c r="F36" s="648"/>
      <c r="G36" s="646" t="s">
        <v>3035</v>
      </c>
      <c r="H36" s="647" t="b">
        <v>1</v>
      </c>
      <c r="I36" s="646"/>
      <c r="J36" s="638" t="s">
        <v>98</v>
      </c>
      <c r="K36" s="856" t="s">
        <v>98</v>
      </c>
      <c r="L36" s="885"/>
      <c r="M36" s="885"/>
      <c r="N36" s="885"/>
      <c r="O36" s="885"/>
      <c r="P36" s="885"/>
      <c r="Q36" s="885"/>
      <c r="R36" s="886"/>
      <c r="S36" s="883"/>
      <c r="T36" s="883"/>
      <c r="U36" s="883"/>
      <c r="V36" s="883"/>
      <c r="W36" s="48" t="s">
        <v>1006</v>
      </c>
      <c r="X36" s="48" t="s">
        <v>1006</v>
      </c>
      <c r="Y36" s="48" t="s">
        <v>1006</v>
      </c>
      <c r="Z36" s="48" t="s">
        <v>1006</v>
      </c>
      <c r="AA36" s="569"/>
      <c r="AB36" s="569"/>
      <c r="AC36" s="569"/>
      <c r="AD36" s="569"/>
      <c r="AE36" s="569"/>
      <c r="AF36" s="638"/>
      <c r="AG36" s="569"/>
      <c r="AH36" s="569"/>
      <c r="AI36" s="569"/>
      <c r="AJ36" s="569"/>
      <c r="AK36" s="569"/>
      <c r="AL36" s="569"/>
      <c r="AM36" s="569"/>
      <c r="AN36" s="569"/>
      <c r="AO36" s="569"/>
      <c r="AP36" s="569"/>
      <c r="AQ36" s="569"/>
      <c r="AR36" s="569"/>
      <c r="AS36" s="569"/>
      <c r="AT36" s="569"/>
      <c r="AU36" s="569"/>
      <c r="AV36" s="520"/>
      <c r="AW36" s="520"/>
      <c r="AX36" s="520"/>
      <c r="AY36" s="520"/>
      <c r="AZ36" s="520"/>
      <c r="BA36" s="520"/>
      <c r="BB36" s="520"/>
      <c r="BC36" s="520"/>
      <c r="BD36" s="520"/>
      <c r="BE36" s="520"/>
      <c r="BF36" s="520"/>
      <c r="BG36" s="520"/>
      <c r="BH36" s="520"/>
      <c r="BI36" s="520"/>
      <c r="BJ36" s="520"/>
      <c r="BK36" s="520"/>
      <c r="BL36" s="520"/>
      <c r="BM36" s="520"/>
      <c r="BN36" s="520"/>
      <c r="BO36" s="520"/>
      <c r="BP36" s="520"/>
      <c r="BQ36" s="520"/>
      <c r="BR36" s="520"/>
      <c r="BS36" s="520"/>
      <c r="BT36" s="520"/>
      <c r="BU36" s="520"/>
      <c r="BV36" s="520"/>
      <c r="BW36" s="520"/>
      <c r="BX36" s="520"/>
      <c r="BY36" s="520"/>
      <c r="BZ36" s="520"/>
      <c r="CA36" s="520"/>
      <c r="CB36" s="520"/>
      <c r="CC36" s="520"/>
      <c r="CD36" s="520"/>
      <c r="CE36" s="520"/>
      <c r="CF36" s="520"/>
      <c r="CG36" s="520"/>
      <c r="CH36" s="520"/>
      <c r="CI36" s="520"/>
      <c r="CJ36" s="520"/>
      <c r="CK36" s="520"/>
      <c r="CL36" s="520"/>
      <c r="CM36" s="520"/>
      <c r="CN36" s="520"/>
      <c r="CO36" s="520"/>
      <c r="CP36" s="520"/>
      <c r="CQ36" s="520"/>
      <c r="CR36" s="520"/>
      <c r="CS36" s="520"/>
      <c r="CT36" s="520"/>
      <c r="CU36" s="520"/>
      <c r="CV36" s="520"/>
      <c r="CW36" s="520"/>
      <c r="CX36" s="520"/>
      <c r="CY36" s="520"/>
      <c r="CZ36" s="520"/>
      <c r="DA36" s="520"/>
      <c r="DB36" s="520"/>
      <c r="DC36" s="520"/>
      <c r="DD36" s="520"/>
      <c r="DE36" s="520"/>
      <c r="DF36" s="520"/>
      <c r="DG36" s="520"/>
      <c r="DH36" s="520"/>
      <c r="DI36" s="520"/>
      <c r="DJ36" s="520"/>
      <c r="DK36" s="520"/>
      <c r="DL36" s="520"/>
      <c r="DM36" s="520"/>
      <c r="DN36" s="520"/>
      <c r="DO36" s="520"/>
      <c r="DP36" s="520"/>
      <c r="DQ36" s="520"/>
      <c r="DR36" s="520"/>
      <c r="DS36" s="520"/>
      <c r="DT36" s="520"/>
      <c r="DU36" s="520"/>
      <c r="DV36" s="520"/>
      <c r="DW36" s="520"/>
      <c r="DX36" s="520"/>
      <c r="DY36" s="520"/>
      <c r="DZ36" s="520"/>
      <c r="EA36" s="520"/>
      <c r="EB36" s="520"/>
      <c r="EC36" s="520"/>
      <c r="ED36" s="520"/>
      <c r="EE36" s="520"/>
      <c r="EF36" s="520"/>
      <c r="EG36" s="520"/>
      <c r="EH36" s="520"/>
      <c r="EI36" s="520"/>
      <c r="EJ36" s="520"/>
      <c r="EK36" s="520"/>
      <c r="EL36" s="520"/>
      <c r="EM36" s="520"/>
      <c r="EN36" s="520"/>
      <c r="EO36" s="520"/>
      <c r="EP36" s="520"/>
      <c r="EQ36" s="520"/>
      <c r="ER36" s="520"/>
      <c r="ES36" s="520"/>
      <c r="ET36" s="520"/>
      <c r="EU36" s="520"/>
      <c r="EV36" s="520"/>
      <c r="EW36" s="520"/>
      <c r="EX36" s="520"/>
      <c r="EY36" s="520"/>
      <c r="EZ36" s="520"/>
      <c r="FA36" s="520"/>
      <c r="FB36" s="520"/>
      <c r="FC36" s="520"/>
      <c r="FD36" s="520"/>
      <c r="FE36" s="520"/>
      <c r="FF36" s="520"/>
      <c r="FG36" s="520"/>
      <c r="FH36" s="520"/>
      <c r="FI36" s="520"/>
      <c r="FJ36" s="520"/>
      <c r="FK36" s="520"/>
      <c r="FL36" s="520"/>
      <c r="FM36" s="520"/>
      <c r="FN36" s="520"/>
      <c r="FO36" s="520"/>
    </row>
    <row r="37" spans="1:171" ht="26.25" customHeight="1">
      <c r="A37" s="550">
        <v>4</v>
      </c>
      <c r="B37" s="551" t="s">
        <v>3199</v>
      </c>
      <c r="C37" s="552" t="s">
        <v>3202</v>
      </c>
      <c r="D37" s="553" t="s">
        <v>3203</v>
      </c>
      <c r="E37" s="552">
        <v>495611250</v>
      </c>
      <c r="F37" s="648"/>
      <c r="G37" s="646" t="s">
        <v>88</v>
      </c>
      <c r="H37" s="647" t="b">
        <v>1</v>
      </c>
      <c r="I37" s="646"/>
      <c r="J37" s="638" t="s">
        <v>98</v>
      </c>
      <c r="K37" s="856" t="s">
        <v>98</v>
      </c>
      <c r="L37" s="889" t="s">
        <v>3202</v>
      </c>
      <c r="M37" s="889" t="s">
        <v>3204</v>
      </c>
      <c r="N37" s="889" t="s">
        <v>3204</v>
      </c>
      <c r="O37" s="889" t="s">
        <v>159</v>
      </c>
      <c r="P37" s="889" t="s">
        <v>3205</v>
      </c>
      <c r="Q37" s="889"/>
      <c r="R37" s="893" t="s">
        <v>97</v>
      </c>
      <c r="S37" s="873" t="s">
        <v>3037</v>
      </c>
      <c r="T37" s="873" t="s">
        <v>3038</v>
      </c>
      <c r="U37" s="873" t="s">
        <v>3078</v>
      </c>
      <c r="V37" s="873"/>
      <c r="W37" s="48" t="s">
        <v>1006</v>
      </c>
      <c r="X37" s="48" t="s">
        <v>1006</v>
      </c>
      <c r="Y37" s="48" t="s">
        <v>1006</v>
      </c>
      <c r="Z37" s="48" t="s">
        <v>1006</v>
      </c>
      <c r="AA37" s="569"/>
      <c r="AB37" s="569"/>
      <c r="AC37" s="569"/>
      <c r="AD37" s="569"/>
      <c r="AE37" s="569"/>
      <c r="AF37" s="638"/>
      <c r="AG37" s="569"/>
      <c r="AH37" s="569"/>
      <c r="AI37" s="569"/>
      <c r="AJ37" s="569"/>
      <c r="AK37" s="569"/>
      <c r="AL37" s="569"/>
      <c r="AM37" s="569"/>
      <c r="AN37" s="569"/>
      <c r="AO37" s="569"/>
      <c r="AP37" s="569"/>
      <c r="AQ37" s="569"/>
      <c r="AR37" s="569"/>
      <c r="AS37" s="569"/>
      <c r="AT37" s="569"/>
      <c r="AU37" s="569"/>
      <c r="AV37" s="520"/>
      <c r="AW37" s="520"/>
      <c r="AX37" s="520"/>
      <c r="AY37" s="520"/>
      <c r="AZ37" s="520"/>
      <c r="BA37" s="520"/>
      <c r="BB37" s="520"/>
      <c r="BC37" s="520"/>
      <c r="BD37" s="520"/>
      <c r="BE37" s="520"/>
      <c r="BF37" s="520"/>
      <c r="BG37" s="520"/>
      <c r="BH37" s="520"/>
      <c r="BI37" s="520"/>
      <c r="BJ37" s="520"/>
      <c r="BK37" s="520"/>
      <c r="BL37" s="520"/>
      <c r="BM37" s="520"/>
      <c r="BN37" s="520"/>
      <c r="BO37" s="520"/>
      <c r="BP37" s="520"/>
      <c r="BQ37" s="520"/>
      <c r="BR37" s="520"/>
      <c r="BS37" s="520"/>
      <c r="BT37" s="520"/>
      <c r="BU37" s="520"/>
      <c r="BV37" s="520"/>
      <c r="BW37" s="520"/>
      <c r="BX37" s="520"/>
      <c r="BY37" s="520"/>
      <c r="BZ37" s="520"/>
      <c r="CA37" s="520"/>
      <c r="CB37" s="520"/>
      <c r="CC37" s="520"/>
      <c r="CD37" s="520"/>
      <c r="CE37" s="520"/>
      <c r="CF37" s="520"/>
      <c r="CG37" s="520"/>
      <c r="CH37" s="520"/>
      <c r="CI37" s="520"/>
      <c r="CJ37" s="520"/>
      <c r="CK37" s="520"/>
      <c r="CL37" s="520"/>
      <c r="CM37" s="520"/>
      <c r="CN37" s="520"/>
      <c r="CO37" s="520"/>
      <c r="CP37" s="520"/>
      <c r="CQ37" s="520"/>
      <c r="CR37" s="520"/>
      <c r="CS37" s="520"/>
      <c r="CT37" s="520"/>
      <c r="CU37" s="520"/>
      <c r="CV37" s="520"/>
      <c r="CW37" s="520"/>
      <c r="CX37" s="520"/>
      <c r="CY37" s="520"/>
      <c r="CZ37" s="520"/>
      <c r="DA37" s="520"/>
      <c r="DB37" s="520"/>
      <c r="DC37" s="520"/>
      <c r="DD37" s="520"/>
      <c r="DE37" s="520"/>
      <c r="DF37" s="520"/>
      <c r="DG37" s="520"/>
      <c r="DH37" s="520"/>
      <c r="DI37" s="520"/>
      <c r="DJ37" s="520"/>
      <c r="DK37" s="520"/>
      <c r="DL37" s="520"/>
      <c r="DM37" s="520"/>
      <c r="DN37" s="520"/>
      <c r="DO37" s="520"/>
      <c r="DP37" s="520"/>
      <c r="DQ37" s="520"/>
      <c r="DR37" s="520"/>
      <c r="DS37" s="520"/>
      <c r="DT37" s="520"/>
      <c r="DU37" s="520"/>
      <c r="DV37" s="520"/>
      <c r="DW37" s="520"/>
      <c r="DX37" s="520"/>
      <c r="DY37" s="520"/>
      <c r="DZ37" s="520"/>
      <c r="EA37" s="520"/>
      <c r="EB37" s="520"/>
      <c r="EC37" s="520"/>
      <c r="ED37" s="520"/>
      <c r="EE37" s="520"/>
      <c r="EF37" s="520"/>
      <c r="EG37" s="520"/>
      <c r="EH37" s="520"/>
      <c r="EI37" s="520"/>
      <c r="EJ37" s="520"/>
      <c r="EK37" s="520"/>
      <c r="EL37" s="520"/>
      <c r="EM37" s="520"/>
      <c r="EN37" s="520"/>
      <c r="EO37" s="520"/>
      <c r="EP37" s="520"/>
      <c r="EQ37" s="520"/>
      <c r="ER37" s="520"/>
      <c r="ES37" s="520"/>
      <c r="ET37" s="520"/>
      <c r="EU37" s="520"/>
      <c r="EV37" s="520"/>
      <c r="EW37" s="520"/>
      <c r="EX37" s="520"/>
      <c r="EY37" s="520"/>
      <c r="EZ37" s="520"/>
      <c r="FA37" s="520"/>
      <c r="FB37" s="520"/>
      <c r="FC37" s="520"/>
      <c r="FD37" s="520"/>
      <c r="FE37" s="520"/>
      <c r="FF37" s="520"/>
      <c r="FG37" s="520"/>
      <c r="FH37" s="520"/>
      <c r="FI37" s="520"/>
      <c r="FJ37" s="520"/>
      <c r="FK37" s="520"/>
      <c r="FL37" s="520"/>
      <c r="FM37" s="520"/>
      <c r="FN37" s="520"/>
      <c r="FO37" s="520"/>
    </row>
    <row r="38" spans="1:171" ht="26.25" customHeight="1">
      <c r="A38" s="550">
        <v>4</v>
      </c>
      <c r="B38" s="551" t="s">
        <v>3206</v>
      </c>
      <c r="C38" s="552" t="s">
        <v>3207</v>
      </c>
      <c r="D38" s="553" t="s">
        <v>3208</v>
      </c>
      <c r="E38" s="552" t="s">
        <v>3209</v>
      </c>
      <c r="F38" s="648"/>
      <c r="G38" s="646" t="s">
        <v>3035</v>
      </c>
      <c r="H38" s="647" t="b">
        <v>1</v>
      </c>
      <c r="I38" s="646" t="s">
        <v>88</v>
      </c>
      <c r="J38" s="638" t="s">
        <v>98</v>
      </c>
      <c r="K38" s="856" t="s">
        <v>98</v>
      </c>
      <c r="L38" s="889" t="s">
        <v>3210</v>
      </c>
      <c r="M38" s="889" t="s">
        <v>2719</v>
      </c>
      <c r="N38" s="889" t="s">
        <v>2719</v>
      </c>
      <c r="O38" s="889" t="s">
        <v>3211</v>
      </c>
      <c r="P38" s="889"/>
      <c r="Q38" s="889"/>
      <c r="R38" s="893" t="s">
        <v>97</v>
      </c>
      <c r="S38" s="873" t="s">
        <v>3065</v>
      </c>
      <c r="T38" s="873" t="s">
        <v>3105</v>
      </c>
      <c r="U38" s="873" t="s">
        <v>3078</v>
      </c>
      <c r="V38" s="873"/>
      <c r="W38" s="48" t="s">
        <v>1006</v>
      </c>
      <c r="X38" s="48" t="s">
        <v>1006</v>
      </c>
      <c r="Y38" s="48" t="s">
        <v>1006</v>
      </c>
      <c r="Z38" s="48" t="s">
        <v>1006</v>
      </c>
      <c r="AA38" s="569"/>
      <c r="AB38" s="569"/>
      <c r="AC38" s="569"/>
      <c r="AD38" s="569"/>
      <c r="AE38" s="569"/>
      <c r="AF38" s="638"/>
      <c r="AG38" s="569"/>
      <c r="AH38" s="569"/>
      <c r="AI38" s="569"/>
      <c r="AJ38" s="569"/>
      <c r="AK38" s="569"/>
      <c r="AL38" s="569"/>
      <c r="AM38" s="569"/>
      <c r="AN38" s="569"/>
      <c r="AO38" s="569"/>
      <c r="AP38" s="569"/>
      <c r="AQ38" s="569"/>
      <c r="AR38" s="569"/>
      <c r="AS38" s="569"/>
      <c r="AT38" s="569"/>
      <c r="AU38" s="569"/>
      <c r="AV38" s="520"/>
      <c r="AW38" s="520"/>
      <c r="AX38" s="520"/>
      <c r="AY38" s="520"/>
      <c r="AZ38" s="520"/>
      <c r="BA38" s="520"/>
      <c r="BB38" s="520"/>
      <c r="BC38" s="520"/>
      <c r="BD38" s="520"/>
      <c r="BE38" s="520"/>
      <c r="BF38" s="520"/>
      <c r="BG38" s="520"/>
      <c r="BH38" s="520"/>
      <c r="BI38" s="520"/>
      <c r="BJ38" s="520"/>
      <c r="BK38" s="520"/>
      <c r="BL38" s="520"/>
      <c r="BM38" s="520"/>
      <c r="BN38" s="520"/>
      <c r="BO38" s="520"/>
      <c r="BP38" s="520"/>
      <c r="BQ38" s="520"/>
      <c r="BR38" s="520"/>
      <c r="BS38" s="520"/>
      <c r="BT38" s="520"/>
      <c r="BU38" s="520"/>
      <c r="BV38" s="520"/>
      <c r="BW38" s="520"/>
      <c r="BX38" s="520"/>
      <c r="BY38" s="520"/>
      <c r="BZ38" s="520"/>
      <c r="CA38" s="520"/>
      <c r="CB38" s="520"/>
      <c r="CC38" s="520"/>
      <c r="CD38" s="520"/>
      <c r="CE38" s="520"/>
      <c r="CF38" s="520"/>
      <c r="CG38" s="520"/>
      <c r="CH38" s="520"/>
      <c r="CI38" s="520"/>
      <c r="CJ38" s="520"/>
      <c r="CK38" s="520"/>
      <c r="CL38" s="520"/>
      <c r="CM38" s="520"/>
      <c r="CN38" s="520"/>
      <c r="CO38" s="520"/>
      <c r="CP38" s="520"/>
      <c r="CQ38" s="520"/>
      <c r="CR38" s="520"/>
      <c r="CS38" s="520"/>
      <c r="CT38" s="520"/>
      <c r="CU38" s="520"/>
      <c r="CV38" s="520"/>
      <c r="CW38" s="520"/>
      <c r="CX38" s="520"/>
      <c r="CY38" s="520"/>
      <c r="CZ38" s="520"/>
      <c r="DA38" s="520"/>
      <c r="DB38" s="520"/>
      <c r="DC38" s="520"/>
      <c r="DD38" s="520"/>
      <c r="DE38" s="520"/>
      <c r="DF38" s="520"/>
      <c r="DG38" s="520"/>
      <c r="DH38" s="520"/>
      <c r="DI38" s="520"/>
      <c r="DJ38" s="520"/>
      <c r="DK38" s="520"/>
      <c r="DL38" s="520"/>
      <c r="DM38" s="520"/>
      <c r="DN38" s="520"/>
      <c r="DO38" s="520"/>
      <c r="DP38" s="520"/>
      <c r="DQ38" s="520"/>
      <c r="DR38" s="520"/>
      <c r="DS38" s="520"/>
      <c r="DT38" s="520"/>
      <c r="DU38" s="520"/>
      <c r="DV38" s="520"/>
      <c r="DW38" s="520"/>
      <c r="DX38" s="520"/>
      <c r="DY38" s="520"/>
      <c r="DZ38" s="520"/>
      <c r="EA38" s="520"/>
      <c r="EB38" s="520"/>
      <c r="EC38" s="520"/>
      <c r="ED38" s="520"/>
      <c r="EE38" s="520"/>
      <c r="EF38" s="520"/>
      <c r="EG38" s="520"/>
      <c r="EH38" s="520"/>
      <c r="EI38" s="520"/>
      <c r="EJ38" s="520"/>
      <c r="EK38" s="520"/>
      <c r="EL38" s="520"/>
      <c r="EM38" s="520"/>
      <c r="EN38" s="520"/>
      <c r="EO38" s="520"/>
      <c r="EP38" s="520"/>
      <c r="EQ38" s="520"/>
      <c r="ER38" s="520"/>
      <c r="ES38" s="520"/>
      <c r="ET38" s="520"/>
      <c r="EU38" s="520"/>
      <c r="EV38" s="520"/>
      <c r="EW38" s="520"/>
      <c r="EX38" s="520"/>
      <c r="EY38" s="520"/>
      <c r="EZ38" s="520"/>
      <c r="FA38" s="520"/>
      <c r="FB38" s="520"/>
      <c r="FC38" s="520"/>
      <c r="FD38" s="520"/>
      <c r="FE38" s="520"/>
      <c r="FF38" s="520"/>
      <c r="FG38" s="520"/>
      <c r="FH38" s="520"/>
      <c r="FI38" s="520"/>
      <c r="FJ38" s="520"/>
      <c r="FK38" s="520"/>
      <c r="FL38" s="520"/>
      <c r="FM38" s="520"/>
      <c r="FN38" s="520"/>
      <c r="FO38" s="520"/>
    </row>
    <row r="39" spans="1:171" ht="26.25" customHeight="1">
      <c r="A39" s="550">
        <v>4</v>
      </c>
      <c r="B39" s="551" t="s">
        <v>3206</v>
      </c>
      <c r="C39" s="552" t="s">
        <v>3212</v>
      </c>
      <c r="D39" s="553" t="s">
        <v>3213</v>
      </c>
      <c r="E39" s="552" t="s">
        <v>3214</v>
      </c>
      <c r="F39" s="648"/>
      <c r="G39" s="646" t="s">
        <v>3035</v>
      </c>
      <c r="H39" s="647" t="b">
        <v>1</v>
      </c>
      <c r="I39" s="646"/>
      <c r="J39" s="638" t="s">
        <v>98</v>
      </c>
      <c r="K39" s="856" t="s">
        <v>98</v>
      </c>
      <c r="L39" s="890" t="s">
        <v>3212</v>
      </c>
      <c r="M39" s="890" t="s">
        <v>2719</v>
      </c>
      <c r="N39" s="890" t="s">
        <v>2719</v>
      </c>
      <c r="O39" s="890" t="s">
        <v>2205</v>
      </c>
      <c r="P39" s="890"/>
      <c r="Q39" s="890"/>
      <c r="R39" s="894" t="s">
        <v>97</v>
      </c>
      <c r="S39" s="873" t="s">
        <v>3037</v>
      </c>
      <c r="T39" s="873" t="s">
        <v>3077</v>
      </c>
      <c r="U39" s="873" t="s">
        <v>3078</v>
      </c>
      <c r="V39" s="873"/>
      <c r="W39" s="48" t="s">
        <v>1006</v>
      </c>
      <c r="X39" s="48" t="s">
        <v>1006</v>
      </c>
      <c r="Y39" s="48" t="s">
        <v>1006</v>
      </c>
      <c r="Z39" s="48" t="s">
        <v>1006</v>
      </c>
      <c r="AA39" s="569"/>
      <c r="AB39" s="569"/>
      <c r="AC39" s="569"/>
      <c r="AD39" s="569"/>
      <c r="AE39" s="569"/>
      <c r="AF39" s="638"/>
      <c r="AG39" s="569"/>
      <c r="AH39" s="569"/>
      <c r="AI39" s="569"/>
      <c r="AJ39" s="569"/>
      <c r="AK39" s="569"/>
      <c r="AL39" s="569"/>
      <c r="AM39" s="569"/>
      <c r="AN39" s="569"/>
      <c r="AO39" s="569"/>
      <c r="AP39" s="569"/>
      <c r="AQ39" s="569"/>
      <c r="AR39" s="569"/>
      <c r="AS39" s="569"/>
      <c r="AT39" s="569"/>
      <c r="AU39" s="569"/>
      <c r="AV39" s="520"/>
      <c r="AW39" s="520"/>
      <c r="AX39" s="520"/>
      <c r="AY39" s="520"/>
      <c r="AZ39" s="520"/>
      <c r="BA39" s="520"/>
      <c r="BB39" s="520"/>
      <c r="BC39" s="520"/>
      <c r="BD39" s="520"/>
      <c r="BE39" s="520"/>
      <c r="BF39" s="520"/>
      <c r="BG39" s="520"/>
      <c r="BH39" s="520"/>
      <c r="BI39" s="520"/>
      <c r="BJ39" s="520"/>
      <c r="BK39" s="520"/>
      <c r="BL39" s="520"/>
      <c r="BM39" s="520"/>
      <c r="BN39" s="520"/>
      <c r="BO39" s="520"/>
      <c r="BP39" s="520"/>
      <c r="BQ39" s="520"/>
      <c r="BR39" s="520"/>
      <c r="BS39" s="520"/>
      <c r="BT39" s="520"/>
      <c r="BU39" s="520"/>
      <c r="BV39" s="520"/>
      <c r="BW39" s="520"/>
      <c r="BX39" s="520"/>
      <c r="BY39" s="520"/>
      <c r="BZ39" s="520"/>
      <c r="CA39" s="520"/>
      <c r="CB39" s="520"/>
      <c r="CC39" s="520"/>
      <c r="CD39" s="520"/>
      <c r="CE39" s="520"/>
      <c r="CF39" s="520"/>
      <c r="CG39" s="520"/>
      <c r="CH39" s="520"/>
      <c r="CI39" s="520"/>
      <c r="CJ39" s="520"/>
      <c r="CK39" s="520"/>
      <c r="CL39" s="520"/>
      <c r="CM39" s="520"/>
      <c r="CN39" s="520"/>
      <c r="CO39" s="520"/>
      <c r="CP39" s="520"/>
      <c r="CQ39" s="520"/>
      <c r="CR39" s="520"/>
      <c r="CS39" s="520"/>
      <c r="CT39" s="520"/>
      <c r="CU39" s="520"/>
      <c r="CV39" s="520"/>
      <c r="CW39" s="520"/>
      <c r="CX39" s="520"/>
      <c r="CY39" s="520"/>
      <c r="CZ39" s="520"/>
      <c r="DA39" s="520"/>
      <c r="DB39" s="520"/>
      <c r="DC39" s="520"/>
      <c r="DD39" s="520"/>
      <c r="DE39" s="520"/>
      <c r="DF39" s="520"/>
      <c r="DG39" s="520"/>
      <c r="DH39" s="520"/>
      <c r="DI39" s="520"/>
      <c r="DJ39" s="520"/>
      <c r="DK39" s="520"/>
      <c r="DL39" s="520"/>
      <c r="DM39" s="520"/>
      <c r="DN39" s="520"/>
      <c r="DO39" s="520"/>
      <c r="DP39" s="520"/>
      <c r="DQ39" s="520"/>
      <c r="DR39" s="520"/>
      <c r="DS39" s="520"/>
      <c r="DT39" s="520"/>
      <c r="DU39" s="520"/>
      <c r="DV39" s="520"/>
      <c r="DW39" s="520"/>
      <c r="DX39" s="520"/>
      <c r="DY39" s="520"/>
      <c r="DZ39" s="520"/>
      <c r="EA39" s="520"/>
      <c r="EB39" s="520"/>
      <c r="EC39" s="520"/>
      <c r="ED39" s="520"/>
      <c r="EE39" s="520"/>
      <c r="EF39" s="520"/>
      <c r="EG39" s="520"/>
      <c r="EH39" s="520"/>
      <c r="EI39" s="520"/>
      <c r="EJ39" s="520"/>
      <c r="EK39" s="520"/>
      <c r="EL39" s="520"/>
      <c r="EM39" s="520"/>
      <c r="EN39" s="520"/>
      <c r="EO39" s="520"/>
      <c r="EP39" s="520"/>
      <c r="EQ39" s="520"/>
      <c r="ER39" s="520"/>
      <c r="ES39" s="520"/>
      <c r="ET39" s="520"/>
      <c r="EU39" s="520"/>
      <c r="EV39" s="520"/>
      <c r="EW39" s="520"/>
      <c r="EX39" s="520"/>
      <c r="EY39" s="520"/>
      <c r="EZ39" s="520"/>
      <c r="FA39" s="520"/>
      <c r="FB39" s="520"/>
      <c r="FC39" s="520"/>
      <c r="FD39" s="520"/>
      <c r="FE39" s="520"/>
      <c r="FF39" s="520"/>
      <c r="FG39" s="520"/>
      <c r="FH39" s="520"/>
      <c r="FI39" s="520"/>
      <c r="FJ39" s="520"/>
      <c r="FK39" s="520"/>
      <c r="FL39" s="520"/>
      <c r="FM39" s="520"/>
      <c r="FN39" s="520"/>
      <c r="FO39" s="520"/>
    </row>
    <row r="40" spans="1:171" ht="26.25" customHeight="1">
      <c r="A40" s="550">
        <v>4</v>
      </c>
      <c r="B40" s="551" t="s">
        <v>3215</v>
      </c>
      <c r="C40" s="552" t="s">
        <v>3216</v>
      </c>
      <c r="D40" s="553" t="s">
        <v>3217</v>
      </c>
      <c r="E40" s="552" t="s">
        <v>3218</v>
      </c>
      <c r="F40" s="578" t="s">
        <v>3219</v>
      </c>
      <c r="G40" s="646" t="s">
        <v>3035</v>
      </c>
      <c r="H40" s="647" t="b">
        <v>1</v>
      </c>
      <c r="I40" s="646"/>
      <c r="J40" s="638" t="s">
        <v>98</v>
      </c>
      <c r="K40" s="856" t="s">
        <v>98</v>
      </c>
      <c r="L40" s="891" t="s">
        <v>3216</v>
      </c>
      <c r="M40" s="891" t="s">
        <v>3220</v>
      </c>
      <c r="N40" s="891" t="s">
        <v>3220</v>
      </c>
      <c r="O40" s="891" t="s">
        <v>3221</v>
      </c>
      <c r="P40" s="891"/>
      <c r="Q40" s="891"/>
      <c r="R40" s="895" t="s">
        <v>97</v>
      </c>
      <c r="S40" s="873" t="s">
        <v>3065</v>
      </c>
      <c r="T40" s="873" t="s">
        <v>3038</v>
      </c>
      <c r="U40" s="873" t="s">
        <v>2203</v>
      </c>
      <c r="V40" s="873"/>
      <c r="W40" s="48" t="s">
        <v>1006</v>
      </c>
      <c r="X40" s="48" t="s">
        <v>1006</v>
      </c>
      <c r="Y40" s="48" t="s">
        <v>1006</v>
      </c>
      <c r="Z40" s="48" t="s">
        <v>1006</v>
      </c>
      <c r="AA40" s="569"/>
      <c r="AB40" s="569"/>
      <c r="AC40" s="569"/>
      <c r="AD40" s="569"/>
      <c r="AE40" s="569"/>
      <c r="AF40" s="638"/>
      <c r="AG40" s="569"/>
      <c r="AH40" s="569"/>
      <c r="AI40" s="569"/>
      <c r="AJ40" s="569"/>
      <c r="AK40" s="569"/>
      <c r="AL40" s="569"/>
      <c r="AM40" s="569"/>
      <c r="AN40" s="569"/>
      <c r="AO40" s="569"/>
      <c r="AP40" s="569"/>
      <c r="AQ40" s="569"/>
      <c r="AR40" s="569"/>
      <c r="AS40" s="569"/>
      <c r="AT40" s="569"/>
      <c r="AU40" s="569"/>
      <c r="AV40" s="520"/>
      <c r="AW40" s="520"/>
      <c r="AX40" s="520"/>
      <c r="AY40" s="520"/>
      <c r="AZ40" s="520"/>
      <c r="BA40" s="520"/>
      <c r="BB40" s="520"/>
      <c r="BC40" s="520"/>
      <c r="BD40" s="520"/>
      <c r="BE40" s="520"/>
      <c r="BF40" s="520"/>
      <c r="BG40" s="520"/>
      <c r="BH40" s="520"/>
      <c r="BI40" s="520"/>
      <c r="BJ40" s="520"/>
      <c r="BK40" s="520"/>
      <c r="BL40" s="520"/>
      <c r="BM40" s="520"/>
      <c r="BN40" s="520"/>
      <c r="BO40" s="520"/>
      <c r="BP40" s="520"/>
      <c r="BQ40" s="520"/>
      <c r="BR40" s="520"/>
      <c r="BS40" s="520"/>
      <c r="BT40" s="520"/>
      <c r="BU40" s="520"/>
      <c r="BV40" s="520"/>
      <c r="BW40" s="520"/>
      <c r="BX40" s="520"/>
      <c r="BY40" s="520"/>
      <c r="BZ40" s="520"/>
      <c r="CA40" s="520"/>
      <c r="CB40" s="520"/>
      <c r="CC40" s="520"/>
      <c r="CD40" s="520"/>
      <c r="CE40" s="520"/>
      <c r="CF40" s="520"/>
      <c r="CG40" s="520"/>
      <c r="CH40" s="520"/>
      <c r="CI40" s="520"/>
      <c r="CJ40" s="520"/>
      <c r="CK40" s="520"/>
      <c r="CL40" s="520"/>
      <c r="CM40" s="520"/>
      <c r="CN40" s="520"/>
      <c r="CO40" s="520"/>
      <c r="CP40" s="520"/>
      <c r="CQ40" s="520"/>
      <c r="CR40" s="520"/>
      <c r="CS40" s="520"/>
      <c r="CT40" s="520"/>
      <c r="CU40" s="520"/>
      <c r="CV40" s="520"/>
      <c r="CW40" s="520"/>
      <c r="CX40" s="520"/>
      <c r="CY40" s="520"/>
      <c r="CZ40" s="520"/>
      <c r="DA40" s="520"/>
      <c r="DB40" s="520"/>
      <c r="DC40" s="520"/>
      <c r="DD40" s="520"/>
      <c r="DE40" s="520"/>
      <c r="DF40" s="520"/>
      <c r="DG40" s="520"/>
      <c r="DH40" s="520"/>
      <c r="DI40" s="520"/>
      <c r="DJ40" s="520"/>
      <c r="DK40" s="520"/>
      <c r="DL40" s="520"/>
      <c r="DM40" s="520"/>
      <c r="DN40" s="520"/>
      <c r="DO40" s="520"/>
      <c r="DP40" s="520"/>
      <c r="DQ40" s="520"/>
      <c r="DR40" s="520"/>
      <c r="DS40" s="520"/>
      <c r="DT40" s="520"/>
      <c r="DU40" s="520"/>
      <c r="DV40" s="520"/>
      <c r="DW40" s="520"/>
      <c r="DX40" s="520"/>
      <c r="DY40" s="520"/>
      <c r="DZ40" s="520"/>
      <c r="EA40" s="520"/>
      <c r="EB40" s="520"/>
      <c r="EC40" s="520"/>
      <c r="ED40" s="520"/>
      <c r="EE40" s="520"/>
      <c r="EF40" s="520"/>
      <c r="EG40" s="520"/>
      <c r="EH40" s="520"/>
      <c r="EI40" s="520"/>
      <c r="EJ40" s="520"/>
      <c r="EK40" s="520"/>
      <c r="EL40" s="520"/>
      <c r="EM40" s="520"/>
      <c r="EN40" s="520"/>
      <c r="EO40" s="520"/>
      <c r="EP40" s="520"/>
      <c r="EQ40" s="520"/>
      <c r="ER40" s="520"/>
      <c r="ES40" s="520"/>
      <c r="ET40" s="520"/>
      <c r="EU40" s="520"/>
      <c r="EV40" s="520"/>
      <c r="EW40" s="520"/>
      <c r="EX40" s="520"/>
      <c r="EY40" s="520"/>
      <c r="EZ40" s="520"/>
      <c r="FA40" s="520"/>
      <c r="FB40" s="520"/>
      <c r="FC40" s="520"/>
      <c r="FD40" s="520"/>
      <c r="FE40" s="520"/>
      <c r="FF40" s="520"/>
      <c r="FG40" s="520"/>
      <c r="FH40" s="520"/>
      <c r="FI40" s="520"/>
      <c r="FJ40" s="520"/>
      <c r="FK40" s="520"/>
      <c r="FL40" s="520"/>
      <c r="FM40" s="520"/>
      <c r="FN40" s="520"/>
      <c r="FO40" s="520"/>
    </row>
    <row r="41" spans="1:171" ht="26.25" customHeight="1">
      <c r="A41" s="550">
        <v>4</v>
      </c>
      <c r="B41" s="551" t="s">
        <v>3215</v>
      </c>
      <c r="C41" s="552" t="s">
        <v>3222</v>
      </c>
      <c r="D41" s="553" t="s">
        <v>3223</v>
      </c>
      <c r="E41" s="552" t="s">
        <v>3224</v>
      </c>
      <c r="F41" s="578" t="s">
        <v>88</v>
      </c>
      <c r="G41" s="646" t="s">
        <v>3035</v>
      </c>
      <c r="H41" s="647" t="b">
        <v>1</v>
      </c>
      <c r="I41" s="646" t="s">
        <v>88</v>
      </c>
      <c r="J41" s="638" t="s">
        <v>98</v>
      </c>
      <c r="K41" s="875" t="s">
        <v>98</v>
      </c>
      <c r="L41" s="890" t="s">
        <v>3225</v>
      </c>
      <c r="M41" s="890" t="s">
        <v>3226</v>
      </c>
      <c r="N41" s="890" t="s">
        <v>3226</v>
      </c>
      <c r="O41" s="890" t="s">
        <v>3227</v>
      </c>
      <c r="P41" s="890"/>
      <c r="Q41" s="890"/>
      <c r="R41" s="894" t="s">
        <v>97</v>
      </c>
      <c r="S41" s="873" t="s">
        <v>3065</v>
      </c>
      <c r="T41" s="873" t="s">
        <v>3105</v>
      </c>
      <c r="U41" s="873" t="s">
        <v>2203</v>
      </c>
      <c r="V41" s="873"/>
      <c r="W41" s="48" t="s">
        <v>1006</v>
      </c>
      <c r="X41" s="48" t="s">
        <v>1006</v>
      </c>
      <c r="Y41" s="48" t="s">
        <v>1006</v>
      </c>
      <c r="Z41" s="48" t="s">
        <v>1006</v>
      </c>
      <c r="AA41" s="569"/>
      <c r="AB41" s="569"/>
      <c r="AC41" s="569"/>
      <c r="AD41" s="569"/>
      <c r="AE41" s="569"/>
      <c r="AF41" s="638"/>
      <c r="AG41" s="569"/>
      <c r="AH41" s="569"/>
      <c r="AI41" s="569"/>
      <c r="AJ41" s="569"/>
      <c r="AK41" s="569"/>
      <c r="AL41" s="569"/>
      <c r="AM41" s="569"/>
      <c r="AN41" s="569"/>
      <c r="AO41" s="569"/>
      <c r="AP41" s="569"/>
      <c r="AQ41" s="569"/>
      <c r="AR41" s="569"/>
      <c r="AS41" s="569"/>
      <c r="AT41" s="569"/>
      <c r="AU41" s="569"/>
      <c r="AV41" s="520"/>
      <c r="AW41" s="520"/>
      <c r="AX41" s="520"/>
      <c r="AY41" s="520"/>
      <c r="AZ41" s="520"/>
      <c r="BA41" s="520"/>
      <c r="BB41" s="520"/>
      <c r="BC41" s="520"/>
      <c r="BD41" s="520"/>
      <c r="BE41" s="520"/>
      <c r="BF41" s="520"/>
      <c r="BG41" s="520"/>
      <c r="BH41" s="520"/>
      <c r="BI41" s="520"/>
      <c r="BJ41" s="520"/>
      <c r="BK41" s="520"/>
      <c r="BL41" s="520"/>
      <c r="BM41" s="520"/>
      <c r="BN41" s="520"/>
      <c r="BO41" s="520"/>
      <c r="BP41" s="520"/>
      <c r="BQ41" s="520"/>
      <c r="BR41" s="520"/>
      <c r="BS41" s="520"/>
      <c r="BT41" s="520"/>
      <c r="BU41" s="520"/>
      <c r="BV41" s="520"/>
      <c r="BW41" s="520"/>
      <c r="BX41" s="520"/>
      <c r="BY41" s="520"/>
      <c r="BZ41" s="520"/>
      <c r="CA41" s="520"/>
      <c r="CB41" s="520"/>
      <c r="CC41" s="520"/>
      <c r="CD41" s="520"/>
      <c r="CE41" s="520"/>
      <c r="CF41" s="520"/>
      <c r="CG41" s="520"/>
      <c r="CH41" s="520"/>
      <c r="CI41" s="520"/>
      <c r="CJ41" s="520"/>
      <c r="CK41" s="520"/>
      <c r="CL41" s="520"/>
      <c r="CM41" s="520"/>
      <c r="CN41" s="520"/>
      <c r="CO41" s="520"/>
      <c r="CP41" s="520"/>
      <c r="CQ41" s="520"/>
      <c r="CR41" s="520"/>
      <c r="CS41" s="520"/>
      <c r="CT41" s="520"/>
      <c r="CU41" s="520"/>
      <c r="CV41" s="520"/>
      <c r="CW41" s="520"/>
      <c r="CX41" s="520"/>
      <c r="CY41" s="520"/>
      <c r="CZ41" s="520"/>
      <c r="DA41" s="520"/>
      <c r="DB41" s="520"/>
      <c r="DC41" s="520"/>
      <c r="DD41" s="520"/>
      <c r="DE41" s="520"/>
      <c r="DF41" s="520"/>
      <c r="DG41" s="520"/>
      <c r="DH41" s="520"/>
      <c r="DI41" s="520"/>
      <c r="DJ41" s="520"/>
      <c r="DK41" s="520"/>
      <c r="DL41" s="520"/>
      <c r="DM41" s="520"/>
      <c r="DN41" s="520"/>
      <c r="DO41" s="520"/>
      <c r="DP41" s="520"/>
      <c r="DQ41" s="520"/>
      <c r="DR41" s="520"/>
      <c r="DS41" s="520"/>
      <c r="DT41" s="520"/>
      <c r="DU41" s="520"/>
      <c r="DV41" s="520"/>
      <c r="DW41" s="520"/>
      <c r="DX41" s="520"/>
      <c r="DY41" s="520"/>
      <c r="DZ41" s="520"/>
      <c r="EA41" s="520"/>
      <c r="EB41" s="520"/>
      <c r="EC41" s="520"/>
      <c r="ED41" s="520"/>
      <c r="EE41" s="520"/>
      <c r="EF41" s="520"/>
      <c r="EG41" s="520"/>
      <c r="EH41" s="520"/>
      <c r="EI41" s="520"/>
      <c r="EJ41" s="520"/>
      <c r="EK41" s="520"/>
      <c r="EL41" s="520"/>
      <c r="EM41" s="520"/>
      <c r="EN41" s="520"/>
      <c r="EO41" s="520"/>
      <c r="EP41" s="520"/>
      <c r="EQ41" s="520"/>
      <c r="ER41" s="520"/>
      <c r="ES41" s="520"/>
      <c r="ET41" s="520"/>
      <c r="EU41" s="520"/>
      <c r="EV41" s="520"/>
      <c r="EW41" s="520"/>
      <c r="EX41" s="520"/>
      <c r="EY41" s="520"/>
      <c r="EZ41" s="520"/>
      <c r="FA41" s="520"/>
      <c r="FB41" s="520"/>
      <c r="FC41" s="520"/>
      <c r="FD41" s="520"/>
      <c r="FE41" s="520"/>
      <c r="FF41" s="520"/>
      <c r="FG41" s="520"/>
      <c r="FH41" s="520"/>
      <c r="FI41" s="520"/>
      <c r="FJ41" s="520"/>
      <c r="FK41" s="520"/>
      <c r="FL41" s="520"/>
      <c r="FM41" s="520"/>
      <c r="FN41" s="520"/>
      <c r="FO41" s="520"/>
    </row>
    <row r="42" spans="1:171" ht="26.25" customHeight="1">
      <c r="A42" s="550">
        <v>4</v>
      </c>
      <c r="B42" s="551" t="s">
        <v>3228</v>
      </c>
      <c r="C42" s="552" t="s">
        <v>3229</v>
      </c>
      <c r="D42" s="552" t="s">
        <v>3230</v>
      </c>
      <c r="E42" s="552" t="s">
        <v>3231</v>
      </c>
      <c r="F42" s="578" t="s">
        <v>3232</v>
      </c>
      <c r="G42" s="646" t="s">
        <v>3052</v>
      </c>
      <c r="H42" s="647" t="b">
        <v>1</v>
      </c>
      <c r="I42" s="646"/>
      <c r="J42" s="874" t="s">
        <v>98</v>
      </c>
      <c r="K42" s="862" t="s">
        <v>98</v>
      </c>
      <c r="L42" s="891" t="s">
        <v>3229</v>
      </c>
      <c r="M42" s="891" t="s">
        <v>3233</v>
      </c>
      <c r="N42" s="891" t="s">
        <v>3233</v>
      </c>
      <c r="O42" s="891" t="s">
        <v>3234</v>
      </c>
      <c r="P42" s="891"/>
      <c r="Q42" s="891"/>
      <c r="R42" s="895" t="s">
        <v>97</v>
      </c>
      <c r="S42" s="873" t="s">
        <v>3037</v>
      </c>
      <c r="T42" s="873" t="s">
        <v>3105</v>
      </c>
      <c r="U42" s="873" t="s">
        <v>3078</v>
      </c>
      <c r="V42" s="873"/>
      <c r="W42" s="48" t="s">
        <v>1006</v>
      </c>
      <c r="X42" s="48" t="s">
        <v>1006</v>
      </c>
      <c r="Y42" s="48" t="s">
        <v>1006</v>
      </c>
      <c r="Z42" s="48" t="s">
        <v>1006</v>
      </c>
      <c r="AA42" s="569"/>
      <c r="AB42" s="569"/>
      <c r="AC42" s="569"/>
      <c r="AD42" s="569"/>
      <c r="AE42" s="569"/>
      <c r="AF42" s="638"/>
      <c r="AG42" s="569"/>
      <c r="AH42" s="569"/>
      <c r="AI42" s="569"/>
      <c r="AJ42" s="569"/>
      <c r="AK42" s="569"/>
      <c r="AL42" s="569"/>
      <c r="AM42" s="569"/>
      <c r="AN42" s="569"/>
      <c r="AO42" s="569"/>
      <c r="AP42" s="569"/>
      <c r="AQ42" s="569"/>
      <c r="AR42" s="569"/>
      <c r="AS42" s="569"/>
      <c r="AT42" s="569"/>
      <c r="AU42" s="569"/>
      <c r="AV42" s="520"/>
      <c r="AW42" s="520"/>
      <c r="AX42" s="520"/>
      <c r="AY42" s="520"/>
      <c r="AZ42" s="520"/>
      <c r="BA42" s="520"/>
      <c r="BB42" s="520"/>
      <c r="BC42" s="520"/>
      <c r="BD42" s="520"/>
      <c r="BE42" s="520"/>
      <c r="BF42" s="520"/>
      <c r="BG42" s="520"/>
      <c r="BH42" s="520"/>
      <c r="BI42" s="520"/>
      <c r="BJ42" s="520"/>
      <c r="BK42" s="520"/>
      <c r="BL42" s="520"/>
      <c r="BM42" s="520"/>
      <c r="BN42" s="520"/>
      <c r="BO42" s="520"/>
      <c r="BP42" s="520"/>
      <c r="BQ42" s="520"/>
      <c r="BR42" s="520"/>
      <c r="BS42" s="520"/>
      <c r="BT42" s="520"/>
      <c r="BU42" s="520"/>
      <c r="BV42" s="520"/>
      <c r="BW42" s="520"/>
      <c r="BX42" s="520"/>
      <c r="BY42" s="520"/>
      <c r="BZ42" s="520"/>
      <c r="CA42" s="520"/>
      <c r="CB42" s="520"/>
      <c r="CC42" s="520"/>
      <c r="CD42" s="520"/>
      <c r="CE42" s="520"/>
      <c r="CF42" s="520"/>
      <c r="CG42" s="520"/>
      <c r="CH42" s="520"/>
      <c r="CI42" s="520"/>
      <c r="CJ42" s="520"/>
      <c r="CK42" s="520"/>
      <c r="CL42" s="520"/>
      <c r="CM42" s="520"/>
      <c r="CN42" s="520"/>
      <c r="CO42" s="520"/>
      <c r="CP42" s="520"/>
      <c r="CQ42" s="520"/>
      <c r="CR42" s="520"/>
      <c r="CS42" s="520"/>
      <c r="CT42" s="520"/>
      <c r="CU42" s="520"/>
      <c r="CV42" s="520"/>
      <c r="CW42" s="520"/>
      <c r="CX42" s="520"/>
      <c r="CY42" s="520"/>
      <c r="CZ42" s="520"/>
      <c r="DA42" s="520"/>
      <c r="DB42" s="520"/>
      <c r="DC42" s="520"/>
      <c r="DD42" s="520"/>
      <c r="DE42" s="520"/>
      <c r="DF42" s="520"/>
      <c r="DG42" s="520"/>
      <c r="DH42" s="520"/>
      <c r="DI42" s="520"/>
      <c r="DJ42" s="520"/>
      <c r="DK42" s="520"/>
      <c r="DL42" s="520"/>
      <c r="DM42" s="520"/>
      <c r="DN42" s="520"/>
      <c r="DO42" s="520"/>
      <c r="DP42" s="520"/>
      <c r="DQ42" s="520"/>
      <c r="DR42" s="520"/>
      <c r="DS42" s="520"/>
      <c r="DT42" s="520"/>
      <c r="DU42" s="520"/>
      <c r="DV42" s="520"/>
      <c r="DW42" s="520"/>
      <c r="DX42" s="520"/>
      <c r="DY42" s="520"/>
      <c r="DZ42" s="520"/>
      <c r="EA42" s="520"/>
      <c r="EB42" s="520"/>
      <c r="EC42" s="520"/>
      <c r="ED42" s="520"/>
      <c r="EE42" s="520"/>
      <c r="EF42" s="520"/>
      <c r="EG42" s="520"/>
      <c r="EH42" s="520"/>
      <c r="EI42" s="520"/>
      <c r="EJ42" s="520"/>
      <c r="EK42" s="520"/>
      <c r="EL42" s="520"/>
      <c r="EM42" s="520"/>
      <c r="EN42" s="520"/>
      <c r="EO42" s="520"/>
      <c r="EP42" s="520"/>
      <c r="EQ42" s="520"/>
      <c r="ER42" s="520"/>
      <c r="ES42" s="520"/>
      <c r="ET42" s="520"/>
      <c r="EU42" s="520"/>
      <c r="EV42" s="520"/>
      <c r="EW42" s="520"/>
      <c r="EX42" s="520"/>
      <c r="EY42" s="520"/>
      <c r="EZ42" s="520"/>
      <c r="FA42" s="520"/>
      <c r="FB42" s="520"/>
      <c r="FC42" s="520"/>
      <c r="FD42" s="520"/>
      <c r="FE42" s="520"/>
      <c r="FF42" s="520"/>
      <c r="FG42" s="520"/>
      <c r="FH42" s="520"/>
      <c r="FI42" s="520"/>
      <c r="FJ42" s="520"/>
      <c r="FK42" s="520"/>
      <c r="FL42" s="520"/>
      <c r="FM42" s="520"/>
      <c r="FN42" s="520"/>
      <c r="FO42" s="520"/>
    </row>
    <row r="43" spans="1:171" ht="26.25" customHeight="1">
      <c r="A43" s="550">
        <v>4</v>
      </c>
      <c r="B43" s="551" t="s">
        <v>3235</v>
      </c>
      <c r="C43" s="552" t="s">
        <v>3236</v>
      </c>
      <c r="D43" s="552" t="s">
        <v>3237</v>
      </c>
      <c r="E43" s="552" t="s">
        <v>3238</v>
      </c>
      <c r="F43" s="578" t="s">
        <v>3239</v>
      </c>
      <c r="G43" s="646" t="s">
        <v>3052</v>
      </c>
      <c r="H43" s="647" t="b">
        <v>1</v>
      </c>
      <c r="I43" s="646" t="s">
        <v>3125</v>
      </c>
      <c r="J43" s="638" t="s">
        <v>98</v>
      </c>
      <c r="K43" s="876" t="s">
        <v>98</v>
      </c>
      <c r="L43" s="890" t="s">
        <v>3240</v>
      </c>
      <c r="M43" s="890" t="s">
        <v>3241</v>
      </c>
      <c r="N43" s="890" t="s">
        <v>3242</v>
      </c>
      <c r="O43" s="890" t="s">
        <v>3243</v>
      </c>
      <c r="P43" s="890"/>
      <c r="Q43" s="890"/>
      <c r="R43" s="894" t="s">
        <v>97</v>
      </c>
      <c r="S43" s="873" t="s">
        <v>3037</v>
      </c>
      <c r="T43" s="873" t="s">
        <v>3077</v>
      </c>
      <c r="U43" s="873" t="s">
        <v>3078</v>
      </c>
      <c r="V43" s="873"/>
      <c r="W43" s="48" t="s">
        <v>1006</v>
      </c>
      <c r="X43" s="48" t="s">
        <v>1006</v>
      </c>
      <c r="Y43" s="48" t="s">
        <v>1006</v>
      </c>
      <c r="Z43" s="48" t="s">
        <v>1006</v>
      </c>
      <c r="AA43" s="569"/>
      <c r="AB43" s="569"/>
      <c r="AC43" s="569"/>
      <c r="AD43" s="569"/>
      <c r="AE43" s="569"/>
      <c r="AF43" s="638"/>
      <c r="AG43" s="569"/>
      <c r="AH43" s="569"/>
      <c r="AI43" s="569"/>
      <c r="AJ43" s="569"/>
      <c r="AK43" s="569"/>
      <c r="AL43" s="569"/>
      <c r="AM43" s="569"/>
      <c r="AN43" s="569"/>
      <c r="AO43" s="569"/>
      <c r="AP43" s="569"/>
      <c r="AQ43" s="569"/>
      <c r="AR43" s="569"/>
      <c r="AS43" s="569"/>
      <c r="AT43" s="569"/>
      <c r="AU43" s="569"/>
      <c r="AV43" s="520"/>
      <c r="AW43" s="520"/>
      <c r="AX43" s="520"/>
      <c r="AY43" s="520"/>
      <c r="AZ43" s="520"/>
      <c r="BA43" s="520"/>
      <c r="BB43" s="520"/>
      <c r="BC43" s="520"/>
      <c r="BD43" s="520"/>
      <c r="BE43" s="520"/>
      <c r="BF43" s="520"/>
      <c r="BG43" s="520"/>
      <c r="BH43" s="520"/>
      <c r="BI43" s="520"/>
      <c r="BJ43" s="520"/>
      <c r="BK43" s="520"/>
      <c r="BL43" s="520"/>
      <c r="BM43" s="520"/>
      <c r="BN43" s="520"/>
      <c r="BO43" s="520"/>
      <c r="BP43" s="520"/>
      <c r="BQ43" s="520"/>
      <c r="BR43" s="520"/>
      <c r="BS43" s="520"/>
      <c r="BT43" s="520"/>
      <c r="BU43" s="520"/>
      <c r="BV43" s="520"/>
      <c r="BW43" s="520"/>
      <c r="BX43" s="520"/>
      <c r="BY43" s="520"/>
      <c r="BZ43" s="520"/>
      <c r="CA43" s="520"/>
      <c r="CB43" s="520"/>
      <c r="CC43" s="520"/>
      <c r="CD43" s="520"/>
      <c r="CE43" s="520"/>
      <c r="CF43" s="520"/>
      <c r="CG43" s="520"/>
      <c r="CH43" s="520"/>
      <c r="CI43" s="520"/>
      <c r="CJ43" s="520"/>
      <c r="CK43" s="520"/>
      <c r="CL43" s="520"/>
      <c r="CM43" s="520"/>
      <c r="CN43" s="520"/>
      <c r="CO43" s="520"/>
      <c r="CP43" s="520"/>
      <c r="CQ43" s="520"/>
      <c r="CR43" s="520"/>
      <c r="CS43" s="520"/>
      <c r="CT43" s="520"/>
      <c r="CU43" s="520"/>
      <c r="CV43" s="520"/>
      <c r="CW43" s="520"/>
      <c r="CX43" s="520"/>
      <c r="CY43" s="520"/>
      <c r="CZ43" s="520"/>
      <c r="DA43" s="520"/>
      <c r="DB43" s="520"/>
      <c r="DC43" s="520"/>
      <c r="DD43" s="520"/>
      <c r="DE43" s="520"/>
      <c r="DF43" s="520"/>
      <c r="DG43" s="520"/>
      <c r="DH43" s="520"/>
      <c r="DI43" s="520"/>
      <c r="DJ43" s="520"/>
      <c r="DK43" s="520"/>
      <c r="DL43" s="520"/>
      <c r="DM43" s="520"/>
      <c r="DN43" s="520"/>
      <c r="DO43" s="520"/>
      <c r="DP43" s="520"/>
      <c r="DQ43" s="520"/>
      <c r="DR43" s="520"/>
      <c r="DS43" s="520"/>
      <c r="DT43" s="520"/>
      <c r="DU43" s="520"/>
      <c r="DV43" s="520"/>
      <c r="DW43" s="520"/>
      <c r="DX43" s="520"/>
      <c r="DY43" s="520"/>
      <c r="DZ43" s="520"/>
      <c r="EA43" s="520"/>
      <c r="EB43" s="520"/>
      <c r="EC43" s="520"/>
      <c r="ED43" s="520"/>
      <c r="EE43" s="520"/>
      <c r="EF43" s="520"/>
      <c r="EG43" s="520"/>
      <c r="EH43" s="520"/>
      <c r="EI43" s="520"/>
      <c r="EJ43" s="520"/>
      <c r="EK43" s="520"/>
      <c r="EL43" s="520"/>
      <c r="EM43" s="520"/>
      <c r="EN43" s="520"/>
      <c r="EO43" s="520"/>
      <c r="EP43" s="520"/>
      <c r="EQ43" s="520"/>
      <c r="ER43" s="520"/>
      <c r="ES43" s="520"/>
      <c r="ET43" s="520"/>
      <c r="EU43" s="520"/>
      <c r="EV43" s="520"/>
      <c r="EW43" s="520"/>
      <c r="EX43" s="520"/>
      <c r="EY43" s="520"/>
      <c r="EZ43" s="520"/>
      <c r="FA43" s="520"/>
      <c r="FB43" s="520"/>
      <c r="FC43" s="520"/>
      <c r="FD43" s="520"/>
      <c r="FE43" s="520"/>
      <c r="FF43" s="520"/>
      <c r="FG43" s="520"/>
      <c r="FH43" s="520"/>
      <c r="FI43" s="520"/>
      <c r="FJ43" s="520"/>
      <c r="FK43" s="520"/>
      <c r="FL43" s="520"/>
      <c r="FM43" s="520"/>
      <c r="FN43" s="520"/>
      <c r="FO43" s="520"/>
    </row>
    <row r="44" spans="1:171" ht="26.25" customHeight="1">
      <c r="A44" s="550">
        <v>4</v>
      </c>
      <c r="B44" s="551" t="s">
        <v>3244</v>
      </c>
      <c r="C44" s="552" t="s">
        <v>3245</v>
      </c>
      <c r="D44" s="553" t="s">
        <v>3246</v>
      </c>
      <c r="E44" s="552" t="s">
        <v>3247</v>
      </c>
      <c r="F44" s="649" t="s">
        <v>3248</v>
      </c>
      <c r="G44" s="646" t="s">
        <v>3052</v>
      </c>
      <c r="H44" s="647" t="b">
        <v>0</v>
      </c>
      <c r="I44" s="646" t="s">
        <v>88</v>
      </c>
      <c r="J44" s="638" t="s">
        <v>98</v>
      </c>
      <c r="K44" s="856" t="s">
        <v>98</v>
      </c>
      <c r="L44" s="881"/>
      <c r="M44" s="881"/>
      <c r="N44" s="881"/>
      <c r="O44" s="881"/>
      <c r="P44" s="881"/>
      <c r="Q44" s="881"/>
      <c r="R44" s="882"/>
      <c r="S44" s="883"/>
      <c r="T44" s="883"/>
      <c r="U44" s="883"/>
      <c r="V44" s="883"/>
      <c r="W44" s="48" t="s">
        <v>1006</v>
      </c>
      <c r="X44" s="48" t="s">
        <v>1006</v>
      </c>
      <c r="Y44" s="48" t="s">
        <v>1006</v>
      </c>
      <c r="Z44" s="48" t="s">
        <v>1006</v>
      </c>
      <c r="AA44" s="569"/>
      <c r="AB44" s="569"/>
      <c r="AC44" s="569"/>
      <c r="AD44" s="569"/>
      <c r="AE44" s="569"/>
      <c r="AF44" s="638"/>
      <c r="AG44" s="569"/>
      <c r="AH44" s="569"/>
      <c r="AI44" s="569"/>
      <c r="AJ44" s="569"/>
      <c r="AK44" s="569"/>
      <c r="AL44" s="569"/>
      <c r="AM44" s="569"/>
      <c r="AN44" s="569"/>
      <c r="AO44" s="569"/>
      <c r="AP44" s="569"/>
      <c r="AQ44" s="569"/>
      <c r="AR44" s="569"/>
      <c r="AS44" s="569"/>
      <c r="AT44" s="569"/>
      <c r="AU44" s="569"/>
      <c r="AV44" s="520"/>
      <c r="AW44" s="520"/>
      <c r="AX44" s="520"/>
      <c r="AY44" s="520"/>
      <c r="AZ44" s="520"/>
      <c r="BA44" s="520"/>
      <c r="BB44" s="520"/>
      <c r="BC44" s="520"/>
      <c r="BD44" s="520"/>
      <c r="BE44" s="520"/>
      <c r="BF44" s="520"/>
      <c r="BG44" s="520"/>
      <c r="BH44" s="520"/>
      <c r="BI44" s="520"/>
      <c r="BJ44" s="520"/>
      <c r="BK44" s="520"/>
      <c r="BL44" s="520"/>
      <c r="BM44" s="520"/>
      <c r="BN44" s="520"/>
      <c r="BO44" s="520"/>
      <c r="BP44" s="520"/>
      <c r="BQ44" s="520"/>
      <c r="BR44" s="520"/>
      <c r="BS44" s="520"/>
      <c r="BT44" s="520"/>
      <c r="BU44" s="520"/>
      <c r="BV44" s="520"/>
      <c r="BW44" s="520"/>
      <c r="BX44" s="520"/>
      <c r="BY44" s="520"/>
      <c r="BZ44" s="520"/>
      <c r="CA44" s="520"/>
      <c r="CB44" s="520"/>
      <c r="CC44" s="520"/>
      <c r="CD44" s="520"/>
      <c r="CE44" s="520"/>
      <c r="CF44" s="520"/>
      <c r="CG44" s="520"/>
      <c r="CH44" s="520"/>
      <c r="CI44" s="520"/>
      <c r="CJ44" s="520"/>
      <c r="CK44" s="520"/>
      <c r="CL44" s="520"/>
      <c r="CM44" s="520"/>
      <c r="CN44" s="520"/>
      <c r="CO44" s="520"/>
      <c r="CP44" s="520"/>
      <c r="CQ44" s="520"/>
      <c r="CR44" s="520"/>
      <c r="CS44" s="520"/>
      <c r="CT44" s="520"/>
      <c r="CU44" s="520"/>
      <c r="CV44" s="520"/>
      <c r="CW44" s="520"/>
      <c r="CX44" s="520"/>
      <c r="CY44" s="520"/>
      <c r="CZ44" s="520"/>
      <c r="DA44" s="520"/>
      <c r="DB44" s="520"/>
      <c r="DC44" s="520"/>
      <c r="DD44" s="520"/>
      <c r="DE44" s="520"/>
      <c r="DF44" s="520"/>
      <c r="DG44" s="520"/>
      <c r="DH44" s="520"/>
      <c r="DI44" s="520"/>
      <c r="DJ44" s="520"/>
      <c r="DK44" s="520"/>
      <c r="DL44" s="520"/>
      <c r="DM44" s="520"/>
      <c r="DN44" s="520"/>
      <c r="DO44" s="520"/>
      <c r="DP44" s="520"/>
      <c r="DQ44" s="520"/>
      <c r="DR44" s="520"/>
      <c r="DS44" s="520"/>
      <c r="DT44" s="520"/>
      <c r="DU44" s="520"/>
      <c r="DV44" s="520"/>
      <c r="DW44" s="520"/>
      <c r="DX44" s="520"/>
      <c r="DY44" s="520"/>
      <c r="DZ44" s="520"/>
      <c r="EA44" s="520"/>
      <c r="EB44" s="520"/>
      <c r="EC44" s="520"/>
      <c r="ED44" s="520"/>
      <c r="EE44" s="520"/>
      <c r="EF44" s="520"/>
      <c r="EG44" s="520"/>
      <c r="EH44" s="520"/>
      <c r="EI44" s="520"/>
      <c r="EJ44" s="520"/>
      <c r="EK44" s="520"/>
      <c r="EL44" s="520"/>
      <c r="EM44" s="520"/>
      <c r="EN44" s="520"/>
      <c r="EO44" s="520"/>
      <c r="EP44" s="520"/>
      <c r="EQ44" s="520"/>
      <c r="ER44" s="520"/>
      <c r="ES44" s="520"/>
      <c r="ET44" s="520"/>
      <c r="EU44" s="520"/>
      <c r="EV44" s="520"/>
      <c r="EW44" s="520"/>
      <c r="EX44" s="520"/>
      <c r="EY44" s="520"/>
      <c r="EZ44" s="520"/>
      <c r="FA44" s="520"/>
      <c r="FB44" s="520"/>
      <c r="FC44" s="520"/>
      <c r="FD44" s="520"/>
      <c r="FE44" s="520"/>
      <c r="FF44" s="520"/>
      <c r="FG44" s="520"/>
      <c r="FH44" s="520"/>
      <c r="FI44" s="520"/>
      <c r="FJ44" s="520"/>
      <c r="FK44" s="520"/>
      <c r="FL44" s="520"/>
      <c r="FM44" s="520"/>
      <c r="FN44" s="520"/>
      <c r="FO44" s="520"/>
    </row>
    <row r="45" spans="1:171" ht="26.25" customHeight="1">
      <c r="A45" s="550">
        <v>4</v>
      </c>
      <c r="B45" s="551" t="s">
        <v>3244</v>
      </c>
      <c r="C45" s="552" t="s">
        <v>3249</v>
      </c>
      <c r="D45" s="553" t="s">
        <v>3250</v>
      </c>
      <c r="E45" s="552" t="s">
        <v>3251</v>
      </c>
      <c r="F45" s="649" t="s">
        <v>3252</v>
      </c>
      <c r="G45" s="646" t="s">
        <v>3052</v>
      </c>
      <c r="H45" s="647" t="b">
        <v>0</v>
      </c>
      <c r="I45" s="646" t="s">
        <v>88</v>
      </c>
      <c r="J45" s="638" t="s">
        <v>98</v>
      </c>
      <c r="K45" s="856" t="s">
        <v>98</v>
      </c>
      <c r="L45" s="883"/>
      <c r="M45" s="883"/>
      <c r="N45" s="883"/>
      <c r="O45" s="883"/>
      <c r="P45" s="883"/>
      <c r="Q45" s="883"/>
      <c r="R45" s="884"/>
      <c r="S45" s="883"/>
      <c r="T45" s="883"/>
      <c r="U45" s="883"/>
      <c r="V45" s="883"/>
      <c r="W45" s="48" t="s">
        <v>1006</v>
      </c>
      <c r="X45" s="48" t="s">
        <v>1006</v>
      </c>
      <c r="Y45" s="48" t="s">
        <v>1006</v>
      </c>
      <c r="Z45" s="48" t="s">
        <v>1006</v>
      </c>
      <c r="AA45" s="569"/>
      <c r="AB45" s="569"/>
      <c r="AC45" s="569"/>
      <c r="AD45" s="569"/>
      <c r="AE45" s="569"/>
      <c r="AF45" s="638"/>
      <c r="AG45" s="569"/>
      <c r="AH45" s="569"/>
      <c r="AI45" s="569"/>
      <c r="AJ45" s="569"/>
      <c r="AK45" s="569"/>
      <c r="AL45" s="569"/>
      <c r="AM45" s="569"/>
      <c r="AN45" s="569"/>
      <c r="AO45" s="569"/>
      <c r="AP45" s="569"/>
      <c r="AQ45" s="569"/>
      <c r="AR45" s="569"/>
      <c r="AS45" s="569"/>
      <c r="AT45" s="569"/>
      <c r="AU45" s="569"/>
      <c r="AV45" s="520"/>
      <c r="AW45" s="520"/>
      <c r="AX45" s="520"/>
      <c r="AY45" s="520"/>
      <c r="AZ45" s="520"/>
      <c r="BA45" s="520"/>
      <c r="BB45" s="520"/>
      <c r="BC45" s="520"/>
      <c r="BD45" s="520"/>
      <c r="BE45" s="520"/>
      <c r="BF45" s="520"/>
      <c r="BG45" s="520"/>
      <c r="BH45" s="520"/>
      <c r="BI45" s="520"/>
      <c r="BJ45" s="520"/>
      <c r="BK45" s="520"/>
      <c r="BL45" s="520"/>
      <c r="BM45" s="520"/>
      <c r="BN45" s="520"/>
      <c r="BO45" s="520"/>
      <c r="BP45" s="520"/>
      <c r="BQ45" s="520"/>
      <c r="BR45" s="520"/>
      <c r="BS45" s="520"/>
      <c r="BT45" s="520"/>
      <c r="BU45" s="520"/>
      <c r="BV45" s="520"/>
      <c r="BW45" s="520"/>
      <c r="BX45" s="520"/>
      <c r="BY45" s="520"/>
      <c r="BZ45" s="520"/>
      <c r="CA45" s="520"/>
      <c r="CB45" s="520"/>
      <c r="CC45" s="520"/>
      <c r="CD45" s="520"/>
      <c r="CE45" s="520"/>
      <c r="CF45" s="520"/>
      <c r="CG45" s="520"/>
      <c r="CH45" s="520"/>
      <c r="CI45" s="520"/>
      <c r="CJ45" s="520"/>
      <c r="CK45" s="520"/>
      <c r="CL45" s="520"/>
      <c r="CM45" s="520"/>
      <c r="CN45" s="520"/>
      <c r="CO45" s="520"/>
      <c r="CP45" s="520"/>
      <c r="CQ45" s="520"/>
      <c r="CR45" s="520"/>
      <c r="CS45" s="520"/>
      <c r="CT45" s="520"/>
      <c r="CU45" s="520"/>
      <c r="CV45" s="520"/>
      <c r="CW45" s="520"/>
      <c r="CX45" s="520"/>
      <c r="CY45" s="520"/>
      <c r="CZ45" s="520"/>
      <c r="DA45" s="520"/>
      <c r="DB45" s="520"/>
      <c r="DC45" s="520"/>
      <c r="DD45" s="520"/>
      <c r="DE45" s="520"/>
      <c r="DF45" s="520"/>
      <c r="DG45" s="520"/>
      <c r="DH45" s="520"/>
      <c r="DI45" s="520"/>
      <c r="DJ45" s="520"/>
      <c r="DK45" s="520"/>
      <c r="DL45" s="520"/>
      <c r="DM45" s="520"/>
      <c r="DN45" s="520"/>
      <c r="DO45" s="520"/>
      <c r="DP45" s="520"/>
      <c r="DQ45" s="520"/>
      <c r="DR45" s="520"/>
      <c r="DS45" s="520"/>
      <c r="DT45" s="520"/>
      <c r="DU45" s="520"/>
      <c r="DV45" s="520"/>
      <c r="DW45" s="520"/>
      <c r="DX45" s="520"/>
      <c r="DY45" s="520"/>
      <c r="DZ45" s="520"/>
      <c r="EA45" s="520"/>
      <c r="EB45" s="520"/>
      <c r="EC45" s="520"/>
      <c r="ED45" s="520"/>
      <c r="EE45" s="520"/>
      <c r="EF45" s="520"/>
      <c r="EG45" s="520"/>
      <c r="EH45" s="520"/>
      <c r="EI45" s="520"/>
      <c r="EJ45" s="520"/>
      <c r="EK45" s="520"/>
      <c r="EL45" s="520"/>
      <c r="EM45" s="520"/>
      <c r="EN45" s="520"/>
      <c r="EO45" s="520"/>
      <c r="EP45" s="520"/>
      <c r="EQ45" s="520"/>
      <c r="ER45" s="520"/>
      <c r="ES45" s="520"/>
      <c r="ET45" s="520"/>
      <c r="EU45" s="520"/>
      <c r="EV45" s="520"/>
      <c r="EW45" s="520"/>
      <c r="EX45" s="520"/>
      <c r="EY45" s="520"/>
      <c r="EZ45" s="520"/>
      <c r="FA45" s="520"/>
      <c r="FB45" s="520"/>
      <c r="FC45" s="520"/>
      <c r="FD45" s="520"/>
      <c r="FE45" s="520"/>
      <c r="FF45" s="520"/>
      <c r="FG45" s="520"/>
      <c r="FH45" s="520"/>
      <c r="FI45" s="520"/>
      <c r="FJ45" s="520"/>
      <c r="FK45" s="520"/>
      <c r="FL45" s="520"/>
      <c r="FM45" s="520"/>
      <c r="FN45" s="520"/>
      <c r="FO45" s="520"/>
    </row>
    <row r="46" spans="1:171" ht="26.25" customHeight="1">
      <c r="A46" s="554">
        <v>4</v>
      </c>
      <c r="B46" s="555" t="s">
        <v>3244</v>
      </c>
      <c r="C46" s="556" t="s">
        <v>3253</v>
      </c>
      <c r="D46" s="557" t="s">
        <v>3254</v>
      </c>
      <c r="E46" s="556" t="s">
        <v>3255</v>
      </c>
      <c r="F46" s="555" t="s">
        <v>3256</v>
      </c>
      <c r="G46" s="628" t="s">
        <v>3052</v>
      </c>
      <c r="H46" s="653" t="b">
        <v>1</v>
      </c>
      <c r="I46" s="579" t="s">
        <v>3257</v>
      </c>
      <c r="J46" s="569" t="s">
        <v>1006</v>
      </c>
      <c r="K46" s="855" t="s">
        <v>1006</v>
      </c>
      <c r="L46" s="885"/>
      <c r="M46" s="885"/>
      <c r="N46" s="885"/>
      <c r="O46" s="885"/>
      <c r="P46" s="885"/>
      <c r="Q46" s="885"/>
      <c r="R46" s="886"/>
      <c r="S46" s="883"/>
      <c r="T46" s="883"/>
      <c r="U46" s="883"/>
      <c r="V46" s="883"/>
      <c r="W46" s="48" t="s">
        <v>1006</v>
      </c>
      <c r="X46" s="48" t="s">
        <v>1006</v>
      </c>
      <c r="Y46" s="48" t="s">
        <v>1006</v>
      </c>
      <c r="Z46" s="48" t="s">
        <v>1006</v>
      </c>
      <c r="AA46" s="569"/>
      <c r="AB46" s="569"/>
      <c r="AC46" s="569"/>
      <c r="AD46" s="569"/>
      <c r="AE46" s="569"/>
      <c r="AF46" s="638"/>
      <c r="AG46" s="569"/>
      <c r="AH46" s="569"/>
      <c r="AI46" s="569"/>
      <c r="AJ46" s="569"/>
      <c r="AK46" s="569"/>
      <c r="AL46" s="569"/>
      <c r="AM46" s="569"/>
      <c r="AN46" s="569"/>
      <c r="AO46" s="569"/>
      <c r="AP46" s="569"/>
      <c r="AQ46" s="569"/>
      <c r="AR46" s="569"/>
      <c r="AS46" s="569"/>
      <c r="AT46" s="569"/>
      <c r="AU46" s="569"/>
      <c r="AV46" s="520"/>
      <c r="AW46" s="520"/>
      <c r="AX46" s="520"/>
      <c r="AY46" s="520"/>
      <c r="AZ46" s="520"/>
      <c r="BA46" s="520"/>
      <c r="BB46" s="520"/>
      <c r="BC46" s="520"/>
      <c r="BD46" s="520"/>
      <c r="BE46" s="520"/>
      <c r="BF46" s="520"/>
      <c r="BG46" s="520"/>
      <c r="BH46" s="520"/>
      <c r="BI46" s="520"/>
      <c r="BJ46" s="520"/>
      <c r="BK46" s="520"/>
      <c r="BL46" s="520"/>
      <c r="BM46" s="520"/>
      <c r="BN46" s="520"/>
      <c r="BO46" s="520"/>
      <c r="BP46" s="520"/>
      <c r="BQ46" s="520"/>
      <c r="BR46" s="520"/>
      <c r="BS46" s="520"/>
      <c r="BT46" s="520"/>
      <c r="BU46" s="520"/>
      <c r="BV46" s="520"/>
      <c r="BW46" s="520"/>
      <c r="BX46" s="520"/>
      <c r="BY46" s="520"/>
      <c r="BZ46" s="520"/>
      <c r="CA46" s="520"/>
      <c r="CB46" s="520"/>
      <c r="CC46" s="520"/>
      <c r="CD46" s="520"/>
      <c r="CE46" s="520"/>
      <c r="CF46" s="520"/>
      <c r="CG46" s="520"/>
      <c r="CH46" s="520"/>
      <c r="CI46" s="520"/>
      <c r="CJ46" s="520"/>
      <c r="CK46" s="520"/>
      <c r="CL46" s="520"/>
      <c r="CM46" s="520"/>
      <c r="CN46" s="520"/>
      <c r="CO46" s="520"/>
      <c r="CP46" s="520"/>
      <c r="CQ46" s="520"/>
      <c r="CR46" s="520"/>
      <c r="CS46" s="520"/>
      <c r="CT46" s="520"/>
      <c r="CU46" s="520"/>
      <c r="CV46" s="520"/>
      <c r="CW46" s="520"/>
      <c r="CX46" s="520"/>
      <c r="CY46" s="520"/>
      <c r="CZ46" s="520"/>
      <c r="DA46" s="520"/>
      <c r="DB46" s="520"/>
      <c r="DC46" s="520"/>
      <c r="DD46" s="520"/>
      <c r="DE46" s="520"/>
      <c r="DF46" s="520"/>
      <c r="DG46" s="520"/>
      <c r="DH46" s="520"/>
      <c r="DI46" s="520"/>
      <c r="DJ46" s="520"/>
      <c r="DK46" s="520"/>
      <c r="DL46" s="520"/>
      <c r="DM46" s="520"/>
      <c r="DN46" s="520"/>
      <c r="DO46" s="520"/>
      <c r="DP46" s="520"/>
      <c r="DQ46" s="520"/>
      <c r="DR46" s="520"/>
      <c r="DS46" s="520"/>
      <c r="DT46" s="520"/>
      <c r="DU46" s="520"/>
      <c r="DV46" s="520"/>
      <c r="DW46" s="520"/>
      <c r="DX46" s="520"/>
      <c r="DY46" s="520"/>
      <c r="DZ46" s="520"/>
      <c r="EA46" s="520"/>
      <c r="EB46" s="520"/>
      <c r="EC46" s="520"/>
      <c r="ED46" s="520"/>
      <c r="EE46" s="520"/>
      <c r="EF46" s="520"/>
      <c r="EG46" s="520"/>
      <c r="EH46" s="520"/>
      <c r="EI46" s="520"/>
      <c r="EJ46" s="520"/>
      <c r="EK46" s="520"/>
      <c r="EL46" s="520"/>
      <c r="EM46" s="520"/>
      <c r="EN46" s="520"/>
      <c r="EO46" s="520"/>
      <c r="EP46" s="520"/>
      <c r="EQ46" s="520"/>
      <c r="ER46" s="520"/>
      <c r="ES46" s="520"/>
      <c r="ET46" s="520"/>
      <c r="EU46" s="520"/>
      <c r="EV46" s="520"/>
      <c r="EW46" s="520"/>
      <c r="EX46" s="520"/>
      <c r="EY46" s="520"/>
      <c r="EZ46" s="520"/>
      <c r="FA46" s="520"/>
      <c r="FB46" s="520"/>
      <c r="FC46" s="520"/>
      <c r="FD46" s="520"/>
      <c r="FE46" s="520"/>
      <c r="FF46" s="520"/>
      <c r="FG46" s="520"/>
      <c r="FH46" s="520"/>
      <c r="FI46" s="520"/>
      <c r="FJ46" s="520"/>
      <c r="FK46" s="520"/>
      <c r="FL46" s="520"/>
      <c r="FM46" s="520"/>
      <c r="FN46" s="520"/>
      <c r="FO46" s="520"/>
    </row>
    <row r="47" spans="1:171" ht="26.25" customHeight="1">
      <c r="A47" s="558">
        <v>5</v>
      </c>
      <c r="B47" s="559" t="s">
        <v>3258</v>
      </c>
      <c r="C47" s="560" t="s">
        <v>3259</v>
      </c>
      <c r="D47" s="561" t="s">
        <v>3260</v>
      </c>
      <c r="E47" s="560" t="s">
        <v>88</v>
      </c>
      <c r="F47" s="560" t="s">
        <v>3261</v>
      </c>
      <c r="G47" s="947" t="s">
        <v>3035</v>
      </c>
      <c r="H47" s="625" t="b">
        <v>0</v>
      </c>
      <c r="I47" s="580"/>
      <c r="J47" s="569" t="s">
        <v>98</v>
      </c>
      <c r="K47" s="855" t="s">
        <v>98</v>
      </c>
      <c r="L47" s="889" t="s">
        <v>3262</v>
      </c>
      <c r="M47" s="889" t="s">
        <v>182</v>
      </c>
      <c r="N47" s="889" t="s">
        <v>182</v>
      </c>
      <c r="O47" s="889" t="s">
        <v>3263</v>
      </c>
      <c r="P47" s="889"/>
      <c r="Q47" s="889"/>
      <c r="R47" s="880" t="s">
        <v>97</v>
      </c>
      <c r="S47" s="877" t="s">
        <v>3037</v>
      </c>
      <c r="T47" s="877" t="s">
        <v>3077</v>
      </c>
      <c r="U47" s="877" t="s">
        <v>2203</v>
      </c>
      <c r="V47" s="877"/>
      <c r="W47" s="48" t="s">
        <v>1006</v>
      </c>
      <c r="X47" s="48" t="s">
        <v>1006</v>
      </c>
      <c r="Y47" s="48" t="s">
        <v>1006</v>
      </c>
      <c r="Z47" s="48" t="s">
        <v>1006</v>
      </c>
      <c r="AA47" s="871"/>
      <c r="AB47" s="871"/>
      <c r="AC47" s="871"/>
      <c r="AD47" s="871"/>
      <c r="AE47" s="871"/>
      <c r="AF47" s="569"/>
      <c r="AG47" s="569"/>
      <c r="AH47" s="569"/>
      <c r="AI47" s="569"/>
      <c r="AJ47" s="569"/>
      <c r="AK47" s="569"/>
      <c r="AL47" s="569"/>
      <c r="AM47" s="569"/>
      <c r="AN47" s="569"/>
      <c r="AO47" s="569"/>
      <c r="AP47" s="569"/>
      <c r="AQ47" s="569"/>
      <c r="AR47" s="569"/>
      <c r="AS47" s="569"/>
      <c r="AT47" s="569"/>
      <c r="AU47" s="569"/>
      <c r="AV47" s="520"/>
      <c r="AW47" s="520"/>
      <c r="AX47" s="520"/>
      <c r="AY47" s="520"/>
      <c r="AZ47" s="520"/>
      <c r="BA47" s="520"/>
      <c r="BB47" s="520"/>
      <c r="BC47" s="520"/>
      <c r="BD47" s="520"/>
      <c r="BE47" s="520"/>
      <c r="BF47" s="520"/>
      <c r="BG47" s="520"/>
      <c r="BH47" s="520"/>
      <c r="BI47" s="520"/>
      <c r="BJ47" s="520"/>
      <c r="BK47" s="520"/>
      <c r="BL47" s="520"/>
      <c r="BM47" s="520"/>
      <c r="BN47" s="520"/>
      <c r="BO47" s="520"/>
      <c r="BP47" s="520"/>
      <c r="BQ47" s="520"/>
      <c r="BR47" s="520"/>
      <c r="BS47" s="520"/>
      <c r="BT47" s="520"/>
      <c r="BU47" s="520"/>
      <c r="BV47" s="520"/>
      <c r="BW47" s="520"/>
      <c r="BX47" s="520"/>
      <c r="BY47" s="520"/>
      <c r="BZ47" s="520"/>
      <c r="CA47" s="520"/>
      <c r="CB47" s="520"/>
      <c r="CC47" s="520"/>
      <c r="CD47" s="520"/>
      <c r="CE47" s="520"/>
      <c r="CF47" s="520"/>
      <c r="CG47" s="520"/>
      <c r="CH47" s="520"/>
      <c r="CI47" s="520"/>
      <c r="CJ47" s="520"/>
      <c r="CK47" s="520"/>
      <c r="CL47" s="520"/>
      <c r="CM47" s="520"/>
      <c r="CN47" s="520"/>
      <c r="CO47" s="520"/>
      <c r="CP47" s="520"/>
      <c r="CQ47" s="520"/>
      <c r="CR47" s="520"/>
      <c r="CS47" s="520"/>
      <c r="CT47" s="520"/>
      <c r="CU47" s="520"/>
      <c r="CV47" s="520"/>
      <c r="CW47" s="520"/>
      <c r="CX47" s="520"/>
      <c r="CY47" s="520"/>
      <c r="CZ47" s="520"/>
      <c r="DA47" s="520"/>
      <c r="DB47" s="520"/>
      <c r="DC47" s="520"/>
      <c r="DD47" s="520"/>
      <c r="DE47" s="520"/>
      <c r="DF47" s="520"/>
      <c r="DG47" s="520"/>
      <c r="DH47" s="520"/>
      <c r="DI47" s="520"/>
      <c r="DJ47" s="520"/>
      <c r="DK47" s="520"/>
      <c r="DL47" s="520"/>
      <c r="DM47" s="520"/>
      <c r="DN47" s="520"/>
      <c r="DO47" s="520"/>
      <c r="DP47" s="520"/>
      <c r="DQ47" s="520"/>
      <c r="DR47" s="520"/>
      <c r="DS47" s="520"/>
      <c r="DT47" s="520"/>
      <c r="DU47" s="520"/>
      <c r="DV47" s="520"/>
      <c r="DW47" s="520"/>
      <c r="DX47" s="520"/>
      <c r="DY47" s="520"/>
      <c r="DZ47" s="520"/>
      <c r="EA47" s="520"/>
      <c r="EB47" s="520"/>
      <c r="EC47" s="520"/>
      <c r="ED47" s="520"/>
      <c r="EE47" s="520"/>
      <c r="EF47" s="520"/>
      <c r="EG47" s="520"/>
      <c r="EH47" s="520"/>
      <c r="EI47" s="520"/>
      <c r="EJ47" s="520"/>
      <c r="EK47" s="520"/>
      <c r="EL47" s="520"/>
      <c r="EM47" s="520"/>
      <c r="EN47" s="520"/>
      <c r="EO47" s="520"/>
      <c r="EP47" s="520"/>
      <c r="EQ47" s="520"/>
      <c r="ER47" s="520"/>
      <c r="ES47" s="520"/>
      <c r="ET47" s="520"/>
      <c r="EU47" s="520"/>
      <c r="EV47" s="520"/>
      <c r="EW47" s="520"/>
      <c r="EX47" s="520"/>
      <c r="EY47" s="520"/>
      <c r="EZ47" s="520"/>
      <c r="FA47" s="520"/>
      <c r="FB47" s="520"/>
      <c r="FC47" s="520"/>
      <c r="FD47" s="520"/>
      <c r="FE47" s="520"/>
      <c r="FF47" s="520"/>
      <c r="FG47" s="520"/>
      <c r="FH47" s="520"/>
      <c r="FI47" s="520"/>
      <c r="FJ47" s="520"/>
      <c r="FK47" s="520"/>
      <c r="FL47" s="520"/>
      <c r="FM47" s="520"/>
      <c r="FN47" s="520"/>
      <c r="FO47" s="520"/>
    </row>
    <row r="48" spans="1:171" ht="26.25" customHeight="1">
      <c r="A48" s="558">
        <v>5</v>
      </c>
      <c r="B48" s="559" t="s">
        <v>3258</v>
      </c>
      <c r="C48" s="559" t="s">
        <v>3264</v>
      </c>
      <c r="D48" s="561" t="s">
        <v>3265</v>
      </c>
      <c r="E48" s="560" t="s">
        <v>88</v>
      </c>
      <c r="F48" s="559" t="s">
        <v>3266</v>
      </c>
      <c r="G48" s="946" t="s">
        <v>3035</v>
      </c>
      <c r="H48" s="625" t="b">
        <v>1</v>
      </c>
      <c r="I48" s="580"/>
      <c r="J48" s="569" t="s">
        <v>98</v>
      </c>
      <c r="K48" s="855" t="s">
        <v>98</v>
      </c>
      <c r="L48" s="889" t="s">
        <v>3264</v>
      </c>
      <c r="M48" s="889" t="s">
        <v>182</v>
      </c>
      <c r="N48" s="889" t="s">
        <v>182</v>
      </c>
      <c r="O48" s="889" t="s">
        <v>3267</v>
      </c>
      <c r="P48" s="889"/>
      <c r="Q48" s="889"/>
      <c r="R48" s="880" t="s">
        <v>97</v>
      </c>
      <c r="S48" s="880" t="s">
        <v>3037</v>
      </c>
      <c r="T48" s="880" t="s">
        <v>3077</v>
      </c>
      <c r="U48" s="873" t="s">
        <v>3078</v>
      </c>
      <c r="V48" s="873"/>
      <c r="W48" s="48" t="s">
        <v>1006</v>
      </c>
      <c r="X48" s="48" t="s">
        <v>1006</v>
      </c>
      <c r="Y48" s="48" t="s">
        <v>1006</v>
      </c>
      <c r="Z48" s="48" t="s">
        <v>1006</v>
      </c>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20"/>
      <c r="AW48" s="520"/>
      <c r="AX48" s="520"/>
      <c r="AY48" s="520"/>
      <c r="AZ48" s="520"/>
      <c r="BA48" s="520"/>
      <c r="BB48" s="520"/>
      <c r="BC48" s="520"/>
      <c r="BD48" s="520"/>
      <c r="BE48" s="520"/>
      <c r="BF48" s="520"/>
      <c r="BG48" s="520"/>
      <c r="BH48" s="520"/>
      <c r="BI48" s="520"/>
      <c r="BJ48" s="520"/>
      <c r="BK48" s="520"/>
      <c r="BL48" s="520"/>
      <c r="BM48" s="520"/>
      <c r="BN48" s="520"/>
      <c r="BO48" s="520"/>
      <c r="BP48" s="520"/>
      <c r="BQ48" s="520"/>
      <c r="BR48" s="520"/>
      <c r="BS48" s="520"/>
      <c r="BT48" s="520"/>
      <c r="BU48" s="520"/>
      <c r="BV48" s="520"/>
      <c r="BW48" s="520"/>
      <c r="BX48" s="520"/>
      <c r="BY48" s="520"/>
      <c r="BZ48" s="520"/>
      <c r="CA48" s="520"/>
      <c r="CB48" s="520"/>
      <c r="CC48" s="520"/>
      <c r="CD48" s="520"/>
      <c r="CE48" s="520"/>
      <c r="CF48" s="520"/>
      <c r="CG48" s="520"/>
      <c r="CH48" s="520"/>
      <c r="CI48" s="520"/>
      <c r="CJ48" s="520"/>
      <c r="CK48" s="520"/>
      <c r="CL48" s="520"/>
      <c r="CM48" s="520"/>
      <c r="CN48" s="520"/>
      <c r="CO48" s="520"/>
      <c r="CP48" s="520"/>
      <c r="CQ48" s="520"/>
      <c r="CR48" s="520"/>
      <c r="CS48" s="520"/>
      <c r="CT48" s="520"/>
      <c r="CU48" s="520"/>
      <c r="CV48" s="520"/>
      <c r="CW48" s="520"/>
      <c r="CX48" s="520"/>
      <c r="CY48" s="520"/>
      <c r="CZ48" s="520"/>
      <c r="DA48" s="520"/>
      <c r="DB48" s="520"/>
      <c r="DC48" s="520"/>
      <c r="DD48" s="520"/>
      <c r="DE48" s="520"/>
      <c r="DF48" s="520"/>
      <c r="DG48" s="520"/>
      <c r="DH48" s="520"/>
      <c r="DI48" s="520"/>
      <c r="DJ48" s="520"/>
      <c r="DK48" s="520"/>
      <c r="DL48" s="520"/>
      <c r="DM48" s="520"/>
      <c r="DN48" s="520"/>
      <c r="DO48" s="520"/>
      <c r="DP48" s="520"/>
      <c r="DQ48" s="520"/>
      <c r="DR48" s="520"/>
      <c r="DS48" s="520"/>
      <c r="DT48" s="520"/>
      <c r="DU48" s="520"/>
      <c r="DV48" s="520"/>
      <c r="DW48" s="520"/>
      <c r="DX48" s="520"/>
      <c r="DY48" s="520"/>
      <c r="DZ48" s="520"/>
      <c r="EA48" s="520"/>
      <c r="EB48" s="520"/>
      <c r="EC48" s="520"/>
      <c r="ED48" s="520"/>
      <c r="EE48" s="520"/>
      <c r="EF48" s="520"/>
      <c r="EG48" s="520"/>
      <c r="EH48" s="520"/>
      <c r="EI48" s="520"/>
      <c r="EJ48" s="520"/>
      <c r="EK48" s="520"/>
      <c r="EL48" s="520"/>
      <c r="EM48" s="520"/>
      <c r="EN48" s="520"/>
      <c r="EO48" s="520"/>
      <c r="EP48" s="520"/>
      <c r="EQ48" s="520"/>
      <c r="ER48" s="520"/>
      <c r="ES48" s="520"/>
      <c r="ET48" s="520"/>
      <c r="EU48" s="520"/>
      <c r="EV48" s="520"/>
      <c r="EW48" s="520"/>
      <c r="EX48" s="520"/>
      <c r="EY48" s="520"/>
      <c r="EZ48" s="520"/>
      <c r="FA48" s="520"/>
      <c r="FB48" s="520"/>
      <c r="FC48" s="520"/>
      <c r="FD48" s="520"/>
      <c r="FE48" s="520"/>
      <c r="FF48" s="520"/>
      <c r="FG48" s="520"/>
      <c r="FH48" s="520"/>
      <c r="FI48" s="520"/>
      <c r="FJ48" s="520"/>
      <c r="FK48" s="520"/>
      <c r="FL48" s="520"/>
      <c r="FM48" s="520"/>
      <c r="FN48" s="520"/>
      <c r="FO48" s="520"/>
    </row>
    <row r="49" spans="1:171" ht="26.25" customHeight="1">
      <c r="A49" s="558">
        <v>5</v>
      </c>
      <c r="B49" s="559" t="s">
        <v>3268</v>
      </c>
      <c r="C49" s="560" t="s">
        <v>3269</v>
      </c>
      <c r="D49" s="561" t="s">
        <v>3270</v>
      </c>
      <c r="E49" s="560" t="s">
        <v>3271</v>
      </c>
      <c r="F49" s="562" t="s">
        <v>3272</v>
      </c>
      <c r="G49" s="581" t="s">
        <v>88</v>
      </c>
      <c r="H49" s="625" t="b">
        <v>0</v>
      </c>
      <c r="I49" s="580" t="s">
        <v>3273</v>
      </c>
      <c r="J49" s="569" t="s">
        <v>98</v>
      </c>
      <c r="K49" s="870" t="s">
        <v>98</v>
      </c>
      <c r="L49" s="485" t="s">
        <v>3269</v>
      </c>
      <c r="M49" s="485" t="s">
        <v>1478</v>
      </c>
      <c r="N49" s="485" t="s">
        <v>1478</v>
      </c>
      <c r="O49" s="195" t="s">
        <v>3274</v>
      </c>
      <c r="P49" s="485" t="s">
        <v>3275</v>
      </c>
      <c r="Q49" s="485"/>
      <c r="R49" s="485" t="s">
        <v>97</v>
      </c>
      <c r="S49" s="485" t="s">
        <v>3037</v>
      </c>
      <c r="T49" s="485" t="s">
        <v>3077</v>
      </c>
      <c r="U49" s="485" t="s">
        <v>2203</v>
      </c>
      <c r="V49" s="888"/>
      <c r="W49" s="48" t="s">
        <v>1006</v>
      </c>
      <c r="X49" s="48" t="s">
        <v>1006</v>
      </c>
      <c r="Y49" s="48" t="s">
        <v>1006</v>
      </c>
      <c r="Z49" s="48" t="s">
        <v>1006</v>
      </c>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20"/>
      <c r="AW49" s="520"/>
      <c r="AX49" s="520"/>
      <c r="AY49" s="520"/>
      <c r="AZ49" s="520"/>
      <c r="BA49" s="520"/>
      <c r="BB49" s="520"/>
      <c r="BC49" s="520"/>
      <c r="BD49" s="520"/>
      <c r="BE49" s="520"/>
      <c r="BF49" s="520"/>
      <c r="BG49" s="520"/>
      <c r="BH49" s="520"/>
      <c r="BI49" s="520"/>
      <c r="BJ49" s="520"/>
      <c r="BK49" s="520"/>
      <c r="BL49" s="520"/>
      <c r="BM49" s="520"/>
      <c r="BN49" s="520"/>
      <c r="BO49" s="520"/>
      <c r="BP49" s="520"/>
      <c r="BQ49" s="520"/>
      <c r="BR49" s="520"/>
      <c r="BS49" s="520"/>
      <c r="BT49" s="520"/>
      <c r="BU49" s="520"/>
      <c r="BV49" s="520"/>
      <c r="BW49" s="520"/>
      <c r="BX49" s="520"/>
      <c r="BY49" s="520"/>
      <c r="BZ49" s="520"/>
      <c r="CA49" s="520"/>
      <c r="CB49" s="520"/>
      <c r="CC49" s="520"/>
      <c r="CD49" s="520"/>
      <c r="CE49" s="520"/>
      <c r="CF49" s="520"/>
      <c r="CG49" s="520"/>
      <c r="CH49" s="520"/>
      <c r="CI49" s="520"/>
      <c r="CJ49" s="520"/>
      <c r="CK49" s="520"/>
      <c r="CL49" s="520"/>
      <c r="CM49" s="520"/>
      <c r="CN49" s="520"/>
      <c r="CO49" s="520"/>
      <c r="CP49" s="520"/>
      <c r="CQ49" s="520"/>
      <c r="CR49" s="520"/>
      <c r="CS49" s="520"/>
      <c r="CT49" s="520"/>
      <c r="CU49" s="520"/>
      <c r="CV49" s="520"/>
      <c r="CW49" s="520"/>
      <c r="CX49" s="520"/>
      <c r="CY49" s="520"/>
      <c r="CZ49" s="520"/>
      <c r="DA49" s="520"/>
      <c r="DB49" s="520"/>
      <c r="DC49" s="520"/>
      <c r="DD49" s="520"/>
      <c r="DE49" s="520"/>
      <c r="DF49" s="520"/>
      <c r="DG49" s="520"/>
      <c r="DH49" s="520"/>
      <c r="DI49" s="520"/>
      <c r="DJ49" s="520"/>
      <c r="DK49" s="520"/>
      <c r="DL49" s="520"/>
      <c r="DM49" s="520"/>
      <c r="DN49" s="520"/>
      <c r="DO49" s="520"/>
      <c r="DP49" s="520"/>
      <c r="DQ49" s="520"/>
      <c r="DR49" s="520"/>
      <c r="DS49" s="520"/>
      <c r="DT49" s="520"/>
      <c r="DU49" s="520"/>
      <c r="DV49" s="520"/>
      <c r="DW49" s="520"/>
      <c r="DX49" s="520"/>
      <c r="DY49" s="520"/>
      <c r="DZ49" s="520"/>
      <c r="EA49" s="520"/>
      <c r="EB49" s="520"/>
      <c r="EC49" s="520"/>
      <c r="ED49" s="520"/>
      <c r="EE49" s="520"/>
      <c r="EF49" s="520"/>
      <c r="EG49" s="520"/>
      <c r="EH49" s="520"/>
      <c r="EI49" s="520"/>
      <c r="EJ49" s="520"/>
      <c r="EK49" s="520"/>
      <c r="EL49" s="520"/>
      <c r="EM49" s="520"/>
      <c r="EN49" s="520"/>
      <c r="EO49" s="520"/>
      <c r="EP49" s="520"/>
      <c r="EQ49" s="520"/>
      <c r="ER49" s="520"/>
      <c r="ES49" s="520"/>
      <c r="ET49" s="520"/>
      <c r="EU49" s="520"/>
      <c r="EV49" s="520"/>
      <c r="EW49" s="520"/>
      <c r="EX49" s="520"/>
      <c r="EY49" s="520"/>
      <c r="EZ49" s="520"/>
      <c r="FA49" s="520"/>
      <c r="FB49" s="520"/>
      <c r="FC49" s="520"/>
      <c r="FD49" s="520"/>
      <c r="FE49" s="520"/>
      <c r="FF49" s="520"/>
      <c r="FG49" s="520"/>
      <c r="FH49" s="520"/>
      <c r="FI49" s="520"/>
      <c r="FJ49" s="520"/>
      <c r="FK49" s="520"/>
      <c r="FL49" s="520"/>
      <c r="FM49" s="520"/>
      <c r="FN49" s="520"/>
      <c r="FO49" s="520"/>
    </row>
    <row r="50" spans="1:171" ht="26.25" customHeight="1">
      <c r="A50" s="558">
        <v>5</v>
      </c>
      <c r="B50" s="559" t="s">
        <v>3268</v>
      </c>
      <c r="C50" s="560" t="s">
        <v>3276</v>
      </c>
      <c r="D50" s="561" t="s">
        <v>3277</v>
      </c>
      <c r="E50" s="560" t="s">
        <v>3278</v>
      </c>
      <c r="F50" s="562" t="s">
        <v>3279</v>
      </c>
      <c r="G50" s="581" t="s">
        <v>3035</v>
      </c>
      <c r="H50" s="625" t="b">
        <v>1</v>
      </c>
      <c r="I50" s="581" t="s">
        <v>88</v>
      </c>
      <c r="J50" s="858" t="s">
        <v>98</v>
      </c>
      <c r="K50" s="862" t="s">
        <v>98</v>
      </c>
      <c r="L50" s="892" t="s">
        <v>3280</v>
      </c>
      <c r="M50" s="892" t="s">
        <v>1781</v>
      </c>
      <c r="N50" s="892" t="s">
        <v>1781</v>
      </c>
      <c r="O50" s="892" t="s">
        <v>3281</v>
      </c>
      <c r="P50" s="892"/>
      <c r="Q50" s="892"/>
      <c r="R50" s="455" t="s">
        <v>97</v>
      </c>
      <c r="S50" s="455" t="s">
        <v>3065</v>
      </c>
      <c r="T50" s="455" t="s">
        <v>3105</v>
      </c>
      <c r="U50" s="873" t="s">
        <v>2203</v>
      </c>
      <c r="V50" s="873"/>
      <c r="W50" s="48" t="s">
        <v>1006</v>
      </c>
      <c r="X50" s="48" t="s">
        <v>1006</v>
      </c>
      <c r="Y50" s="48" t="s">
        <v>1006</v>
      </c>
      <c r="Z50" s="48" t="s">
        <v>1006</v>
      </c>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20"/>
      <c r="AW50" s="520"/>
      <c r="AX50" s="520"/>
      <c r="AY50" s="520"/>
      <c r="AZ50" s="520"/>
      <c r="BA50" s="520"/>
      <c r="BB50" s="520"/>
      <c r="BC50" s="520"/>
      <c r="BD50" s="520"/>
      <c r="BE50" s="520"/>
      <c r="BF50" s="520"/>
      <c r="BG50" s="520"/>
      <c r="BH50" s="520"/>
      <c r="BI50" s="520"/>
      <c r="BJ50" s="520"/>
      <c r="BK50" s="520"/>
      <c r="BL50" s="520"/>
      <c r="BM50" s="520"/>
      <c r="BN50" s="520"/>
      <c r="BO50" s="520"/>
      <c r="BP50" s="520"/>
      <c r="BQ50" s="520"/>
      <c r="BR50" s="520"/>
      <c r="BS50" s="520"/>
      <c r="BT50" s="520"/>
      <c r="BU50" s="520"/>
      <c r="BV50" s="520"/>
      <c r="BW50" s="520"/>
      <c r="BX50" s="520"/>
      <c r="BY50" s="520"/>
      <c r="BZ50" s="520"/>
      <c r="CA50" s="520"/>
      <c r="CB50" s="520"/>
      <c r="CC50" s="520"/>
      <c r="CD50" s="520"/>
      <c r="CE50" s="520"/>
      <c r="CF50" s="520"/>
      <c r="CG50" s="520"/>
      <c r="CH50" s="520"/>
      <c r="CI50" s="520"/>
      <c r="CJ50" s="520"/>
      <c r="CK50" s="520"/>
      <c r="CL50" s="520"/>
      <c r="CM50" s="520"/>
      <c r="CN50" s="520"/>
      <c r="CO50" s="520"/>
      <c r="CP50" s="520"/>
      <c r="CQ50" s="520"/>
      <c r="CR50" s="520"/>
      <c r="CS50" s="520"/>
      <c r="CT50" s="520"/>
      <c r="CU50" s="520"/>
      <c r="CV50" s="520"/>
      <c r="CW50" s="520"/>
      <c r="CX50" s="520"/>
      <c r="CY50" s="520"/>
      <c r="CZ50" s="520"/>
      <c r="DA50" s="520"/>
      <c r="DB50" s="520"/>
      <c r="DC50" s="520"/>
      <c r="DD50" s="520"/>
      <c r="DE50" s="520"/>
      <c r="DF50" s="520"/>
      <c r="DG50" s="520"/>
      <c r="DH50" s="520"/>
      <c r="DI50" s="520"/>
      <c r="DJ50" s="520"/>
      <c r="DK50" s="520"/>
      <c r="DL50" s="520"/>
      <c r="DM50" s="520"/>
      <c r="DN50" s="520"/>
      <c r="DO50" s="520"/>
      <c r="DP50" s="520"/>
      <c r="DQ50" s="520"/>
      <c r="DR50" s="520"/>
      <c r="DS50" s="520"/>
      <c r="DT50" s="520"/>
      <c r="DU50" s="520"/>
      <c r="DV50" s="520"/>
      <c r="DW50" s="520"/>
      <c r="DX50" s="520"/>
      <c r="DY50" s="520"/>
      <c r="DZ50" s="520"/>
      <c r="EA50" s="520"/>
      <c r="EB50" s="520"/>
      <c r="EC50" s="520"/>
      <c r="ED50" s="520"/>
      <c r="EE50" s="520"/>
      <c r="EF50" s="520"/>
      <c r="EG50" s="520"/>
      <c r="EH50" s="520"/>
      <c r="EI50" s="520"/>
      <c r="EJ50" s="520"/>
      <c r="EK50" s="520"/>
      <c r="EL50" s="520"/>
      <c r="EM50" s="520"/>
      <c r="EN50" s="520"/>
      <c r="EO50" s="520"/>
      <c r="EP50" s="520"/>
      <c r="EQ50" s="520"/>
      <c r="ER50" s="520"/>
      <c r="ES50" s="520"/>
      <c r="ET50" s="520"/>
      <c r="EU50" s="520"/>
      <c r="EV50" s="520"/>
      <c r="EW50" s="520"/>
      <c r="EX50" s="520"/>
      <c r="EY50" s="520"/>
      <c r="EZ50" s="520"/>
      <c r="FA50" s="520"/>
      <c r="FB50" s="520"/>
      <c r="FC50" s="520"/>
      <c r="FD50" s="520"/>
      <c r="FE50" s="520"/>
      <c r="FF50" s="520"/>
      <c r="FG50" s="520"/>
      <c r="FH50" s="520"/>
      <c r="FI50" s="520"/>
      <c r="FJ50" s="520"/>
      <c r="FK50" s="520"/>
      <c r="FL50" s="520"/>
      <c r="FM50" s="520"/>
      <c r="FN50" s="520"/>
      <c r="FO50" s="520"/>
    </row>
    <row r="51" spans="1:171" ht="26.25" customHeight="1">
      <c r="A51" s="563">
        <v>5</v>
      </c>
      <c r="B51" s="564" t="s">
        <v>3268</v>
      </c>
      <c r="C51" s="565" t="s">
        <v>3282</v>
      </c>
      <c r="D51" s="566" t="s">
        <v>3283</v>
      </c>
      <c r="E51" s="565" t="s">
        <v>3284</v>
      </c>
      <c r="F51" s="567" t="s">
        <v>3285</v>
      </c>
      <c r="G51" s="582" t="s">
        <v>3035</v>
      </c>
      <c r="H51" s="626" t="b">
        <v>1</v>
      </c>
      <c r="I51" s="582" t="s">
        <v>3059</v>
      </c>
      <c r="J51" s="569" t="s">
        <v>1006</v>
      </c>
      <c r="K51" s="872" t="s">
        <v>1006</v>
      </c>
      <c r="L51" s="881"/>
      <c r="M51" s="881"/>
      <c r="N51" s="881"/>
      <c r="O51" s="881"/>
      <c r="P51" s="881"/>
      <c r="Q51" s="881"/>
      <c r="R51" s="881"/>
      <c r="S51" s="881"/>
      <c r="T51" s="881"/>
      <c r="U51" s="881"/>
      <c r="V51" s="882"/>
      <c r="W51" s="48" t="s">
        <v>1006</v>
      </c>
      <c r="X51" s="48" t="s">
        <v>1006</v>
      </c>
      <c r="Y51" s="48" t="s">
        <v>1006</v>
      </c>
      <c r="Z51" s="48" t="s">
        <v>1006</v>
      </c>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20"/>
      <c r="AW51" s="520"/>
      <c r="AX51" s="520"/>
      <c r="AY51" s="520"/>
      <c r="AZ51" s="520"/>
      <c r="BA51" s="520"/>
      <c r="BB51" s="520"/>
      <c r="BC51" s="520"/>
      <c r="BD51" s="520"/>
      <c r="BE51" s="520"/>
      <c r="BF51" s="520"/>
      <c r="BG51" s="520"/>
      <c r="BH51" s="520"/>
      <c r="BI51" s="520"/>
      <c r="BJ51" s="520"/>
      <c r="BK51" s="520"/>
      <c r="BL51" s="520"/>
      <c r="BM51" s="520"/>
      <c r="BN51" s="520"/>
      <c r="BO51" s="520"/>
      <c r="BP51" s="520"/>
      <c r="BQ51" s="520"/>
      <c r="BR51" s="520"/>
      <c r="BS51" s="520"/>
      <c r="BT51" s="520"/>
      <c r="BU51" s="520"/>
      <c r="BV51" s="520"/>
      <c r="BW51" s="520"/>
      <c r="BX51" s="520"/>
      <c r="BY51" s="520"/>
      <c r="BZ51" s="520"/>
      <c r="CA51" s="520"/>
      <c r="CB51" s="520"/>
      <c r="CC51" s="520"/>
      <c r="CD51" s="520"/>
      <c r="CE51" s="520"/>
      <c r="CF51" s="520"/>
      <c r="CG51" s="520"/>
      <c r="CH51" s="520"/>
      <c r="CI51" s="520"/>
      <c r="CJ51" s="520"/>
      <c r="CK51" s="520"/>
      <c r="CL51" s="520"/>
      <c r="CM51" s="520"/>
      <c r="CN51" s="520"/>
      <c r="CO51" s="520"/>
      <c r="CP51" s="520"/>
      <c r="CQ51" s="520"/>
      <c r="CR51" s="520"/>
      <c r="CS51" s="520"/>
      <c r="CT51" s="520"/>
      <c r="CU51" s="520"/>
      <c r="CV51" s="520"/>
      <c r="CW51" s="520"/>
      <c r="CX51" s="520"/>
      <c r="CY51" s="520"/>
      <c r="CZ51" s="520"/>
      <c r="DA51" s="520"/>
      <c r="DB51" s="520"/>
      <c r="DC51" s="520"/>
      <c r="DD51" s="520"/>
      <c r="DE51" s="520"/>
      <c r="DF51" s="520"/>
      <c r="DG51" s="520"/>
      <c r="DH51" s="520"/>
      <c r="DI51" s="520"/>
      <c r="DJ51" s="520"/>
      <c r="DK51" s="520"/>
      <c r="DL51" s="520"/>
      <c r="DM51" s="520"/>
      <c r="DN51" s="520"/>
      <c r="DO51" s="520"/>
      <c r="DP51" s="520"/>
      <c r="DQ51" s="520"/>
      <c r="DR51" s="520"/>
      <c r="DS51" s="520"/>
      <c r="DT51" s="520"/>
      <c r="DU51" s="520"/>
      <c r="DV51" s="520"/>
      <c r="DW51" s="520"/>
      <c r="DX51" s="520"/>
      <c r="DY51" s="520"/>
      <c r="DZ51" s="520"/>
      <c r="EA51" s="520"/>
      <c r="EB51" s="520"/>
      <c r="EC51" s="520"/>
      <c r="ED51" s="520"/>
      <c r="EE51" s="520"/>
      <c r="EF51" s="520"/>
      <c r="EG51" s="520"/>
      <c r="EH51" s="520"/>
      <c r="EI51" s="520"/>
      <c r="EJ51" s="520"/>
      <c r="EK51" s="520"/>
      <c r="EL51" s="520"/>
      <c r="EM51" s="520"/>
      <c r="EN51" s="520"/>
      <c r="EO51" s="520"/>
      <c r="EP51" s="520"/>
      <c r="EQ51" s="520"/>
      <c r="ER51" s="520"/>
      <c r="ES51" s="520"/>
      <c r="ET51" s="520"/>
      <c r="EU51" s="520"/>
      <c r="EV51" s="520"/>
      <c r="EW51" s="520"/>
      <c r="EX51" s="520"/>
      <c r="EY51" s="520"/>
      <c r="EZ51" s="520"/>
      <c r="FA51" s="520"/>
      <c r="FB51" s="520"/>
      <c r="FC51" s="520"/>
      <c r="FD51" s="520"/>
      <c r="FE51" s="520"/>
      <c r="FF51" s="520"/>
      <c r="FG51" s="520"/>
      <c r="FH51" s="520"/>
      <c r="FI51" s="520"/>
      <c r="FJ51" s="520"/>
      <c r="FK51" s="520"/>
      <c r="FL51" s="520"/>
      <c r="FM51" s="520"/>
      <c r="FN51" s="520"/>
      <c r="FO51" s="520"/>
    </row>
    <row r="52" spans="1:171" ht="26.25" customHeight="1">
      <c r="A52" s="563">
        <v>5</v>
      </c>
      <c r="B52" s="564" t="s">
        <v>3268</v>
      </c>
      <c r="C52" s="565" t="s">
        <v>3286</v>
      </c>
      <c r="D52" s="566" t="s">
        <v>1474</v>
      </c>
      <c r="E52" s="565" t="s">
        <v>3287</v>
      </c>
      <c r="F52" s="567" t="s">
        <v>3288</v>
      </c>
      <c r="G52" s="582" t="s">
        <v>3035</v>
      </c>
      <c r="H52" s="626" t="b">
        <v>1</v>
      </c>
      <c r="I52" s="582" t="s">
        <v>3059</v>
      </c>
      <c r="J52" s="569" t="s">
        <v>1006</v>
      </c>
      <c r="K52" s="855" t="s">
        <v>1006</v>
      </c>
      <c r="L52" s="883"/>
      <c r="M52" s="883"/>
      <c r="N52" s="883"/>
      <c r="O52" s="883"/>
      <c r="P52" s="883"/>
      <c r="Q52" s="883"/>
      <c r="R52" s="883"/>
      <c r="S52" s="883"/>
      <c r="T52" s="883"/>
      <c r="U52" s="883"/>
      <c r="V52" s="884"/>
      <c r="W52" s="48" t="s">
        <v>1006</v>
      </c>
      <c r="X52" s="48" t="s">
        <v>1006</v>
      </c>
      <c r="Y52" s="48" t="s">
        <v>1006</v>
      </c>
      <c r="Z52" s="48" t="s">
        <v>1006</v>
      </c>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20"/>
      <c r="AW52" s="520"/>
      <c r="AX52" s="520"/>
      <c r="AY52" s="520"/>
      <c r="AZ52" s="520"/>
      <c r="BA52" s="520"/>
      <c r="BB52" s="520"/>
      <c r="BC52" s="520"/>
      <c r="BD52" s="520"/>
      <c r="BE52" s="520"/>
      <c r="BF52" s="520"/>
      <c r="BG52" s="520"/>
      <c r="BH52" s="520"/>
      <c r="BI52" s="520"/>
      <c r="BJ52" s="520"/>
      <c r="BK52" s="520"/>
      <c r="BL52" s="520"/>
      <c r="BM52" s="520"/>
      <c r="BN52" s="520"/>
      <c r="BO52" s="520"/>
      <c r="BP52" s="520"/>
      <c r="BQ52" s="520"/>
      <c r="BR52" s="520"/>
      <c r="BS52" s="520"/>
      <c r="BT52" s="520"/>
      <c r="BU52" s="520"/>
      <c r="BV52" s="520"/>
      <c r="BW52" s="520"/>
      <c r="BX52" s="520"/>
      <c r="BY52" s="520"/>
      <c r="BZ52" s="520"/>
      <c r="CA52" s="520"/>
      <c r="CB52" s="520"/>
      <c r="CC52" s="520"/>
      <c r="CD52" s="520"/>
      <c r="CE52" s="520"/>
      <c r="CF52" s="520"/>
      <c r="CG52" s="520"/>
      <c r="CH52" s="520"/>
      <c r="CI52" s="520"/>
      <c r="CJ52" s="520"/>
      <c r="CK52" s="520"/>
      <c r="CL52" s="520"/>
      <c r="CM52" s="520"/>
      <c r="CN52" s="520"/>
      <c r="CO52" s="520"/>
      <c r="CP52" s="520"/>
      <c r="CQ52" s="520"/>
      <c r="CR52" s="520"/>
      <c r="CS52" s="520"/>
      <c r="CT52" s="520"/>
      <c r="CU52" s="520"/>
      <c r="CV52" s="520"/>
      <c r="CW52" s="520"/>
      <c r="CX52" s="520"/>
      <c r="CY52" s="520"/>
      <c r="CZ52" s="520"/>
      <c r="DA52" s="520"/>
      <c r="DB52" s="520"/>
      <c r="DC52" s="520"/>
      <c r="DD52" s="520"/>
      <c r="DE52" s="520"/>
      <c r="DF52" s="520"/>
      <c r="DG52" s="520"/>
      <c r="DH52" s="520"/>
      <c r="DI52" s="520"/>
      <c r="DJ52" s="520"/>
      <c r="DK52" s="520"/>
      <c r="DL52" s="520"/>
      <c r="DM52" s="520"/>
      <c r="DN52" s="520"/>
      <c r="DO52" s="520"/>
      <c r="DP52" s="520"/>
      <c r="DQ52" s="520"/>
      <c r="DR52" s="520"/>
      <c r="DS52" s="520"/>
      <c r="DT52" s="520"/>
      <c r="DU52" s="520"/>
      <c r="DV52" s="520"/>
      <c r="DW52" s="520"/>
      <c r="DX52" s="520"/>
      <c r="DY52" s="520"/>
      <c r="DZ52" s="520"/>
      <c r="EA52" s="520"/>
      <c r="EB52" s="520"/>
      <c r="EC52" s="520"/>
      <c r="ED52" s="520"/>
      <c r="EE52" s="520"/>
      <c r="EF52" s="520"/>
      <c r="EG52" s="520"/>
      <c r="EH52" s="520"/>
      <c r="EI52" s="520"/>
      <c r="EJ52" s="520"/>
      <c r="EK52" s="520"/>
      <c r="EL52" s="520"/>
      <c r="EM52" s="520"/>
      <c r="EN52" s="520"/>
      <c r="EO52" s="520"/>
      <c r="EP52" s="520"/>
      <c r="EQ52" s="520"/>
      <c r="ER52" s="520"/>
      <c r="ES52" s="520"/>
      <c r="ET52" s="520"/>
      <c r="EU52" s="520"/>
      <c r="EV52" s="520"/>
      <c r="EW52" s="520"/>
      <c r="EX52" s="520"/>
      <c r="EY52" s="520"/>
      <c r="EZ52" s="520"/>
      <c r="FA52" s="520"/>
      <c r="FB52" s="520"/>
      <c r="FC52" s="520"/>
      <c r="FD52" s="520"/>
      <c r="FE52" s="520"/>
      <c r="FF52" s="520"/>
      <c r="FG52" s="520"/>
      <c r="FH52" s="520"/>
      <c r="FI52" s="520"/>
      <c r="FJ52" s="520"/>
      <c r="FK52" s="520"/>
      <c r="FL52" s="520"/>
      <c r="FM52" s="520"/>
      <c r="FN52" s="520"/>
      <c r="FO52" s="520"/>
    </row>
    <row r="53" spans="1:171" ht="26.25" customHeight="1">
      <c r="A53" s="563">
        <v>5</v>
      </c>
      <c r="B53" s="564" t="s">
        <v>3268</v>
      </c>
      <c r="C53" s="565" t="s">
        <v>3289</v>
      </c>
      <c r="D53" s="566" t="s">
        <v>3290</v>
      </c>
      <c r="E53" s="565" t="s">
        <v>3291</v>
      </c>
      <c r="F53" s="567" t="s">
        <v>3285</v>
      </c>
      <c r="G53" s="582" t="s">
        <v>3035</v>
      </c>
      <c r="H53" s="626" t="b">
        <v>1</v>
      </c>
      <c r="I53" s="582" t="s">
        <v>3059</v>
      </c>
      <c r="J53" s="569" t="s">
        <v>1006</v>
      </c>
      <c r="K53" s="855" t="s">
        <v>1006</v>
      </c>
      <c r="L53" s="885"/>
      <c r="M53" s="885"/>
      <c r="N53" s="885"/>
      <c r="O53" s="885"/>
      <c r="P53" s="885"/>
      <c r="Q53" s="885"/>
      <c r="R53" s="885"/>
      <c r="S53" s="885"/>
      <c r="T53" s="885"/>
      <c r="U53" s="885"/>
      <c r="V53" s="884"/>
      <c r="W53" s="48" t="s">
        <v>1006</v>
      </c>
      <c r="X53" s="48" t="s">
        <v>1006</v>
      </c>
      <c r="Y53" s="48" t="s">
        <v>1006</v>
      </c>
      <c r="Z53" s="48" t="s">
        <v>1006</v>
      </c>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20"/>
      <c r="AW53" s="520"/>
      <c r="AX53" s="520"/>
      <c r="AY53" s="520"/>
      <c r="AZ53" s="520"/>
      <c r="BA53" s="520"/>
      <c r="BB53" s="520"/>
      <c r="BC53" s="520"/>
      <c r="BD53" s="520"/>
      <c r="BE53" s="520"/>
      <c r="BF53" s="520"/>
      <c r="BG53" s="520"/>
      <c r="BH53" s="520"/>
      <c r="BI53" s="520"/>
      <c r="BJ53" s="520"/>
      <c r="BK53" s="520"/>
      <c r="BL53" s="520"/>
      <c r="BM53" s="520"/>
      <c r="BN53" s="520"/>
      <c r="BO53" s="520"/>
      <c r="BP53" s="520"/>
      <c r="BQ53" s="520"/>
      <c r="BR53" s="520"/>
      <c r="BS53" s="520"/>
      <c r="BT53" s="520"/>
      <c r="BU53" s="520"/>
      <c r="BV53" s="520"/>
      <c r="BW53" s="520"/>
      <c r="BX53" s="520"/>
      <c r="BY53" s="520"/>
      <c r="BZ53" s="520"/>
      <c r="CA53" s="520"/>
      <c r="CB53" s="520"/>
      <c r="CC53" s="520"/>
      <c r="CD53" s="520"/>
      <c r="CE53" s="520"/>
      <c r="CF53" s="520"/>
      <c r="CG53" s="520"/>
      <c r="CH53" s="520"/>
      <c r="CI53" s="520"/>
      <c r="CJ53" s="520"/>
      <c r="CK53" s="520"/>
      <c r="CL53" s="520"/>
      <c r="CM53" s="520"/>
      <c r="CN53" s="520"/>
      <c r="CO53" s="520"/>
      <c r="CP53" s="520"/>
      <c r="CQ53" s="520"/>
      <c r="CR53" s="520"/>
      <c r="CS53" s="520"/>
      <c r="CT53" s="520"/>
      <c r="CU53" s="520"/>
      <c r="CV53" s="520"/>
      <c r="CW53" s="520"/>
      <c r="CX53" s="520"/>
      <c r="CY53" s="520"/>
      <c r="CZ53" s="520"/>
      <c r="DA53" s="520"/>
      <c r="DB53" s="520"/>
      <c r="DC53" s="520"/>
      <c r="DD53" s="520"/>
      <c r="DE53" s="520"/>
      <c r="DF53" s="520"/>
      <c r="DG53" s="520"/>
      <c r="DH53" s="520"/>
      <c r="DI53" s="520"/>
      <c r="DJ53" s="520"/>
      <c r="DK53" s="520"/>
      <c r="DL53" s="520"/>
      <c r="DM53" s="520"/>
      <c r="DN53" s="520"/>
      <c r="DO53" s="520"/>
      <c r="DP53" s="520"/>
      <c r="DQ53" s="520"/>
      <c r="DR53" s="520"/>
      <c r="DS53" s="520"/>
      <c r="DT53" s="520"/>
      <c r="DU53" s="520"/>
      <c r="DV53" s="520"/>
      <c r="DW53" s="520"/>
      <c r="DX53" s="520"/>
      <c r="DY53" s="520"/>
      <c r="DZ53" s="520"/>
      <c r="EA53" s="520"/>
      <c r="EB53" s="520"/>
      <c r="EC53" s="520"/>
      <c r="ED53" s="520"/>
      <c r="EE53" s="520"/>
      <c r="EF53" s="520"/>
      <c r="EG53" s="520"/>
      <c r="EH53" s="520"/>
      <c r="EI53" s="520"/>
      <c r="EJ53" s="520"/>
      <c r="EK53" s="520"/>
      <c r="EL53" s="520"/>
      <c r="EM53" s="520"/>
      <c r="EN53" s="520"/>
      <c r="EO53" s="520"/>
      <c r="EP53" s="520"/>
      <c r="EQ53" s="520"/>
      <c r="ER53" s="520"/>
      <c r="ES53" s="520"/>
      <c r="ET53" s="520"/>
      <c r="EU53" s="520"/>
      <c r="EV53" s="520"/>
      <c r="EW53" s="520"/>
      <c r="EX53" s="520"/>
      <c r="EY53" s="520"/>
      <c r="EZ53" s="520"/>
      <c r="FA53" s="520"/>
      <c r="FB53" s="520"/>
      <c r="FC53" s="520"/>
      <c r="FD53" s="520"/>
      <c r="FE53" s="520"/>
      <c r="FF53" s="520"/>
      <c r="FG53" s="520"/>
      <c r="FH53" s="520"/>
      <c r="FI53" s="520"/>
      <c r="FJ53" s="520"/>
      <c r="FK53" s="520"/>
      <c r="FL53" s="520"/>
      <c r="FM53" s="520"/>
      <c r="FN53" s="520"/>
      <c r="FO53" s="520"/>
    </row>
    <row r="54" spans="1:171" ht="26.25" customHeight="1">
      <c r="A54" s="558">
        <v>5</v>
      </c>
      <c r="B54" s="559" t="s">
        <v>3292</v>
      </c>
      <c r="C54" s="560" t="s">
        <v>3293</v>
      </c>
      <c r="D54" s="561" t="s">
        <v>3294</v>
      </c>
      <c r="E54" s="560" t="s">
        <v>88</v>
      </c>
      <c r="F54" s="560" t="s">
        <v>3295</v>
      </c>
      <c r="G54" s="629" t="s">
        <v>3035</v>
      </c>
      <c r="H54" s="625" t="b">
        <v>1</v>
      </c>
      <c r="I54" s="580" t="s">
        <v>3296</v>
      </c>
      <c r="J54" s="569" t="s">
        <v>98</v>
      </c>
      <c r="K54" s="855" t="s">
        <v>98</v>
      </c>
      <c r="L54" s="485" t="s">
        <v>3293</v>
      </c>
      <c r="M54" s="485" t="s">
        <v>514</v>
      </c>
      <c r="N54" s="485" t="s">
        <v>514</v>
      </c>
      <c r="O54" s="485" t="s">
        <v>3297</v>
      </c>
      <c r="P54" s="485"/>
      <c r="Q54" s="485"/>
      <c r="R54" s="485" t="s">
        <v>110</v>
      </c>
      <c r="S54" s="485" t="s">
        <v>3065</v>
      </c>
      <c r="T54" s="485" t="s">
        <v>3038</v>
      </c>
      <c r="U54" s="485" t="s">
        <v>2203</v>
      </c>
      <c r="V54" s="485" t="s">
        <v>3298</v>
      </c>
      <c r="W54" s="48" t="s">
        <v>1006</v>
      </c>
      <c r="X54" s="48" t="s">
        <v>1006</v>
      </c>
      <c r="Y54" s="48" t="s">
        <v>1006</v>
      </c>
      <c r="Z54" s="48" t="s">
        <v>1006</v>
      </c>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20"/>
      <c r="AW54" s="520"/>
      <c r="AX54" s="520"/>
      <c r="AY54" s="520"/>
      <c r="AZ54" s="520"/>
      <c r="BA54" s="520"/>
      <c r="BB54" s="520"/>
      <c r="BC54" s="520"/>
      <c r="BD54" s="520"/>
      <c r="BE54" s="520"/>
      <c r="BF54" s="520"/>
      <c r="BG54" s="520"/>
      <c r="BH54" s="520"/>
      <c r="BI54" s="520"/>
      <c r="BJ54" s="520"/>
      <c r="BK54" s="520"/>
      <c r="BL54" s="520"/>
      <c r="BM54" s="520"/>
      <c r="BN54" s="520"/>
      <c r="BO54" s="520"/>
      <c r="BP54" s="520"/>
      <c r="BQ54" s="520"/>
      <c r="BR54" s="520"/>
      <c r="BS54" s="520"/>
      <c r="BT54" s="520"/>
      <c r="BU54" s="520"/>
      <c r="BV54" s="520"/>
      <c r="BW54" s="520"/>
      <c r="BX54" s="520"/>
      <c r="BY54" s="520"/>
      <c r="BZ54" s="520"/>
      <c r="CA54" s="520"/>
      <c r="CB54" s="520"/>
      <c r="CC54" s="520"/>
      <c r="CD54" s="520"/>
      <c r="CE54" s="520"/>
      <c r="CF54" s="520"/>
      <c r="CG54" s="520"/>
      <c r="CH54" s="520"/>
      <c r="CI54" s="520"/>
      <c r="CJ54" s="520"/>
      <c r="CK54" s="520"/>
      <c r="CL54" s="520"/>
      <c r="CM54" s="520"/>
      <c r="CN54" s="520"/>
      <c r="CO54" s="520"/>
      <c r="CP54" s="520"/>
      <c r="CQ54" s="520"/>
      <c r="CR54" s="520"/>
      <c r="CS54" s="520"/>
      <c r="CT54" s="520"/>
      <c r="CU54" s="520"/>
      <c r="CV54" s="520"/>
      <c r="CW54" s="520"/>
      <c r="CX54" s="520"/>
      <c r="CY54" s="520"/>
      <c r="CZ54" s="520"/>
      <c r="DA54" s="520"/>
      <c r="DB54" s="520"/>
      <c r="DC54" s="520"/>
      <c r="DD54" s="520"/>
      <c r="DE54" s="520"/>
      <c r="DF54" s="520"/>
      <c r="DG54" s="520"/>
      <c r="DH54" s="520"/>
      <c r="DI54" s="520"/>
      <c r="DJ54" s="520"/>
      <c r="DK54" s="520"/>
      <c r="DL54" s="520"/>
      <c r="DM54" s="520"/>
      <c r="DN54" s="520"/>
      <c r="DO54" s="520"/>
      <c r="DP54" s="520"/>
      <c r="DQ54" s="520"/>
      <c r="DR54" s="520"/>
      <c r="DS54" s="520"/>
      <c r="DT54" s="520"/>
      <c r="DU54" s="520"/>
      <c r="DV54" s="520"/>
      <c r="DW54" s="520"/>
      <c r="DX54" s="520"/>
      <c r="DY54" s="520"/>
      <c r="DZ54" s="520"/>
      <c r="EA54" s="520"/>
      <c r="EB54" s="520"/>
      <c r="EC54" s="520"/>
      <c r="ED54" s="520"/>
      <c r="EE54" s="520"/>
      <c r="EF54" s="520"/>
      <c r="EG54" s="520"/>
      <c r="EH54" s="520"/>
      <c r="EI54" s="520"/>
      <c r="EJ54" s="520"/>
      <c r="EK54" s="520"/>
      <c r="EL54" s="520"/>
      <c r="EM54" s="520"/>
      <c r="EN54" s="520"/>
      <c r="EO54" s="520"/>
      <c r="EP54" s="520"/>
      <c r="EQ54" s="520"/>
      <c r="ER54" s="520"/>
      <c r="ES54" s="520"/>
      <c r="ET54" s="520"/>
      <c r="EU54" s="520"/>
      <c r="EV54" s="520"/>
      <c r="EW54" s="520"/>
      <c r="EX54" s="520"/>
      <c r="EY54" s="520"/>
      <c r="EZ54" s="520"/>
      <c r="FA54" s="520"/>
      <c r="FB54" s="520"/>
      <c r="FC54" s="520"/>
      <c r="FD54" s="520"/>
      <c r="FE54" s="520"/>
      <c r="FF54" s="520"/>
      <c r="FG54" s="520"/>
      <c r="FH54" s="520"/>
      <c r="FI54" s="520"/>
      <c r="FJ54" s="520"/>
      <c r="FK54" s="520"/>
      <c r="FL54" s="520"/>
      <c r="FM54" s="520"/>
      <c r="FN54" s="520"/>
      <c r="FO54" s="520"/>
    </row>
    <row r="55" spans="1:171" ht="26.25" customHeight="1">
      <c r="A55" s="558">
        <v>5</v>
      </c>
      <c r="B55" s="559" t="s">
        <v>3292</v>
      </c>
      <c r="C55" s="560" t="s">
        <v>3299</v>
      </c>
      <c r="D55" s="561" t="s">
        <v>3300</v>
      </c>
      <c r="E55" s="560" t="s">
        <v>88</v>
      </c>
      <c r="F55" s="560" t="s">
        <v>3301</v>
      </c>
      <c r="G55" s="630" t="s">
        <v>3035</v>
      </c>
      <c r="H55" s="625" t="b">
        <v>1</v>
      </c>
      <c r="I55" s="580" t="s">
        <v>3273</v>
      </c>
      <c r="J55" s="569" t="s">
        <v>98</v>
      </c>
      <c r="K55" s="855" t="s">
        <v>98</v>
      </c>
      <c r="L55" s="957" t="s">
        <v>3299</v>
      </c>
      <c r="M55" s="957" t="s">
        <v>514</v>
      </c>
      <c r="N55" s="957" t="s">
        <v>514</v>
      </c>
      <c r="O55" s="957" t="s">
        <v>3302</v>
      </c>
      <c r="P55" s="957"/>
      <c r="Q55" s="957"/>
      <c r="R55" s="957" t="s">
        <v>110</v>
      </c>
      <c r="S55" s="957" t="s">
        <v>3037</v>
      </c>
      <c r="T55" s="957" t="s">
        <v>3077</v>
      </c>
      <c r="U55" s="957" t="s">
        <v>2203</v>
      </c>
      <c r="V55" s="955"/>
      <c r="W55" s="48" t="s">
        <v>1006</v>
      </c>
      <c r="X55" s="48" t="s">
        <v>1006</v>
      </c>
      <c r="Y55" s="48" t="s">
        <v>1006</v>
      </c>
      <c r="Z55" s="48" t="s">
        <v>1006</v>
      </c>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20"/>
      <c r="AW55" s="520"/>
      <c r="AX55" s="520"/>
      <c r="AY55" s="520"/>
      <c r="AZ55" s="520"/>
      <c r="BA55" s="520"/>
      <c r="BB55" s="520"/>
      <c r="BC55" s="520"/>
      <c r="BD55" s="520"/>
      <c r="BE55" s="520"/>
      <c r="BF55" s="520"/>
      <c r="BG55" s="520"/>
      <c r="BH55" s="520"/>
      <c r="BI55" s="520"/>
      <c r="BJ55" s="520"/>
      <c r="BK55" s="520"/>
      <c r="BL55" s="520"/>
      <c r="BM55" s="520"/>
      <c r="BN55" s="520"/>
      <c r="BO55" s="520"/>
      <c r="BP55" s="520"/>
      <c r="BQ55" s="520"/>
      <c r="BR55" s="520"/>
      <c r="BS55" s="520"/>
      <c r="BT55" s="520"/>
      <c r="BU55" s="520"/>
      <c r="BV55" s="520"/>
      <c r="BW55" s="520"/>
      <c r="BX55" s="520"/>
      <c r="BY55" s="520"/>
      <c r="BZ55" s="520"/>
      <c r="CA55" s="520"/>
      <c r="CB55" s="520"/>
      <c r="CC55" s="520"/>
      <c r="CD55" s="520"/>
      <c r="CE55" s="520"/>
      <c r="CF55" s="520"/>
      <c r="CG55" s="520"/>
      <c r="CH55" s="520"/>
      <c r="CI55" s="520"/>
      <c r="CJ55" s="520"/>
      <c r="CK55" s="520"/>
      <c r="CL55" s="520"/>
      <c r="CM55" s="520"/>
      <c r="CN55" s="520"/>
      <c r="CO55" s="520"/>
      <c r="CP55" s="520"/>
      <c r="CQ55" s="520"/>
      <c r="CR55" s="520"/>
      <c r="CS55" s="520"/>
      <c r="CT55" s="520"/>
      <c r="CU55" s="520"/>
      <c r="CV55" s="520"/>
      <c r="CW55" s="520"/>
      <c r="CX55" s="520"/>
      <c r="CY55" s="520"/>
      <c r="CZ55" s="520"/>
      <c r="DA55" s="520"/>
      <c r="DB55" s="520"/>
      <c r="DC55" s="520"/>
      <c r="DD55" s="520"/>
      <c r="DE55" s="520"/>
      <c r="DF55" s="520"/>
      <c r="DG55" s="520"/>
      <c r="DH55" s="520"/>
      <c r="DI55" s="520"/>
      <c r="DJ55" s="520"/>
      <c r="DK55" s="520"/>
      <c r="DL55" s="520"/>
      <c r="DM55" s="520"/>
      <c r="DN55" s="520"/>
      <c r="DO55" s="520"/>
      <c r="DP55" s="520"/>
      <c r="DQ55" s="520"/>
      <c r="DR55" s="520"/>
      <c r="DS55" s="520"/>
      <c r="DT55" s="520"/>
      <c r="DU55" s="520"/>
      <c r="DV55" s="520"/>
      <c r="DW55" s="520"/>
      <c r="DX55" s="520"/>
      <c r="DY55" s="520"/>
      <c r="DZ55" s="520"/>
      <c r="EA55" s="520"/>
      <c r="EB55" s="520"/>
      <c r="EC55" s="520"/>
      <c r="ED55" s="520"/>
      <c r="EE55" s="520"/>
      <c r="EF55" s="520"/>
      <c r="EG55" s="520"/>
      <c r="EH55" s="520"/>
      <c r="EI55" s="520"/>
      <c r="EJ55" s="520"/>
      <c r="EK55" s="520"/>
      <c r="EL55" s="520"/>
      <c r="EM55" s="520"/>
      <c r="EN55" s="520"/>
      <c r="EO55" s="520"/>
      <c r="EP55" s="520"/>
      <c r="EQ55" s="520"/>
      <c r="ER55" s="520"/>
      <c r="ES55" s="520"/>
      <c r="ET55" s="520"/>
      <c r="EU55" s="520"/>
      <c r="EV55" s="520"/>
      <c r="EW55" s="520"/>
      <c r="EX55" s="520"/>
      <c r="EY55" s="520"/>
      <c r="EZ55" s="520"/>
      <c r="FA55" s="520"/>
      <c r="FB55" s="520"/>
      <c r="FC55" s="520"/>
      <c r="FD55" s="520"/>
      <c r="FE55" s="520"/>
      <c r="FF55" s="520"/>
      <c r="FG55" s="520"/>
      <c r="FH55" s="520"/>
      <c r="FI55" s="520"/>
      <c r="FJ55" s="520"/>
      <c r="FK55" s="520"/>
      <c r="FL55" s="520"/>
      <c r="FM55" s="520"/>
      <c r="FN55" s="520"/>
      <c r="FO55" s="520"/>
    </row>
    <row r="56" spans="1:171" ht="26.25" customHeight="1">
      <c r="A56" s="558">
        <v>5</v>
      </c>
      <c r="B56" s="559" t="s">
        <v>3303</v>
      </c>
      <c r="C56" s="560" t="s">
        <v>3304</v>
      </c>
      <c r="D56" s="561" t="s">
        <v>3305</v>
      </c>
      <c r="E56" s="560" t="s">
        <v>3306</v>
      </c>
      <c r="F56" s="560" t="s">
        <v>88</v>
      </c>
      <c r="G56" s="581" t="s">
        <v>3052</v>
      </c>
      <c r="H56" s="625" t="b">
        <v>1</v>
      </c>
      <c r="I56" s="581" t="s">
        <v>88</v>
      </c>
      <c r="J56" s="569" t="s">
        <v>98</v>
      </c>
      <c r="K56" s="855" t="s">
        <v>98</v>
      </c>
      <c r="L56" s="956" t="s">
        <v>3307</v>
      </c>
      <c r="M56" s="956" t="s">
        <v>3308</v>
      </c>
      <c r="N56" s="956" t="s">
        <v>3309</v>
      </c>
      <c r="O56" s="956" t="s">
        <v>3310</v>
      </c>
      <c r="P56" s="956" t="s">
        <v>3311</v>
      </c>
      <c r="Q56" s="956"/>
      <c r="R56" s="877" t="s">
        <v>97</v>
      </c>
      <c r="S56" s="877" t="s">
        <v>3037</v>
      </c>
      <c r="T56" s="877" t="s">
        <v>3038</v>
      </c>
      <c r="U56" s="880" t="s">
        <v>2203</v>
      </c>
      <c r="V56" s="880"/>
      <c r="W56" s="48" t="s">
        <v>1006</v>
      </c>
      <c r="X56" s="48" t="s">
        <v>1006</v>
      </c>
      <c r="Y56" s="48" t="s">
        <v>1006</v>
      </c>
      <c r="Z56" s="48" t="s">
        <v>1006</v>
      </c>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20"/>
      <c r="AW56" s="520"/>
      <c r="AX56" s="520"/>
      <c r="AY56" s="520"/>
      <c r="AZ56" s="520"/>
      <c r="BA56" s="520"/>
      <c r="BB56" s="520"/>
      <c r="BC56" s="520"/>
      <c r="BD56" s="520"/>
      <c r="BE56" s="520"/>
      <c r="BF56" s="520"/>
      <c r="BG56" s="520"/>
      <c r="BH56" s="520"/>
      <c r="BI56" s="520"/>
      <c r="BJ56" s="520"/>
      <c r="BK56" s="520"/>
      <c r="BL56" s="520"/>
      <c r="BM56" s="520"/>
      <c r="BN56" s="520"/>
      <c r="BO56" s="520"/>
      <c r="BP56" s="520"/>
      <c r="BQ56" s="520"/>
      <c r="BR56" s="520"/>
      <c r="BS56" s="520"/>
      <c r="BT56" s="520"/>
      <c r="BU56" s="520"/>
      <c r="BV56" s="520"/>
      <c r="BW56" s="520"/>
      <c r="BX56" s="520"/>
      <c r="BY56" s="520"/>
      <c r="BZ56" s="520"/>
      <c r="CA56" s="520"/>
      <c r="CB56" s="520"/>
      <c r="CC56" s="520"/>
      <c r="CD56" s="520"/>
      <c r="CE56" s="520"/>
      <c r="CF56" s="520"/>
      <c r="CG56" s="520"/>
      <c r="CH56" s="520"/>
      <c r="CI56" s="520"/>
      <c r="CJ56" s="520"/>
      <c r="CK56" s="520"/>
      <c r="CL56" s="520"/>
      <c r="CM56" s="520"/>
      <c r="CN56" s="520"/>
      <c r="CO56" s="520"/>
      <c r="CP56" s="520"/>
      <c r="CQ56" s="520"/>
      <c r="CR56" s="520"/>
      <c r="CS56" s="520"/>
      <c r="CT56" s="520"/>
      <c r="CU56" s="520"/>
      <c r="CV56" s="520"/>
      <c r="CW56" s="520"/>
      <c r="CX56" s="520"/>
      <c r="CY56" s="520"/>
      <c r="CZ56" s="520"/>
      <c r="DA56" s="520"/>
      <c r="DB56" s="520"/>
      <c r="DC56" s="520"/>
      <c r="DD56" s="520"/>
      <c r="DE56" s="520"/>
      <c r="DF56" s="520"/>
      <c r="DG56" s="520"/>
      <c r="DH56" s="520"/>
      <c r="DI56" s="520"/>
      <c r="DJ56" s="520"/>
      <c r="DK56" s="520"/>
      <c r="DL56" s="520"/>
      <c r="DM56" s="520"/>
      <c r="DN56" s="520"/>
      <c r="DO56" s="520"/>
      <c r="DP56" s="520"/>
      <c r="DQ56" s="520"/>
      <c r="DR56" s="520"/>
      <c r="DS56" s="520"/>
      <c r="DT56" s="520"/>
      <c r="DU56" s="520"/>
      <c r="DV56" s="520"/>
      <c r="DW56" s="520"/>
      <c r="DX56" s="520"/>
      <c r="DY56" s="520"/>
      <c r="DZ56" s="520"/>
      <c r="EA56" s="520"/>
      <c r="EB56" s="520"/>
      <c r="EC56" s="520"/>
      <c r="ED56" s="520"/>
      <c r="EE56" s="520"/>
      <c r="EF56" s="520"/>
      <c r="EG56" s="520"/>
      <c r="EH56" s="520"/>
      <c r="EI56" s="520"/>
      <c r="EJ56" s="520"/>
      <c r="EK56" s="520"/>
      <c r="EL56" s="520"/>
      <c r="EM56" s="520"/>
      <c r="EN56" s="520"/>
      <c r="EO56" s="520"/>
      <c r="EP56" s="520"/>
      <c r="EQ56" s="520"/>
      <c r="ER56" s="520"/>
      <c r="ES56" s="520"/>
      <c r="ET56" s="520"/>
      <c r="EU56" s="520"/>
      <c r="EV56" s="520"/>
      <c r="EW56" s="520"/>
      <c r="EX56" s="520"/>
      <c r="EY56" s="520"/>
      <c r="EZ56" s="520"/>
      <c r="FA56" s="520"/>
      <c r="FB56" s="520"/>
      <c r="FC56" s="520"/>
      <c r="FD56" s="520"/>
      <c r="FE56" s="520"/>
      <c r="FF56" s="520"/>
      <c r="FG56" s="520"/>
      <c r="FH56" s="520"/>
      <c r="FI56" s="520"/>
      <c r="FJ56" s="520"/>
      <c r="FK56" s="520"/>
      <c r="FL56" s="520"/>
      <c r="FM56" s="520"/>
      <c r="FN56" s="520"/>
      <c r="FO56" s="520"/>
    </row>
    <row r="57" spans="1:171" ht="26.25" customHeight="1">
      <c r="A57" s="558">
        <v>5</v>
      </c>
      <c r="B57" s="559" t="s">
        <v>3303</v>
      </c>
      <c r="C57" s="560" t="s">
        <v>3312</v>
      </c>
      <c r="D57" s="561" t="s">
        <v>3313</v>
      </c>
      <c r="E57" s="560" t="s">
        <v>3314</v>
      </c>
      <c r="F57" s="560" t="s">
        <v>88</v>
      </c>
      <c r="G57" s="581" t="s">
        <v>3052</v>
      </c>
      <c r="H57" s="625" t="b">
        <v>1</v>
      </c>
      <c r="I57" s="581" t="s">
        <v>88</v>
      </c>
      <c r="J57" s="569" t="s">
        <v>98</v>
      </c>
      <c r="K57" s="855" t="s">
        <v>98</v>
      </c>
      <c r="L57" s="922" t="s">
        <v>3315</v>
      </c>
      <c r="M57" s="922" t="s">
        <v>3316</v>
      </c>
      <c r="N57" s="922" t="s">
        <v>3317</v>
      </c>
      <c r="O57" s="922" t="s">
        <v>3318</v>
      </c>
      <c r="P57" s="922" t="s">
        <v>3319</v>
      </c>
      <c r="Q57" s="922"/>
      <c r="R57" s="873" t="s">
        <v>97</v>
      </c>
      <c r="S57" s="873" t="s">
        <v>3037</v>
      </c>
      <c r="T57" s="873" t="s">
        <v>3038</v>
      </c>
      <c r="U57" s="873" t="s">
        <v>2203</v>
      </c>
      <c r="V57" s="873" t="s">
        <v>1728</v>
      </c>
      <c r="W57" s="48" t="s">
        <v>1006</v>
      </c>
      <c r="X57" s="48" t="s">
        <v>1006</v>
      </c>
      <c r="Y57" s="48" t="s">
        <v>1006</v>
      </c>
      <c r="Z57" s="48" t="s">
        <v>1006</v>
      </c>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20"/>
      <c r="AW57" s="520"/>
      <c r="AX57" s="520"/>
      <c r="AY57" s="520"/>
      <c r="AZ57" s="520"/>
      <c r="BA57" s="520"/>
      <c r="BB57" s="520"/>
      <c r="BC57" s="520"/>
      <c r="BD57" s="520"/>
      <c r="BE57" s="520"/>
      <c r="BF57" s="520"/>
      <c r="BG57" s="520"/>
      <c r="BH57" s="520"/>
      <c r="BI57" s="520"/>
      <c r="BJ57" s="520"/>
      <c r="BK57" s="520"/>
      <c r="BL57" s="520"/>
      <c r="BM57" s="520"/>
      <c r="BN57" s="520"/>
      <c r="BO57" s="520"/>
      <c r="BP57" s="520"/>
      <c r="BQ57" s="520"/>
      <c r="BR57" s="520"/>
      <c r="BS57" s="520"/>
      <c r="BT57" s="520"/>
      <c r="BU57" s="520"/>
      <c r="BV57" s="520"/>
      <c r="BW57" s="520"/>
      <c r="BX57" s="520"/>
      <c r="BY57" s="520"/>
      <c r="BZ57" s="520"/>
      <c r="CA57" s="520"/>
      <c r="CB57" s="520"/>
      <c r="CC57" s="520"/>
      <c r="CD57" s="520"/>
      <c r="CE57" s="520"/>
      <c r="CF57" s="520"/>
      <c r="CG57" s="520"/>
      <c r="CH57" s="520"/>
      <c r="CI57" s="520"/>
      <c r="CJ57" s="520"/>
      <c r="CK57" s="520"/>
      <c r="CL57" s="520"/>
      <c r="CM57" s="520"/>
      <c r="CN57" s="520"/>
      <c r="CO57" s="520"/>
      <c r="CP57" s="520"/>
      <c r="CQ57" s="520"/>
      <c r="CR57" s="520"/>
      <c r="CS57" s="520"/>
      <c r="CT57" s="520"/>
      <c r="CU57" s="520"/>
      <c r="CV57" s="520"/>
      <c r="CW57" s="520"/>
      <c r="CX57" s="520"/>
      <c r="CY57" s="520"/>
      <c r="CZ57" s="520"/>
      <c r="DA57" s="520"/>
      <c r="DB57" s="520"/>
      <c r="DC57" s="520"/>
      <c r="DD57" s="520"/>
      <c r="DE57" s="520"/>
      <c r="DF57" s="520"/>
      <c r="DG57" s="520"/>
      <c r="DH57" s="520"/>
      <c r="DI57" s="520"/>
      <c r="DJ57" s="520"/>
      <c r="DK57" s="520"/>
      <c r="DL57" s="520"/>
      <c r="DM57" s="520"/>
      <c r="DN57" s="520"/>
      <c r="DO57" s="520"/>
      <c r="DP57" s="520"/>
      <c r="DQ57" s="520"/>
      <c r="DR57" s="520"/>
      <c r="DS57" s="520"/>
      <c r="DT57" s="520"/>
      <c r="DU57" s="520"/>
      <c r="DV57" s="520"/>
      <c r="DW57" s="520"/>
      <c r="DX57" s="520"/>
      <c r="DY57" s="520"/>
      <c r="DZ57" s="520"/>
      <c r="EA57" s="520"/>
      <c r="EB57" s="520"/>
      <c r="EC57" s="520"/>
      <c r="ED57" s="520"/>
      <c r="EE57" s="520"/>
      <c r="EF57" s="520"/>
      <c r="EG57" s="520"/>
      <c r="EH57" s="520"/>
      <c r="EI57" s="520"/>
      <c r="EJ57" s="520"/>
      <c r="EK57" s="520"/>
      <c r="EL57" s="520"/>
      <c r="EM57" s="520"/>
      <c r="EN57" s="520"/>
      <c r="EO57" s="520"/>
      <c r="EP57" s="520"/>
      <c r="EQ57" s="520"/>
      <c r="ER57" s="520"/>
      <c r="ES57" s="520"/>
      <c r="ET57" s="520"/>
      <c r="EU57" s="520"/>
      <c r="EV57" s="520"/>
      <c r="EW57" s="520"/>
      <c r="EX57" s="520"/>
      <c r="EY57" s="520"/>
      <c r="EZ57" s="520"/>
      <c r="FA57" s="520"/>
      <c r="FB57" s="520"/>
      <c r="FC57" s="520"/>
      <c r="FD57" s="520"/>
      <c r="FE57" s="520"/>
      <c r="FF57" s="520"/>
      <c r="FG57" s="520"/>
      <c r="FH57" s="520"/>
      <c r="FI57" s="520"/>
      <c r="FJ57" s="520"/>
      <c r="FK57" s="520"/>
      <c r="FL57" s="520"/>
      <c r="FM57" s="520"/>
      <c r="FN57" s="520"/>
      <c r="FO57" s="520"/>
    </row>
    <row r="58" spans="1:171" ht="26.25" customHeight="1">
      <c r="A58" s="563">
        <v>5</v>
      </c>
      <c r="B58" s="564" t="s">
        <v>3303</v>
      </c>
      <c r="C58" s="565" t="s">
        <v>3320</v>
      </c>
      <c r="D58" s="568"/>
      <c r="E58" s="565" t="s">
        <v>88</v>
      </c>
      <c r="F58" s="565" t="s">
        <v>3321</v>
      </c>
      <c r="G58" s="582" t="s">
        <v>88</v>
      </c>
      <c r="H58" s="626" t="b">
        <v>1</v>
      </c>
      <c r="I58" s="583" t="s">
        <v>3322</v>
      </c>
      <c r="J58" s="569" t="s">
        <v>1006</v>
      </c>
      <c r="K58" s="855" t="s">
        <v>1006</v>
      </c>
      <c r="L58" s="887"/>
      <c r="M58" s="887"/>
      <c r="N58" s="887"/>
      <c r="O58" s="887"/>
      <c r="P58" s="887"/>
      <c r="Q58" s="887"/>
      <c r="R58" s="887"/>
      <c r="S58" s="887"/>
      <c r="T58" s="887"/>
      <c r="U58" s="887"/>
      <c r="V58" s="888"/>
      <c r="W58" s="48" t="s">
        <v>1006</v>
      </c>
      <c r="X58" s="48" t="s">
        <v>1006</v>
      </c>
      <c r="Y58" s="48" t="s">
        <v>1006</v>
      </c>
      <c r="Z58" s="48" t="s">
        <v>1006</v>
      </c>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20"/>
      <c r="AW58" s="520"/>
      <c r="AX58" s="520"/>
      <c r="AY58" s="520"/>
      <c r="AZ58" s="520"/>
      <c r="BA58" s="520"/>
      <c r="BB58" s="520"/>
      <c r="BC58" s="520"/>
      <c r="BD58" s="520"/>
      <c r="BE58" s="520"/>
      <c r="BF58" s="520"/>
      <c r="BG58" s="520"/>
      <c r="BH58" s="520"/>
      <c r="BI58" s="520"/>
      <c r="BJ58" s="520"/>
      <c r="BK58" s="520"/>
      <c r="BL58" s="520"/>
      <c r="BM58" s="520"/>
      <c r="BN58" s="520"/>
      <c r="BO58" s="520"/>
      <c r="BP58" s="520"/>
      <c r="BQ58" s="520"/>
      <c r="BR58" s="520"/>
      <c r="BS58" s="520"/>
      <c r="BT58" s="520"/>
      <c r="BU58" s="520"/>
      <c r="BV58" s="520"/>
      <c r="BW58" s="520"/>
      <c r="BX58" s="520"/>
      <c r="BY58" s="520"/>
      <c r="BZ58" s="520"/>
      <c r="CA58" s="520"/>
      <c r="CB58" s="520"/>
      <c r="CC58" s="520"/>
      <c r="CD58" s="520"/>
      <c r="CE58" s="520"/>
      <c r="CF58" s="520"/>
      <c r="CG58" s="520"/>
      <c r="CH58" s="520"/>
      <c r="CI58" s="520"/>
      <c r="CJ58" s="520"/>
      <c r="CK58" s="520"/>
      <c r="CL58" s="520"/>
      <c r="CM58" s="520"/>
      <c r="CN58" s="520"/>
      <c r="CO58" s="520"/>
      <c r="CP58" s="520"/>
      <c r="CQ58" s="520"/>
      <c r="CR58" s="520"/>
      <c r="CS58" s="520"/>
      <c r="CT58" s="520"/>
      <c r="CU58" s="520"/>
      <c r="CV58" s="520"/>
      <c r="CW58" s="520"/>
      <c r="CX58" s="520"/>
      <c r="CY58" s="520"/>
      <c r="CZ58" s="520"/>
      <c r="DA58" s="520"/>
      <c r="DB58" s="520"/>
      <c r="DC58" s="520"/>
      <c r="DD58" s="520"/>
      <c r="DE58" s="520"/>
      <c r="DF58" s="520"/>
      <c r="DG58" s="520"/>
      <c r="DH58" s="520"/>
      <c r="DI58" s="520"/>
      <c r="DJ58" s="520"/>
      <c r="DK58" s="520"/>
      <c r="DL58" s="520"/>
      <c r="DM58" s="520"/>
      <c r="DN58" s="520"/>
      <c r="DO58" s="520"/>
      <c r="DP58" s="520"/>
      <c r="DQ58" s="520"/>
      <c r="DR58" s="520"/>
      <c r="DS58" s="520"/>
      <c r="DT58" s="520"/>
      <c r="DU58" s="520"/>
      <c r="DV58" s="520"/>
      <c r="DW58" s="520"/>
      <c r="DX58" s="520"/>
      <c r="DY58" s="520"/>
      <c r="DZ58" s="520"/>
      <c r="EA58" s="520"/>
      <c r="EB58" s="520"/>
      <c r="EC58" s="520"/>
      <c r="ED58" s="520"/>
      <c r="EE58" s="520"/>
      <c r="EF58" s="520"/>
      <c r="EG58" s="520"/>
      <c r="EH58" s="520"/>
      <c r="EI58" s="520"/>
      <c r="EJ58" s="520"/>
      <c r="EK58" s="520"/>
      <c r="EL58" s="520"/>
      <c r="EM58" s="520"/>
      <c r="EN58" s="520"/>
      <c r="EO58" s="520"/>
      <c r="EP58" s="520"/>
      <c r="EQ58" s="520"/>
      <c r="ER58" s="520"/>
      <c r="ES58" s="520"/>
      <c r="ET58" s="520"/>
      <c r="EU58" s="520"/>
      <c r="EV58" s="520"/>
      <c r="EW58" s="520"/>
      <c r="EX58" s="520"/>
      <c r="EY58" s="520"/>
      <c r="EZ58" s="520"/>
      <c r="FA58" s="520"/>
      <c r="FB58" s="520"/>
      <c r="FC58" s="520"/>
      <c r="FD58" s="520"/>
      <c r="FE58" s="520"/>
      <c r="FF58" s="520"/>
      <c r="FG58" s="520"/>
      <c r="FH58" s="520"/>
      <c r="FI58" s="520"/>
      <c r="FJ58" s="520"/>
      <c r="FK58" s="520"/>
      <c r="FL58" s="520"/>
      <c r="FM58" s="520"/>
      <c r="FN58" s="520"/>
      <c r="FO58" s="520"/>
    </row>
    <row r="59" spans="1:171" ht="26.25" customHeight="1">
      <c r="A59" s="558">
        <v>5</v>
      </c>
      <c r="B59" s="559" t="s">
        <v>3323</v>
      </c>
      <c r="C59" s="560" t="s">
        <v>3324</v>
      </c>
      <c r="D59" s="561" t="s">
        <v>3325</v>
      </c>
      <c r="E59" s="560" t="s">
        <v>3326</v>
      </c>
      <c r="F59" s="560" t="s">
        <v>88</v>
      </c>
      <c r="G59" s="581" t="s">
        <v>3035</v>
      </c>
      <c r="H59" s="625" t="b">
        <v>1</v>
      </c>
      <c r="I59" s="581"/>
      <c r="J59" s="569" t="s">
        <v>98</v>
      </c>
      <c r="K59" s="855" t="s">
        <v>98</v>
      </c>
      <c r="L59" s="889" t="s">
        <v>3327</v>
      </c>
      <c r="M59" s="889" t="s">
        <v>3328</v>
      </c>
      <c r="N59" s="889" t="s">
        <v>3329</v>
      </c>
      <c r="O59" s="889" t="s">
        <v>3330</v>
      </c>
      <c r="P59" s="889"/>
      <c r="Q59" s="889"/>
      <c r="R59" s="880" t="s">
        <v>97</v>
      </c>
      <c r="S59" s="880" t="s">
        <v>3037</v>
      </c>
      <c r="T59" s="880" t="s">
        <v>3038</v>
      </c>
      <c r="U59" s="880" t="s">
        <v>2203</v>
      </c>
      <c r="V59" s="880"/>
      <c r="W59" s="48" t="s">
        <v>1006</v>
      </c>
      <c r="X59" s="48" t="s">
        <v>1006</v>
      </c>
      <c r="Y59" s="48" t="s">
        <v>1006</v>
      </c>
      <c r="Z59" s="48" t="s">
        <v>1006</v>
      </c>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20"/>
      <c r="AW59" s="520"/>
      <c r="AX59" s="520"/>
      <c r="AY59" s="520"/>
      <c r="AZ59" s="520"/>
      <c r="BA59" s="520"/>
      <c r="BB59" s="520"/>
      <c r="BC59" s="520"/>
      <c r="BD59" s="520"/>
      <c r="BE59" s="520"/>
      <c r="BF59" s="520"/>
      <c r="BG59" s="520"/>
      <c r="BH59" s="520"/>
      <c r="BI59" s="520"/>
      <c r="BJ59" s="520"/>
      <c r="BK59" s="520"/>
      <c r="BL59" s="520"/>
      <c r="BM59" s="520"/>
      <c r="BN59" s="520"/>
      <c r="BO59" s="520"/>
      <c r="BP59" s="520"/>
      <c r="BQ59" s="520"/>
      <c r="BR59" s="520"/>
      <c r="BS59" s="520"/>
      <c r="BT59" s="520"/>
      <c r="BU59" s="520"/>
      <c r="BV59" s="520"/>
      <c r="BW59" s="520"/>
      <c r="BX59" s="520"/>
      <c r="BY59" s="520"/>
      <c r="BZ59" s="520"/>
      <c r="CA59" s="520"/>
      <c r="CB59" s="520"/>
      <c r="CC59" s="520"/>
      <c r="CD59" s="520"/>
      <c r="CE59" s="520"/>
      <c r="CF59" s="520"/>
      <c r="CG59" s="520"/>
      <c r="CH59" s="520"/>
      <c r="CI59" s="520"/>
      <c r="CJ59" s="520"/>
      <c r="CK59" s="520"/>
      <c r="CL59" s="520"/>
      <c r="CM59" s="520"/>
      <c r="CN59" s="520"/>
      <c r="CO59" s="520"/>
      <c r="CP59" s="520"/>
      <c r="CQ59" s="520"/>
      <c r="CR59" s="520"/>
      <c r="CS59" s="520"/>
      <c r="CT59" s="520"/>
      <c r="CU59" s="520"/>
      <c r="CV59" s="520"/>
      <c r="CW59" s="520"/>
      <c r="CX59" s="520"/>
      <c r="CY59" s="520"/>
      <c r="CZ59" s="520"/>
      <c r="DA59" s="520"/>
      <c r="DB59" s="520"/>
      <c r="DC59" s="520"/>
      <c r="DD59" s="520"/>
      <c r="DE59" s="520"/>
      <c r="DF59" s="520"/>
      <c r="DG59" s="520"/>
      <c r="DH59" s="520"/>
      <c r="DI59" s="520"/>
      <c r="DJ59" s="520"/>
      <c r="DK59" s="520"/>
      <c r="DL59" s="520"/>
      <c r="DM59" s="520"/>
      <c r="DN59" s="520"/>
      <c r="DO59" s="520"/>
      <c r="DP59" s="520"/>
      <c r="DQ59" s="520"/>
      <c r="DR59" s="520"/>
      <c r="DS59" s="520"/>
      <c r="DT59" s="520"/>
      <c r="DU59" s="520"/>
      <c r="DV59" s="520"/>
      <c r="DW59" s="520"/>
      <c r="DX59" s="520"/>
      <c r="DY59" s="520"/>
      <c r="DZ59" s="520"/>
      <c r="EA59" s="520"/>
      <c r="EB59" s="520"/>
      <c r="EC59" s="520"/>
      <c r="ED59" s="520"/>
      <c r="EE59" s="520"/>
      <c r="EF59" s="520"/>
      <c r="EG59" s="520"/>
      <c r="EH59" s="520"/>
      <c r="EI59" s="520"/>
      <c r="EJ59" s="520"/>
      <c r="EK59" s="520"/>
      <c r="EL59" s="520"/>
      <c r="EM59" s="520"/>
      <c r="EN59" s="520"/>
      <c r="EO59" s="520"/>
      <c r="EP59" s="520"/>
      <c r="EQ59" s="520"/>
      <c r="ER59" s="520"/>
      <c r="ES59" s="520"/>
      <c r="ET59" s="520"/>
      <c r="EU59" s="520"/>
      <c r="EV59" s="520"/>
      <c r="EW59" s="520"/>
      <c r="EX59" s="520"/>
      <c r="EY59" s="520"/>
      <c r="EZ59" s="520"/>
      <c r="FA59" s="520"/>
      <c r="FB59" s="520"/>
      <c r="FC59" s="520"/>
      <c r="FD59" s="520"/>
      <c r="FE59" s="520"/>
      <c r="FF59" s="520"/>
      <c r="FG59" s="520"/>
      <c r="FH59" s="520"/>
      <c r="FI59" s="520"/>
      <c r="FJ59" s="520"/>
      <c r="FK59" s="520"/>
      <c r="FL59" s="520"/>
      <c r="FM59" s="520"/>
      <c r="FN59" s="520"/>
      <c r="FO59" s="520"/>
    </row>
    <row r="60" spans="1:171" ht="26.25" customHeight="1">
      <c r="A60" s="558">
        <v>5</v>
      </c>
      <c r="B60" s="559" t="s">
        <v>3323</v>
      </c>
      <c r="C60" s="560" t="s">
        <v>3331</v>
      </c>
      <c r="D60" s="561" t="s">
        <v>3332</v>
      </c>
      <c r="E60" s="560" t="s">
        <v>3333</v>
      </c>
      <c r="F60" s="560" t="s">
        <v>88</v>
      </c>
      <c r="G60" s="581" t="s">
        <v>3035</v>
      </c>
      <c r="H60" s="625" t="b">
        <v>1</v>
      </c>
      <c r="I60" s="581"/>
      <c r="J60" s="569" t="s">
        <v>98</v>
      </c>
      <c r="K60" s="855" t="s">
        <v>98</v>
      </c>
      <c r="L60" s="890" t="s">
        <v>3334</v>
      </c>
      <c r="M60" s="890" t="s">
        <v>3335</v>
      </c>
      <c r="N60" s="890" t="s">
        <v>3335</v>
      </c>
      <c r="O60" s="890" t="s">
        <v>3330</v>
      </c>
      <c r="P60" s="890"/>
      <c r="Q60" s="890"/>
      <c r="R60" s="873" t="s">
        <v>97</v>
      </c>
      <c r="S60" s="873" t="s">
        <v>3037</v>
      </c>
      <c r="T60" s="873" t="s">
        <v>3077</v>
      </c>
      <c r="U60" s="873" t="s">
        <v>2203</v>
      </c>
      <c r="V60" s="873"/>
      <c r="W60" s="48" t="s">
        <v>1006</v>
      </c>
      <c r="X60" s="48" t="s">
        <v>1006</v>
      </c>
      <c r="Y60" s="48" t="s">
        <v>1006</v>
      </c>
      <c r="Z60" s="48" t="s">
        <v>1006</v>
      </c>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20"/>
      <c r="AW60" s="520"/>
      <c r="AX60" s="520"/>
      <c r="AY60" s="520"/>
      <c r="AZ60" s="520"/>
      <c r="BA60" s="520"/>
      <c r="BB60" s="520"/>
      <c r="BC60" s="520"/>
      <c r="BD60" s="520"/>
      <c r="BE60" s="520"/>
      <c r="BF60" s="520"/>
      <c r="BG60" s="520"/>
      <c r="BH60" s="520"/>
      <c r="BI60" s="520"/>
      <c r="BJ60" s="520"/>
      <c r="BK60" s="520"/>
      <c r="BL60" s="520"/>
      <c r="BM60" s="520"/>
      <c r="BN60" s="520"/>
      <c r="BO60" s="520"/>
      <c r="BP60" s="520"/>
      <c r="BQ60" s="520"/>
      <c r="BR60" s="520"/>
      <c r="BS60" s="520"/>
      <c r="BT60" s="520"/>
      <c r="BU60" s="520"/>
      <c r="BV60" s="520"/>
      <c r="BW60" s="520"/>
      <c r="BX60" s="520"/>
      <c r="BY60" s="520"/>
      <c r="BZ60" s="520"/>
      <c r="CA60" s="520"/>
      <c r="CB60" s="520"/>
      <c r="CC60" s="520"/>
      <c r="CD60" s="520"/>
      <c r="CE60" s="520"/>
      <c r="CF60" s="520"/>
      <c r="CG60" s="520"/>
      <c r="CH60" s="520"/>
      <c r="CI60" s="520"/>
      <c r="CJ60" s="520"/>
      <c r="CK60" s="520"/>
      <c r="CL60" s="520"/>
      <c r="CM60" s="520"/>
      <c r="CN60" s="520"/>
      <c r="CO60" s="520"/>
      <c r="CP60" s="520"/>
      <c r="CQ60" s="520"/>
      <c r="CR60" s="520"/>
      <c r="CS60" s="520"/>
      <c r="CT60" s="520"/>
      <c r="CU60" s="520"/>
      <c r="CV60" s="520"/>
      <c r="CW60" s="520"/>
      <c r="CX60" s="520"/>
      <c r="CY60" s="520"/>
      <c r="CZ60" s="520"/>
      <c r="DA60" s="520"/>
      <c r="DB60" s="520"/>
      <c r="DC60" s="520"/>
      <c r="DD60" s="520"/>
      <c r="DE60" s="520"/>
      <c r="DF60" s="520"/>
      <c r="DG60" s="520"/>
      <c r="DH60" s="520"/>
      <c r="DI60" s="520"/>
      <c r="DJ60" s="520"/>
      <c r="DK60" s="520"/>
      <c r="DL60" s="520"/>
      <c r="DM60" s="520"/>
      <c r="DN60" s="520"/>
      <c r="DO60" s="520"/>
      <c r="DP60" s="520"/>
      <c r="DQ60" s="520"/>
      <c r="DR60" s="520"/>
      <c r="DS60" s="520"/>
      <c r="DT60" s="520"/>
      <c r="DU60" s="520"/>
      <c r="DV60" s="520"/>
      <c r="DW60" s="520"/>
      <c r="DX60" s="520"/>
      <c r="DY60" s="520"/>
      <c r="DZ60" s="520"/>
      <c r="EA60" s="520"/>
      <c r="EB60" s="520"/>
      <c r="EC60" s="520"/>
      <c r="ED60" s="520"/>
      <c r="EE60" s="520"/>
      <c r="EF60" s="520"/>
      <c r="EG60" s="520"/>
      <c r="EH60" s="520"/>
      <c r="EI60" s="520"/>
      <c r="EJ60" s="520"/>
      <c r="EK60" s="520"/>
      <c r="EL60" s="520"/>
      <c r="EM60" s="520"/>
      <c r="EN60" s="520"/>
      <c r="EO60" s="520"/>
      <c r="EP60" s="520"/>
      <c r="EQ60" s="520"/>
      <c r="ER60" s="520"/>
      <c r="ES60" s="520"/>
      <c r="ET60" s="520"/>
      <c r="EU60" s="520"/>
      <c r="EV60" s="520"/>
      <c r="EW60" s="520"/>
      <c r="EX60" s="520"/>
      <c r="EY60" s="520"/>
      <c r="EZ60" s="520"/>
      <c r="FA60" s="520"/>
      <c r="FB60" s="520"/>
      <c r="FC60" s="520"/>
      <c r="FD60" s="520"/>
      <c r="FE60" s="520"/>
      <c r="FF60" s="520"/>
      <c r="FG60" s="520"/>
      <c r="FH60" s="520"/>
      <c r="FI60" s="520"/>
      <c r="FJ60" s="520"/>
      <c r="FK60" s="520"/>
      <c r="FL60" s="520"/>
      <c r="FM60" s="520"/>
      <c r="FN60" s="520"/>
      <c r="FO60" s="520"/>
    </row>
  </sheetData>
  <autoFilter ref="A2:FO60" xr:uid="{F953D9DC-71CA-4D61-9734-A2D20AAA998C}"/>
  <mergeCells count="6">
    <mergeCell ref="AK1:AR1"/>
    <mergeCell ref="AS1:AU1"/>
    <mergeCell ref="L1:V1"/>
    <mergeCell ref="W1:Z1"/>
    <mergeCell ref="A1:G1"/>
    <mergeCell ref="AA1:AJ1"/>
  </mergeCells>
  <conditionalFormatting sqref="W3:Z60">
    <cfRule type="cellIs" dxfId="1" priority="1" operator="equal">
      <formula>"NO"</formula>
    </cfRule>
    <cfRule type="cellIs" dxfId="0" priority="2" operator="equal">
      <formula>"YES"</formula>
    </cfRule>
  </conditionalFormatting>
  <hyperlinks>
    <hyperlink ref="D3" r:id="rId1" xr:uid="{DBFFBC51-ACEA-4CBF-9AEA-000FBF285856}"/>
    <hyperlink ref="D4" r:id="rId2" xr:uid="{60DDEE8A-5B7D-4902-A11E-F314D5426320}"/>
    <hyperlink ref="D5" r:id="rId3" xr:uid="{03AEF67D-42DE-4783-92BB-EE1A2C2EFD1E}"/>
    <hyperlink ref="D6" r:id="rId4" xr:uid="{D071F777-E408-4EF8-96D6-B6E7ABF6E2F9}"/>
    <hyperlink ref="D7" r:id="rId5" xr:uid="{4445DE79-D7F1-4D47-BB2D-5438FE9EEA99}"/>
    <hyperlink ref="D8" r:id="rId6" xr:uid="{BCC25FC0-C306-478B-A09B-EEE6262061AA}"/>
    <hyperlink ref="D9" r:id="rId7" xr:uid="{E12008B5-47C1-4690-9305-F94CB8A5538E}"/>
    <hyperlink ref="D10" r:id="rId8" xr:uid="{F282777E-2A2B-4F6F-824C-8B9F8D95B033}"/>
    <hyperlink ref="D11" r:id="rId9" xr:uid="{C89D58FB-7949-4886-A48C-939134FBC82C}"/>
    <hyperlink ref="D12" r:id="rId10" xr:uid="{56D53C7E-A3DB-47A9-B274-17FBE5753CB2}"/>
    <hyperlink ref="D13" r:id="rId11" xr:uid="{330D6839-B86C-454C-8619-7170BE6B7A85}"/>
    <hyperlink ref="D14" r:id="rId12" xr:uid="{600990E6-D834-463C-B7C0-ABB55C151B43}"/>
    <hyperlink ref="D15" r:id="rId13" xr:uid="{8F176335-BFC6-43C5-BFEB-3DC5B1F8C739}"/>
    <hyperlink ref="D16" r:id="rId14" xr:uid="{8E1C8A66-8458-4518-B5AC-F5F52F953DD8}"/>
    <hyperlink ref="D17" r:id="rId15" xr:uid="{69F79E66-B060-4CDC-B90C-0C6C8800690D}"/>
    <hyperlink ref="D18" r:id="rId16" xr:uid="{25A33E71-DDF2-4CCD-946E-4A457746D612}"/>
    <hyperlink ref="D19" r:id="rId17" xr:uid="{1C3A97F6-6DA1-4A87-8844-B8A56C075038}"/>
    <hyperlink ref="D20" r:id="rId18" xr:uid="{AB8B8661-A196-4ADE-80C2-E3264A87C428}"/>
    <hyperlink ref="D21" r:id="rId19" xr:uid="{8840C7FD-B1B7-4852-9794-CB930734830E}"/>
    <hyperlink ref="D22" r:id="rId20" xr:uid="{038ABC8D-F03D-439B-8CDD-F65782F50829}"/>
    <hyperlink ref="D23" r:id="rId21" xr:uid="{43D97725-3480-49FE-81EE-CF7356D0D0ED}"/>
    <hyperlink ref="D24" r:id="rId22" xr:uid="{3B8A2E02-D303-4EE7-8C3C-AB9FC851842E}"/>
    <hyperlink ref="D26" r:id="rId23" xr:uid="{48BD32F9-51A0-44F7-A3C4-3AABFE73B9DF}"/>
    <hyperlink ref="D27" r:id="rId24" xr:uid="{E18B3685-B133-4A31-B729-DB2765646D75}"/>
    <hyperlink ref="D28" r:id="rId25" xr:uid="{3A01496E-E672-47DD-B9F4-5454EC5F1DE8}"/>
    <hyperlink ref="D29" r:id="rId26" xr:uid="{659CBC5D-8798-4AB0-9658-D423B0EA96AA}"/>
    <hyperlink ref="D30" r:id="rId27" xr:uid="{CB0FD9FC-6DE0-4D4F-984C-879F76B77C0C}"/>
    <hyperlink ref="D33" r:id="rId28" xr:uid="{2733E169-0DB5-4254-ACB3-26A5D8CE405C}"/>
    <hyperlink ref="D34" r:id="rId29" xr:uid="{80216D46-F5F2-403D-AD47-7A545A3A6A2D}"/>
    <hyperlink ref="D36" r:id="rId30" xr:uid="{62333FE9-0904-4A26-B0EB-2BC059C87BA2}"/>
    <hyperlink ref="D37" r:id="rId31" xr:uid="{1D2764FA-2842-4C0B-A304-F6F10B22C6BF}"/>
    <hyperlink ref="D38" r:id="rId32" xr:uid="{73E2E05F-EEC0-4E47-9867-5FD84A3B1CAC}"/>
    <hyperlink ref="D39" r:id="rId33" xr:uid="{ADF39A0D-8C0E-4724-AE55-C04462298081}"/>
    <hyperlink ref="D40" r:id="rId34" xr:uid="{80F95438-DF14-4912-8A7F-BAF01E91C1E3}"/>
    <hyperlink ref="D41" r:id="rId35" xr:uid="{F976FA53-54B7-465E-9FA6-DFB0A00316B3}"/>
    <hyperlink ref="D44" r:id="rId36" xr:uid="{6A3FB922-5A2D-4248-A1FF-D0A188CB2ECB}"/>
    <hyperlink ref="D45" r:id="rId37" xr:uid="{C1703B02-4E34-452A-B5BF-26D32AD85D0F}"/>
    <hyperlink ref="D46" r:id="rId38" xr:uid="{B41B587D-EFE8-436D-A92D-FE1A47FE8AD3}"/>
    <hyperlink ref="D47" r:id="rId39" xr:uid="{448E67DE-E5D3-484D-8718-1B91E508BED9}"/>
    <hyperlink ref="D48" r:id="rId40" xr:uid="{F127227F-314A-47D3-87DD-8C55B2BF64AE}"/>
    <hyperlink ref="D49" r:id="rId41" xr:uid="{28832556-201B-49D1-A4BB-72F4ED61E502}"/>
    <hyperlink ref="D50" r:id="rId42" xr:uid="{185E8E62-2397-4DA6-8642-DDA6DF3D71D6}"/>
    <hyperlink ref="D51" r:id="rId43" xr:uid="{52663FB2-8AA6-4DF0-974E-D3CC5BB9920F}"/>
    <hyperlink ref="D52" r:id="rId44" xr:uid="{9F7A6D3D-2832-4F5C-A5A9-A9D07F188747}"/>
    <hyperlink ref="D53" r:id="rId45" xr:uid="{1912D919-2461-4F4F-9323-28F0C2231A6C}"/>
    <hyperlink ref="D54" r:id="rId46" xr:uid="{A0A774E3-5EC2-4106-AB6F-087E80193B4A}"/>
    <hyperlink ref="D55" r:id="rId47" xr:uid="{14254D08-2575-4C05-B513-48B0EBB220C3}"/>
    <hyperlink ref="D56" r:id="rId48" xr:uid="{4E1D8D35-0B00-4A13-955B-6F4F29E57CF4}"/>
    <hyperlink ref="D57" r:id="rId49" xr:uid="{E64EBE7E-5459-43D1-B80C-AC818CFB9F1E}"/>
    <hyperlink ref="D59" r:id="rId50" xr:uid="{E309CE4B-B000-4894-A8C9-FD9A4B03D1E8}"/>
    <hyperlink ref="D60" r:id="rId51" xr:uid="{72649C78-8D8C-4F4A-85BA-8F5EB87AC321}"/>
    <hyperlink ref="D31" r:id="rId52" xr:uid="{E593FCEE-598A-4504-AE8C-F0B73A16C65B}"/>
    <hyperlink ref="D32" r:id="rId53" xr:uid="{39891DA3-B709-4087-9D0E-8169862DFCB7}"/>
    <hyperlink ref="D25" r:id="rId54" xr:uid="{AFFBC8A7-DB7A-4D47-AB3A-3DA630202390}"/>
    <hyperlink ref="D35" r:id="rId55" xr:uid="{9A066982-F9A1-4C2C-803C-7231987FA40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E73EB-E45B-44FE-8A9C-B119C161D59F}">
  <dimension ref="A1:I25"/>
  <sheetViews>
    <sheetView topLeftCell="A11" workbookViewId="0">
      <selection activeCell="E22" sqref="E22"/>
    </sheetView>
  </sheetViews>
  <sheetFormatPr baseColWidth="10" defaultColWidth="8.83203125" defaultRowHeight="15"/>
  <cols>
    <col min="1" max="2" width="14" customWidth="1"/>
    <col min="3" max="5" width="16.5" customWidth="1"/>
    <col min="6" max="6" width="15" customWidth="1"/>
    <col min="7" max="9" width="15.1640625" customWidth="1"/>
  </cols>
  <sheetData>
    <row r="1" spans="1:9" ht="16">
      <c r="A1" s="487"/>
      <c r="B1" s="1233" t="s">
        <v>3336</v>
      </c>
      <c r="C1" s="1234"/>
      <c r="D1" s="1235"/>
      <c r="F1" s="1231" t="s">
        <v>3337</v>
      </c>
      <c r="G1" s="1231"/>
      <c r="H1" s="1231"/>
      <c r="I1" s="1231"/>
    </row>
    <row r="2" spans="1:9" ht="16">
      <c r="A2" s="487"/>
      <c r="B2" s="496">
        <v>45943</v>
      </c>
      <c r="C2" s="488">
        <v>45944</v>
      </c>
      <c r="D2" s="488">
        <v>45945</v>
      </c>
      <c r="F2" s="504" t="s">
        <v>88</v>
      </c>
      <c r="G2" s="506">
        <v>45943</v>
      </c>
      <c r="H2" s="506">
        <v>45944</v>
      </c>
      <c r="I2" s="506">
        <v>45945</v>
      </c>
    </row>
    <row r="3" spans="1:9" ht="16">
      <c r="A3" s="489" t="s">
        <v>3338</v>
      </c>
      <c r="B3" s="489">
        <v>154</v>
      </c>
      <c r="C3" s="489">
        <v>154</v>
      </c>
      <c r="D3" s="489">
        <v>45</v>
      </c>
      <c r="F3" s="505" t="s">
        <v>3339</v>
      </c>
      <c r="G3" s="504">
        <f>Sessions!BW117</f>
        <v>55</v>
      </c>
      <c r="H3" s="504">
        <f>Sessions!BX117</f>
        <v>54</v>
      </c>
      <c r="I3" s="504">
        <f>Sessions!BY117</f>
        <v>1</v>
      </c>
    </row>
    <row r="4" spans="1:9" ht="16">
      <c r="F4" s="505" t="s">
        <v>3340</v>
      </c>
      <c r="G4" s="504">
        <f>Stands!BR85</f>
        <v>43</v>
      </c>
      <c r="H4" s="504">
        <f>Stands!BS85</f>
        <v>43</v>
      </c>
      <c r="I4" s="504">
        <f>Stands!BT85</f>
        <v>31</v>
      </c>
    </row>
    <row r="5" spans="1:9" ht="16">
      <c r="A5" s="1236" t="s">
        <v>3341</v>
      </c>
      <c r="B5" s="1236"/>
      <c r="C5" s="1236"/>
      <c r="D5" s="1236"/>
      <c r="F5" s="505" t="s">
        <v>3342</v>
      </c>
      <c r="G5" s="770">
        <f>Tastings!BP22</f>
        <v>7</v>
      </c>
      <c r="H5" s="770">
        <f>Tastings!BQ22</f>
        <v>8</v>
      </c>
      <c r="I5" s="770">
        <f>Tastings!BR22</f>
        <v>3</v>
      </c>
    </row>
    <row r="6" spans="1:9" ht="16">
      <c r="A6" s="490" t="s">
        <v>88</v>
      </c>
      <c r="B6" s="491">
        <v>45943</v>
      </c>
      <c r="C6" s="491">
        <v>45944</v>
      </c>
      <c r="D6" s="491">
        <v>45945</v>
      </c>
      <c r="G6" s="23">
        <f>SUM(G3:G5)</f>
        <v>105</v>
      </c>
      <c r="H6" s="23">
        <f>SUM(H3:H5)</f>
        <v>105</v>
      </c>
      <c r="I6" s="23">
        <f>SUM(I3:I5)</f>
        <v>35</v>
      </c>
    </row>
    <row r="7" spans="1:9" ht="16">
      <c r="A7" s="492" t="s">
        <v>3339</v>
      </c>
      <c r="B7" s="493">
        <v>75</v>
      </c>
      <c r="C7" s="493">
        <v>75</v>
      </c>
      <c r="D7" s="493">
        <v>12</v>
      </c>
    </row>
    <row r="8" spans="1:9" ht="16">
      <c r="A8" s="492" t="s">
        <v>3340</v>
      </c>
      <c r="B8" s="493">
        <v>48</v>
      </c>
      <c r="C8" s="493">
        <v>48</v>
      </c>
      <c r="D8" s="493">
        <v>48</v>
      </c>
    </row>
    <row r="9" spans="1:9" ht="16">
      <c r="A9" s="492" t="s">
        <v>3342</v>
      </c>
      <c r="B9" s="493">
        <v>9</v>
      </c>
      <c r="C9" s="493">
        <v>9</v>
      </c>
      <c r="D9" s="493">
        <v>6</v>
      </c>
    </row>
    <row r="10" spans="1:9" ht="16">
      <c r="A10" s="494"/>
      <c r="B10" s="495">
        <f>SUM(B7:B9)</f>
        <v>132</v>
      </c>
      <c r="C10" s="495">
        <f>SUM(C7:C9)</f>
        <v>132</v>
      </c>
      <c r="D10" s="495">
        <f>SUM(D7:D9)</f>
        <v>66</v>
      </c>
      <c r="E10" s="495"/>
    </row>
    <row r="12" spans="1:9" ht="16">
      <c r="A12" s="1232" t="s">
        <v>3343</v>
      </c>
      <c r="B12" s="1232"/>
      <c r="C12" s="1232"/>
      <c r="D12" s="1232"/>
      <c r="E12" s="1232"/>
    </row>
    <row r="13" spans="1:9" ht="16">
      <c r="A13" s="501" t="s">
        <v>88</v>
      </c>
      <c r="B13" s="502"/>
      <c r="C13" s="503">
        <v>45943</v>
      </c>
      <c r="D13" s="503">
        <v>45944</v>
      </c>
      <c r="E13" s="503">
        <v>45945</v>
      </c>
    </row>
    <row r="14" spans="1:9" ht="16" customHeight="1">
      <c r="A14" s="1238" t="s">
        <v>3339</v>
      </c>
      <c r="B14" s="498" t="s">
        <v>1610</v>
      </c>
      <c r="C14" s="499">
        <v>79</v>
      </c>
      <c r="D14" s="499">
        <v>77</v>
      </c>
      <c r="E14" s="499">
        <v>2</v>
      </c>
    </row>
    <row r="15" spans="1:9" ht="34">
      <c r="A15" s="1239"/>
      <c r="B15" s="500" t="s">
        <v>3344</v>
      </c>
      <c r="C15" s="499">
        <v>1</v>
      </c>
      <c r="D15" s="499">
        <v>1</v>
      </c>
      <c r="E15" s="499">
        <v>0</v>
      </c>
    </row>
    <row r="16" spans="1:9" ht="51">
      <c r="A16" s="1240"/>
      <c r="B16" s="500" t="s">
        <v>3345</v>
      </c>
      <c r="C16" s="504">
        <v>6</v>
      </c>
      <c r="D16" s="504">
        <v>6</v>
      </c>
      <c r="E16" s="504">
        <v>0</v>
      </c>
    </row>
    <row r="17" spans="1:6" ht="16">
      <c r="A17" s="1241" t="s">
        <v>3340</v>
      </c>
      <c r="B17" s="498" t="s">
        <v>1610</v>
      </c>
      <c r="C17" s="499">
        <v>46</v>
      </c>
      <c r="D17" s="499">
        <v>46</v>
      </c>
      <c r="E17" s="499">
        <v>31</v>
      </c>
    </row>
    <row r="18" spans="1:6" ht="34">
      <c r="A18" s="1242"/>
      <c r="B18" s="500" t="s">
        <v>3344</v>
      </c>
      <c r="C18" s="499"/>
      <c r="D18" s="499"/>
      <c r="E18" s="499"/>
    </row>
    <row r="19" spans="1:6" ht="51">
      <c r="A19" s="1242"/>
      <c r="B19" s="500" t="s">
        <v>3345</v>
      </c>
      <c r="C19" s="504">
        <v>3</v>
      </c>
      <c r="D19" s="504">
        <v>3</v>
      </c>
      <c r="E19" s="504">
        <v>3</v>
      </c>
      <c r="F19" s="23"/>
    </row>
    <row r="20" spans="1:6" ht="16">
      <c r="A20" s="1237" t="s">
        <v>3342</v>
      </c>
      <c r="B20" s="498" t="s">
        <v>1610</v>
      </c>
      <c r="C20" s="499">
        <v>10</v>
      </c>
      <c r="D20" s="499">
        <v>11</v>
      </c>
      <c r="E20" s="499">
        <v>6</v>
      </c>
    </row>
    <row r="21" spans="1:6" ht="34">
      <c r="A21" s="1237"/>
      <c r="B21" s="500" t="s">
        <v>3344</v>
      </c>
      <c r="C21" s="499"/>
      <c r="D21" s="499"/>
      <c r="E21" s="499">
        <v>2</v>
      </c>
    </row>
    <row r="22" spans="1:6" ht="16">
      <c r="A22" s="497"/>
      <c r="C22" s="486">
        <f>SUM(C14:C21)</f>
        <v>145</v>
      </c>
      <c r="D22" s="486">
        <f>SUM(D14:D21)</f>
        <v>144</v>
      </c>
      <c r="E22" s="486">
        <f>SUM(E14:E21)</f>
        <v>44</v>
      </c>
    </row>
    <row r="25" spans="1:6" ht="14.5" customHeight="1"/>
  </sheetData>
  <mergeCells count="7">
    <mergeCell ref="F1:I1"/>
    <mergeCell ref="A12:E12"/>
    <mergeCell ref="B1:D1"/>
    <mergeCell ref="A5:D5"/>
    <mergeCell ref="A20:A21"/>
    <mergeCell ref="A14:A16"/>
    <mergeCell ref="A17:A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4C931-A02A-46EC-8302-4D404338A8F4}">
  <dimension ref="A1:A2"/>
  <sheetViews>
    <sheetView workbookViewId="0"/>
  </sheetViews>
  <sheetFormatPr baseColWidth="10" defaultColWidth="8.83203125" defaultRowHeight="15"/>
  <sheetData>
    <row r="1" spans="1:1">
      <c r="A1" t="s">
        <v>98</v>
      </c>
    </row>
    <row r="2" spans="1:1">
      <c r="A2" t="s">
        <v>1006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BAC6B-2C5A-A64B-A3EA-8FB3AE60A881}">
  <dimension ref="A2:Z20"/>
  <sheetViews>
    <sheetView zoomScaleNormal="100" workbookViewId="0">
      <selection activeCell="C5" sqref="C5"/>
    </sheetView>
  </sheetViews>
  <sheetFormatPr baseColWidth="10" defaultColWidth="11.5" defaultRowHeight="15"/>
  <cols>
    <col min="1" max="1" width="16.5" style="5" customWidth="1"/>
    <col min="2" max="2" width="5" bestFit="1" customWidth="1"/>
    <col min="3" max="3" width="15.1640625" bestFit="1" customWidth="1"/>
    <col min="4" max="5" width="16.5" customWidth="1"/>
    <col min="12" max="12" width="10.83203125"/>
    <col min="16" max="16" width="5.83203125" customWidth="1"/>
    <col min="17" max="17" width="22" customWidth="1"/>
    <col min="19" max="19" width="21.5" customWidth="1"/>
    <col min="21" max="21" width="18.5" customWidth="1"/>
    <col min="23" max="23" width="14.5" customWidth="1"/>
    <col min="24" max="24" width="9" bestFit="1" customWidth="1"/>
    <col min="25" max="25" width="34.5" customWidth="1"/>
    <col min="26" max="26" width="29.83203125" bestFit="1" customWidth="1"/>
  </cols>
  <sheetData>
    <row r="2" spans="1:26">
      <c r="G2" s="1244" t="s">
        <v>3346</v>
      </c>
      <c r="H2" s="1244"/>
      <c r="I2" s="1244"/>
      <c r="J2" s="1244"/>
      <c r="K2" s="1244"/>
      <c r="L2" s="1244"/>
      <c r="M2" s="1244"/>
      <c r="N2" s="1244"/>
      <c r="Q2" s="1244" t="s">
        <v>3347</v>
      </c>
      <c r="R2" s="1244"/>
      <c r="S2" s="1244"/>
      <c r="T2" s="1244"/>
      <c r="U2" s="1244"/>
      <c r="V2" s="1244"/>
      <c r="W2" s="1244"/>
      <c r="X2" s="1244"/>
    </row>
    <row r="3" spans="1:26" ht="19">
      <c r="C3" s="2"/>
      <c r="D3" s="2"/>
      <c r="E3" s="2"/>
      <c r="G3" s="1245">
        <v>45943</v>
      </c>
      <c r="H3" s="1246"/>
      <c r="I3" s="1243">
        <v>45944</v>
      </c>
      <c r="J3" s="1244"/>
      <c r="K3" s="1243">
        <v>45945</v>
      </c>
      <c r="L3" s="1244"/>
      <c r="M3" s="1243">
        <v>45946</v>
      </c>
      <c r="N3" s="1244"/>
      <c r="Q3" s="1243">
        <v>45943</v>
      </c>
      <c r="R3" s="1243"/>
      <c r="S3" s="1243">
        <v>45944</v>
      </c>
      <c r="T3" s="1244"/>
      <c r="U3" s="1243">
        <v>45945</v>
      </c>
      <c r="V3" s="1244"/>
      <c r="W3" s="1243">
        <v>45946</v>
      </c>
      <c r="X3" s="1244"/>
    </row>
    <row r="4" spans="1:26" s="8" customFormat="1" ht="48">
      <c r="B4" s="6" t="s">
        <v>1269</v>
      </c>
      <c r="C4" s="6" t="s">
        <v>3348</v>
      </c>
      <c r="D4" s="7" t="s">
        <v>3349</v>
      </c>
      <c r="E4" s="7" t="s">
        <v>3350</v>
      </c>
      <c r="G4" s="18" t="s">
        <v>3351</v>
      </c>
      <c r="H4" s="18" t="s">
        <v>1276</v>
      </c>
      <c r="I4" s="18" t="s">
        <v>3351</v>
      </c>
      <c r="J4" s="18" t="s">
        <v>1276</v>
      </c>
      <c r="K4" s="18" t="s">
        <v>3351</v>
      </c>
      <c r="L4" s="18" t="s">
        <v>1276</v>
      </c>
      <c r="M4" s="18" t="s">
        <v>3351</v>
      </c>
      <c r="N4" s="18" t="s">
        <v>1276</v>
      </c>
      <c r="Q4" s="18" t="s">
        <v>3351</v>
      </c>
      <c r="R4" s="18" t="s">
        <v>1276</v>
      </c>
      <c r="S4" s="18" t="s">
        <v>3351</v>
      </c>
      <c r="T4" s="18" t="s">
        <v>1276</v>
      </c>
      <c r="U4" s="18" t="s">
        <v>3351</v>
      </c>
      <c r="V4" s="18" t="s">
        <v>1276</v>
      </c>
      <c r="W4" s="18" t="s">
        <v>3351</v>
      </c>
      <c r="X4" s="18" t="s">
        <v>1276</v>
      </c>
    </row>
    <row r="5" spans="1:26" ht="30" customHeight="1">
      <c r="A5" s="4" t="s">
        <v>3352</v>
      </c>
      <c r="B5" s="13">
        <f>Sessions!E117</f>
        <v>56</v>
      </c>
      <c r="C5" s="11">
        <f>Sessions!S117</f>
        <v>44</v>
      </c>
      <c r="D5" s="11">
        <f>Sessions!V117</f>
        <v>95</v>
      </c>
      <c r="E5" s="11">
        <f>Sessions!AG117</f>
        <v>97</v>
      </c>
      <c r="G5" s="15" t="str">
        <f>Sessions!B62</f>
        <v>09:30 - 11:00</v>
      </c>
      <c r="H5" s="15">
        <f>Sessions!C62</f>
        <v>45943</v>
      </c>
      <c r="I5" s="19" t="e">
        <f>Sessions!#REF!</f>
        <v>#REF!</v>
      </c>
      <c r="J5" s="19" t="e">
        <f>Sessions!#REF!</f>
        <v>#REF!</v>
      </c>
      <c r="K5" s="19" t="e">
        <f>Sessions!#REF!</f>
        <v>#REF!</v>
      </c>
      <c r="L5" s="19" t="e">
        <f>Sessions!#REF!</f>
        <v>#REF!</v>
      </c>
      <c r="M5" s="19" t="str">
        <f>Sessions!B63</f>
        <v>17:00 - 18:00</v>
      </c>
      <c r="N5" s="19">
        <f>Sessions!E63</f>
        <v>2435</v>
      </c>
      <c r="O5" t="s">
        <v>660</v>
      </c>
      <c r="Q5" s="15">
        <f>Sessions!$D62</f>
        <v>45945</v>
      </c>
      <c r="R5" s="15">
        <f>Sessions!$E62</f>
        <v>2429</v>
      </c>
      <c r="S5" s="15" t="e">
        <f>Sessions!#REF!</f>
        <v>#REF!</v>
      </c>
      <c r="T5" s="15" t="e">
        <f>Sessions!#REF!</f>
        <v>#REF!</v>
      </c>
      <c r="U5" s="15" t="e">
        <f>Sessions!#REF!</f>
        <v>#REF!</v>
      </c>
      <c r="V5" s="15" t="e">
        <f>Sessions!#REF!</f>
        <v>#REF!</v>
      </c>
      <c r="W5" s="15">
        <f>Sessions!$D63</f>
        <v>45945</v>
      </c>
      <c r="X5" s="15">
        <f>Sessions!$E63</f>
        <v>2435</v>
      </c>
    </row>
    <row r="6" spans="1:26" ht="30" customHeight="1">
      <c r="A6" s="4" t="s">
        <v>3353</v>
      </c>
      <c r="B6" s="13">
        <f>Stands!D85</f>
        <v>54</v>
      </c>
      <c r="C6" s="11">
        <f>Stands!Q85</f>
        <v>28</v>
      </c>
      <c r="D6" s="11">
        <f>Stands!T85</f>
        <v>50</v>
      </c>
      <c r="E6" s="11">
        <f>Stands!AB85</f>
        <v>51</v>
      </c>
      <c r="G6" s="15">
        <f>Stands!$B62</f>
        <v>0</v>
      </c>
      <c r="H6" s="15">
        <f>Stands!$C62</f>
        <v>0</v>
      </c>
      <c r="I6" s="15">
        <f>Stands!$B63</f>
        <v>45943</v>
      </c>
      <c r="J6" s="15">
        <f>Stands!$C63</f>
        <v>45946</v>
      </c>
      <c r="K6" s="15">
        <f>Stands!$B64</f>
        <v>45943</v>
      </c>
      <c r="L6" s="15">
        <f>Stands!$C64</f>
        <v>45946</v>
      </c>
      <c r="M6" s="15">
        <f>Stands!$B65</f>
        <v>0</v>
      </c>
      <c r="N6" s="15">
        <f>Stands!$C65</f>
        <v>0</v>
      </c>
      <c r="Q6" s="15">
        <f>Stands!$D62</f>
        <v>0</v>
      </c>
      <c r="R6" s="15" t="str">
        <f>Stands!$E62</f>
        <v> </v>
      </c>
      <c r="S6" s="15">
        <f>Stands!$D63</f>
        <v>2600</v>
      </c>
      <c r="T6" s="15" t="str">
        <f>Stands!$E63</f>
        <v>Stay by Choice, Not by Chance: Unlocking smart and green solutions for thriving Mediterranean Communities and Territories</v>
      </c>
      <c r="U6" s="15">
        <f>Stands!$D64</f>
        <v>2604</v>
      </c>
      <c r="V6" s="15" t="str">
        <f>Stands!$E64</f>
        <v>One Borderless Vision: Celebrating 20 Years of EU’s Eastern Cooperation</v>
      </c>
      <c r="W6" s="15">
        <f>Stands!$D65</f>
        <v>0</v>
      </c>
      <c r="X6" s="15" t="str">
        <f>Stands!$E65</f>
        <v> </v>
      </c>
    </row>
    <row r="7" spans="1:26" ht="30" customHeight="1">
      <c r="A7" s="4" t="s">
        <v>3354</v>
      </c>
      <c r="B7" s="12">
        <f>Tastings!E23</f>
        <v>10</v>
      </c>
      <c r="C7" s="3">
        <f>Tastings!O23</f>
        <v>8</v>
      </c>
      <c r="D7" s="3">
        <f>Tastings!R23</f>
        <v>16</v>
      </c>
      <c r="E7" s="3">
        <f>Tastings!Z23</f>
        <v>16</v>
      </c>
      <c r="G7" s="15">
        <f>Tastings!$B18</f>
        <v>0</v>
      </c>
      <c r="H7" s="15">
        <f>Tastings!$C18</f>
        <v>0</v>
      </c>
      <c r="I7" s="15" t="str">
        <f>Tastings!$B19</f>
        <v>14:00 - 18:00</v>
      </c>
      <c r="J7" s="15">
        <f>Tastings!$C19</f>
        <v>45945</v>
      </c>
      <c r="K7" s="15" t="str">
        <f>Tastings!$B20</f>
        <v>14:00 - 18:00</v>
      </c>
      <c r="L7" s="15">
        <f>Tastings!$C20</f>
        <v>45945</v>
      </c>
      <c r="M7" s="15">
        <f>Tastings!$B22</f>
        <v>0</v>
      </c>
      <c r="N7" s="15">
        <f>Tastings!$C22</f>
        <v>0</v>
      </c>
      <c r="Q7" s="15">
        <f>Tastings!$D18</f>
        <v>0</v>
      </c>
      <c r="R7" s="15">
        <f>Tastings!$E18</f>
        <v>0</v>
      </c>
      <c r="S7" s="15">
        <f>Tastings!$D19</f>
        <v>45946</v>
      </c>
      <c r="T7" s="15">
        <f>Tastings!$E19</f>
        <v>2232</v>
      </c>
      <c r="U7" s="15">
        <f>Tastings!$D20</f>
        <v>45946</v>
      </c>
      <c r="V7" s="15">
        <f>Tastings!$E20</f>
        <v>2622</v>
      </c>
      <c r="W7" s="15">
        <f>Tastings!$D22</f>
        <v>0</v>
      </c>
      <c r="X7" s="15" t="str">
        <f>Tastings!$E22</f>
        <v>Total</v>
      </c>
    </row>
    <row r="8" spans="1:26">
      <c r="A8" s="9" t="s">
        <v>1269</v>
      </c>
      <c r="B8" s="14">
        <f>SUM(B5:B7)</f>
        <v>120</v>
      </c>
      <c r="C8" s="9">
        <f t="shared" ref="C8:E8" si="0">SUM(C5:C7)</f>
        <v>80</v>
      </c>
      <c r="D8" s="9">
        <f t="shared" si="0"/>
        <v>161</v>
      </c>
      <c r="E8" s="9">
        <f t="shared" si="0"/>
        <v>164</v>
      </c>
      <c r="G8" s="20">
        <f>SUM(G5:G7)</f>
        <v>0</v>
      </c>
      <c r="H8" s="20">
        <f t="shared" ref="H8:N8" si="1">SUM(H5:H7)</f>
        <v>45943</v>
      </c>
      <c r="I8" s="20" t="e">
        <f t="shared" si="1"/>
        <v>#REF!</v>
      </c>
      <c r="J8" s="20" t="e">
        <f t="shared" si="1"/>
        <v>#REF!</v>
      </c>
      <c r="K8" s="20" t="e">
        <f t="shared" si="1"/>
        <v>#REF!</v>
      </c>
      <c r="L8" s="20" t="e">
        <f t="shared" si="1"/>
        <v>#REF!</v>
      </c>
      <c r="M8" s="20">
        <f t="shared" si="1"/>
        <v>0</v>
      </c>
      <c r="N8" s="20">
        <f t="shared" si="1"/>
        <v>2435</v>
      </c>
      <c r="O8" s="20" t="e">
        <f>G8+I8+K8+M8</f>
        <v>#REF!</v>
      </c>
      <c r="P8" s="28"/>
      <c r="Q8" s="25">
        <f>SUM(Q5:Q7)</f>
        <v>45945</v>
      </c>
      <c r="R8" s="25">
        <f t="shared" ref="R8:X8" si="2">SUM(R5:R7)</f>
        <v>2429</v>
      </c>
      <c r="S8" s="25" t="e">
        <f t="shared" si="2"/>
        <v>#REF!</v>
      </c>
      <c r="T8" s="25" t="e">
        <f t="shared" si="2"/>
        <v>#REF!</v>
      </c>
      <c r="U8" s="25" t="e">
        <f t="shared" si="2"/>
        <v>#REF!</v>
      </c>
      <c r="V8" s="25" t="e">
        <f t="shared" si="2"/>
        <v>#REF!</v>
      </c>
      <c r="W8" s="25">
        <f t="shared" si="2"/>
        <v>45945</v>
      </c>
      <c r="X8" s="25">
        <f t="shared" si="2"/>
        <v>2435</v>
      </c>
      <c r="Y8" s="20" t="e">
        <f>Q8+S8+U8+W8</f>
        <v>#REF!</v>
      </c>
    </row>
    <row r="9" spans="1:26">
      <c r="Q9" s="3">
        <v>75</v>
      </c>
      <c r="R9" s="3"/>
      <c r="S9" s="3">
        <v>75</v>
      </c>
      <c r="T9" s="3"/>
      <c r="U9" s="3">
        <v>75</v>
      </c>
      <c r="V9" s="3"/>
      <c r="W9" s="3">
        <v>0</v>
      </c>
      <c r="X9" s="3"/>
      <c r="Y9" s="3" t="s">
        <v>3355</v>
      </c>
    </row>
    <row r="10" spans="1:26">
      <c r="Q10" s="3">
        <f>Q9-Q8</f>
        <v>-45870</v>
      </c>
      <c r="R10" s="3"/>
      <c r="S10" s="3" t="e">
        <f>S9-S8</f>
        <v>#REF!</v>
      </c>
      <c r="T10" s="3"/>
      <c r="U10" s="3" t="e">
        <f>U9-U8</f>
        <v>#REF!</v>
      </c>
      <c r="V10" s="3"/>
      <c r="W10" s="3">
        <f>W9-W8</f>
        <v>-45945</v>
      </c>
      <c r="X10" s="3"/>
      <c r="Y10" s="10" t="s">
        <v>3356</v>
      </c>
    </row>
    <row r="11" spans="1:26">
      <c r="Q11" s="27">
        <f>Q8*138</f>
        <v>6340410</v>
      </c>
      <c r="R11" s="27"/>
      <c r="S11" s="27" t="e">
        <f>S8*138</f>
        <v>#REF!</v>
      </c>
      <c r="T11" s="27"/>
      <c r="U11" s="27" t="e">
        <f>U8*138</f>
        <v>#REF!</v>
      </c>
      <c r="V11" s="27"/>
      <c r="W11" s="27">
        <f>W8*138</f>
        <v>6340410</v>
      </c>
      <c r="X11" s="27"/>
      <c r="Y11" s="27" t="e">
        <f>SUM(Q11:X11)</f>
        <v>#REF!</v>
      </c>
      <c r="Z11" s="3" t="s">
        <v>3357</v>
      </c>
    </row>
    <row r="12" spans="1:26">
      <c r="I12" s="22"/>
      <c r="J12" t="s">
        <v>660</v>
      </c>
    </row>
    <row r="13" spans="1:26">
      <c r="Q13" s="21" t="s">
        <v>3358</v>
      </c>
      <c r="R13" s="26"/>
      <c r="S13" s="24"/>
    </row>
    <row r="14" spans="1:26">
      <c r="Q14" s="1243">
        <v>45943</v>
      </c>
      <c r="R14" s="1243"/>
      <c r="S14" s="1243">
        <v>45944</v>
      </c>
      <c r="T14" s="1244"/>
      <c r="U14" s="1243">
        <v>45945</v>
      </c>
      <c r="V14" s="1244"/>
      <c r="W14" s="1243">
        <v>45946</v>
      </c>
      <c r="X14" s="1244"/>
    </row>
    <row r="15" spans="1:26">
      <c r="J15" t="s">
        <v>660</v>
      </c>
      <c r="Q15" s="18" t="s">
        <v>3351</v>
      </c>
      <c r="R15" s="18" t="s">
        <v>1276</v>
      </c>
      <c r="S15" s="18" t="s">
        <v>3351</v>
      </c>
      <c r="T15" s="18" t="s">
        <v>1276</v>
      </c>
      <c r="U15" s="18" t="s">
        <v>3351</v>
      </c>
      <c r="V15" s="18" t="s">
        <v>1276</v>
      </c>
      <c r="W15" s="18" t="s">
        <v>3351</v>
      </c>
      <c r="X15" s="18" t="s">
        <v>1276</v>
      </c>
    </row>
    <row r="16" spans="1:26">
      <c r="Q16" s="25" t="e">
        <f>Q8+S8</f>
        <v>#REF!</v>
      </c>
      <c r="R16" s="25">
        <f>R8</f>
        <v>2429</v>
      </c>
      <c r="S16" s="25">
        <v>0</v>
      </c>
      <c r="T16" s="25">
        <v>0</v>
      </c>
      <c r="U16" s="25" t="e">
        <f>U8</f>
        <v>#REF!</v>
      </c>
      <c r="V16" s="25" t="e">
        <f>T8+V8</f>
        <v>#REF!</v>
      </c>
      <c r="W16" s="25">
        <f>W8</f>
        <v>45945</v>
      </c>
      <c r="X16" s="25">
        <f>X8</f>
        <v>2435</v>
      </c>
    </row>
    <row r="17" spans="17:26">
      <c r="Q17" s="3">
        <v>75</v>
      </c>
      <c r="R17" s="3"/>
      <c r="S17" s="3">
        <v>75</v>
      </c>
      <c r="T17" s="3"/>
      <c r="U17" s="3">
        <v>75</v>
      </c>
      <c r="V17" s="3"/>
      <c r="W17" s="3">
        <v>0</v>
      </c>
      <c r="X17" s="3"/>
      <c r="Y17" s="3" t="s">
        <v>3355</v>
      </c>
    </row>
    <row r="18" spans="17:26">
      <c r="Q18" s="3" t="e">
        <f>Q16</f>
        <v>#REF!</v>
      </c>
      <c r="R18" s="3"/>
      <c r="S18" s="3" t="e">
        <f>Q18</f>
        <v>#REF!</v>
      </c>
      <c r="T18" s="3"/>
      <c r="U18" s="3" t="e">
        <f>U16</f>
        <v>#REF!</v>
      </c>
      <c r="V18" s="3"/>
      <c r="W18" s="3"/>
      <c r="X18" s="3"/>
      <c r="Y18" s="3" t="s">
        <v>3359</v>
      </c>
    </row>
    <row r="19" spans="17:26">
      <c r="Q19" s="3" t="e">
        <f>Q17-Q18</f>
        <v>#REF!</v>
      </c>
      <c r="R19" s="3"/>
      <c r="S19" s="3" t="e">
        <f>S17-S18</f>
        <v>#REF!</v>
      </c>
      <c r="T19" s="3"/>
      <c r="U19" s="3" t="e">
        <f>U17-U18</f>
        <v>#REF!</v>
      </c>
      <c r="V19" s="3"/>
      <c r="W19" s="3">
        <f>W17-W18</f>
        <v>0</v>
      </c>
      <c r="X19" s="3"/>
      <c r="Y19" s="3" t="s">
        <v>3356</v>
      </c>
    </row>
    <row r="20" spans="17:26">
      <c r="Q20" s="27" t="e">
        <f>Q18*138</f>
        <v>#REF!</v>
      </c>
      <c r="R20" s="27"/>
      <c r="S20" s="27" t="e">
        <f>S18*138</f>
        <v>#REF!</v>
      </c>
      <c r="T20" s="27"/>
      <c r="U20" s="27" t="e">
        <f>U18*138</f>
        <v>#REF!</v>
      </c>
      <c r="V20" s="27"/>
      <c r="W20" s="27">
        <f>W17*138</f>
        <v>0</v>
      </c>
      <c r="X20" s="27"/>
      <c r="Y20" s="27" t="e">
        <f>SUM(Q20:X20)</f>
        <v>#REF!</v>
      </c>
      <c r="Z20" s="3" t="s">
        <v>3357</v>
      </c>
    </row>
  </sheetData>
  <mergeCells count="14">
    <mergeCell ref="G3:H3"/>
    <mergeCell ref="M3:N3"/>
    <mergeCell ref="G2:N2"/>
    <mergeCell ref="Q2:X2"/>
    <mergeCell ref="Q3:R3"/>
    <mergeCell ref="S3:T3"/>
    <mergeCell ref="U3:V3"/>
    <mergeCell ref="W3:X3"/>
    <mergeCell ref="Q14:R14"/>
    <mergeCell ref="S14:T14"/>
    <mergeCell ref="U14:V14"/>
    <mergeCell ref="W14:X14"/>
    <mergeCell ref="I3:J3"/>
    <mergeCell ref="K3:L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3FDD571EC275042875F16E8EDA85CFC" ma:contentTypeVersion="19" ma:contentTypeDescription="Create a new document." ma:contentTypeScope="" ma:versionID="7483268aba09f1687b43cb72bc3f5f9f">
  <xsd:schema xmlns:xsd="http://www.w3.org/2001/XMLSchema" xmlns:xs="http://www.w3.org/2001/XMLSchema" xmlns:p="http://schemas.microsoft.com/office/2006/metadata/properties" xmlns:ns2="ef58bee1-70ab-4cf1-8902-1868574f9a14" xmlns:ns3="51540973-beb5-4543-8557-2176903a968b" targetNamespace="http://schemas.microsoft.com/office/2006/metadata/properties" ma:root="true" ma:fieldsID="30740f451bc59e304586e329ee403cde" ns2:_="" ns3:_="">
    <xsd:import namespace="ef58bee1-70ab-4cf1-8902-1868574f9a14"/>
    <xsd:import namespace="51540973-beb5-4543-8557-2176903a968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58bee1-70ab-4cf1-8902-1868574f9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d710c1b-8059-4a3c-8834-d12249fa786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540973-beb5-4543-8557-2176903a968b"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2e018c9-a9a2-41b7-b9b4-ad562bbb7ebc}" ma:internalName="TaxCatchAll" ma:showField="CatchAllData" ma:web="51540973-beb5-4543-8557-2176903a96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f58bee1-70ab-4cf1-8902-1868574f9a14">
      <Terms xmlns="http://schemas.microsoft.com/office/infopath/2007/PartnerControls"/>
    </lcf76f155ced4ddcb4097134ff3c332f>
    <TaxCatchAll xmlns="51540973-beb5-4543-8557-2176903a968b" xsi:nil="true"/>
  </documentManagement>
</p:properties>
</file>

<file path=customXml/itemProps1.xml><?xml version="1.0" encoding="utf-8"?>
<ds:datastoreItem xmlns:ds="http://schemas.openxmlformats.org/officeDocument/2006/customXml" ds:itemID="{07D428D0-F3E5-4C9C-80F3-DFA0EDF6146E}">
  <ds:schemaRefs>
    <ds:schemaRef ds:uri="http://schemas.microsoft.com/sharepoint/v3/contenttype/forms"/>
  </ds:schemaRefs>
</ds:datastoreItem>
</file>

<file path=customXml/itemProps2.xml><?xml version="1.0" encoding="utf-8"?>
<ds:datastoreItem xmlns:ds="http://schemas.openxmlformats.org/officeDocument/2006/customXml" ds:itemID="{040DCB03-4BE1-4258-BFE1-60578826C616}"/>
</file>

<file path=customXml/itemProps3.xml><?xml version="1.0" encoding="utf-8"?>
<ds:datastoreItem xmlns:ds="http://schemas.openxmlformats.org/officeDocument/2006/customXml" ds:itemID="{BB97BA98-E442-481E-90FB-C4D67D616B04}">
  <ds:schemaRefs>
    <ds:schemaRef ds:uri="http://www.w3.org/XML/1998/namespace"/>
    <ds:schemaRef ds:uri="http://purl.org/dc/elements/1.1/"/>
    <ds:schemaRef ds:uri="http://purl.org/dc/terms/"/>
    <ds:schemaRef ds:uri="51540973-beb5-4543-8557-2176903a968b"/>
    <ds:schemaRef ds:uri="http://schemas.microsoft.com/office/2006/metadata/propertie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ef58bee1-70ab-4cf1-8902-1868574f9a14"/>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Sessions</vt:lpstr>
      <vt:lpstr>Stands</vt:lpstr>
      <vt:lpstr>Tastings</vt:lpstr>
      <vt:lpstr>Journalists</vt:lpstr>
      <vt:lpstr>Jury members</vt:lpstr>
      <vt:lpstr>Finalists</vt:lpstr>
      <vt:lpstr>Hotel recap_updated</vt:lpstr>
      <vt:lpstr>Hoja1</vt:lpstr>
      <vt:lpstr>Recap (OLD)</vt:lpstr>
    </vt:vector>
  </TitlesOfParts>
  <Manager/>
  <Company>European Commission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PARMENTIER Caroline (REGIO)</dc:creator>
  <cp:keywords/>
  <dc:description/>
  <cp:lastModifiedBy>Manon Glauden</cp:lastModifiedBy>
  <cp:revision/>
  <dcterms:created xsi:type="dcterms:W3CDTF">2025-06-20T16:18:46Z</dcterms:created>
  <dcterms:modified xsi:type="dcterms:W3CDTF">2025-11-29T12:50:42Z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2025-06-20T16:19:41Z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8bb4cf3b-e753-4d5a-b887-51f6f417d603</vt:lpwstr>
  </property>
  <property fmtid="{D5CDD505-2E9C-101B-9397-08002B2CF9AE}" pid="8" name="MSIP_Label_6bd9ddd1-4d20-43f6-abfa-fc3c07406f94_ContentBits">
    <vt:lpwstr>0</vt:lpwstr>
  </property>
  <property fmtid="{D5CDD505-2E9C-101B-9397-08002B2CF9AE}" pid="9" name="ContentTypeId">
    <vt:lpwstr>0x01010013FDD571EC275042875F16E8EDA85CFC</vt:lpwstr>
  </property>
  <property fmtid="{D5CDD505-2E9C-101B-9397-08002B2CF9AE}" pid="10" name="MediaServiceImageTags">
    <vt:lpwstr/>
  </property>
  <property fmtid="{D5CDD505-2E9C-101B-9397-08002B2CF9AE}" pid="11" name="MSIP_Label_6bd9ddd1-4d20-43f6-abfa-fc3c07406f94_Tag">
    <vt:lpwstr>10, 3, 0, 2</vt:lpwstr>
  </property>
</Properties>
</file>